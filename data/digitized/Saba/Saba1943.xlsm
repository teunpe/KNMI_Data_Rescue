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Invoer!$A$2:$J$381</definedName>
    <definedName name="Catalogus">Info!$J$3:$S$4</definedName>
    <definedName name="Data">Invoer!$A$3:$J$381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A1" i="6" l="1"/>
  <c r="C2" i="3" l="1"/>
  <c r="A2" i="3"/>
  <c r="J381" i="1" l="1"/>
  <c r="I381" i="1"/>
  <c r="H381" i="1"/>
  <c r="J349" i="1"/>
  <c r="I349" i="1"/>
  <c r="H349" i="1"/>
  <c r="J318" i="1"/>
  <c r="I318" i="1"/>
  <c r="H318" i="1"/>
  <c r="J286" i="1"/>
  <c r="I286" i="1"/>
  <c r="H286" i="1"/>
  <c r="J255" i="1"/>
  <c r="I255" i="1"/>
  <c r="H255" i="1"/>
  <c r="J223" i="1"/>
  <c r="I223" i="1"/>
  <c r="H223" i="1"/>
  <c r="J191" i="1"/>
  <c r="I191" i="1"/>
  <c r="H191" i="1"/>
  <c r="J160" i="1"/>
  <c r="I160" i="1"/>
  <c r="H160" i="1"/>
  <c r="J128" i="1"/>
  <c r="I128" i="1"/>
  <c r="H128" i="1"/>
  <c r="J97" i="1"/>
  <c r="I97" i="1"/>
  <c r="H97" i="1"/>
  <c r="J65" i="1"/>
  <c r="I65" i="1"/>
  <c r="H65" i="1"/>
  <c r="J36" i="1"/>
  <c r="I36" i="1"/>
  <c r="H36" i="1"/>
  <c r="A1" i="5" l="1"/>
  <c r="G349" i="1" l="1"/>
  <c r="F349" i="1"/>
  <c r="E349" i="1"/>
  <c r="D349" i="1"/>
  <c r="C349" i="1"/>
  <c r="B349" i="1"/>
  <c r="G286" i="1"/>
  <c r="F286" i="1"/>
  <c r="E286" i="1"/>
  <c r="D286" i="1"/>
  <c r="C286" i="1"/>
  <c r="B286" i="1"/>
  <c r="G191" i="1"/>
  <c r="F191" i="1"/>
  <c r="E191" i="1"/>
  <c r="D191" i="1"/>
  <c r="C191" i="1"/>
  <c r="B191" i="1"/>
  <c r="G128" i="1"/>
  <c r="F128" i="1"/>
  <c r="E128" i="1"/>
  <c r="D128" i="1"/>
  <c r="C128" i="1"/>
  <c r="B128" i="1"/>
  <c r="G97" i="1"/>
  <c r="F97" i="1"/>
  <c r="E97" i="1"/>
  <c r="D97" i="1"/>
  <c r="C97" i="1"/>
  <c r="B97" i="1"/>
  <c r="G65" i="1"/>
  <c r="F65" i="1"/>
  <c r="E65" i="1"/>
  <c r="D65" i="1"/>
  <c r="C65" i="1"/>
  <c r="B65" i="1"/>
  <c r="G381" i="1"/>
  <c r="F381" i="1"/>
  <c r="E381" i="1"/>
  <c r="D381" i="1"/>
  <c r="C381" i="1"/>
  <c r="B381" i="1"/>
  <c r="G318" i="1"/>
  <c r="F318" i="1"/>
  <c r="E318" i="1"/>
  <c r="D318" i="1"/>
  <c r="C318" i="1"/>
  <c r="B318" i="1"/>
  <c r="G255" i="1"/>
  <c r="F255" i="1"/>
  <c r="E255" i="1"/>
  <c r="D255" i="1"/>
  <c r="C255" i="1"/>
  <c r="B255" i="1"/>
  <c r="G223" i="1"/>
  <c r="F223" i="1"/>
  <c r="E223" i="1"/>
  <c r="D223" i="1"/>
  <c r="C223" i="1"/>
  <c r="B223" i="1"/>
  <c r="G160" i="1"/>
  <c r="F160" i="1"/>
  <c r="E160" i="1"/>
  <c r="D160" i="1"/>
  <c r="C160" i="1"/>
  <c r="B160" i="1"/>
  <c r="C36" i="1"/>
  <c r="D36" i="1"/>
  <c r="E36" i="1"/>
  <c r="F36" i="1"/>
  <c r="G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2" i="2"/>
  <c r="A2" i="2"/>
  <c r="A6" i="1"/>
  <c r="G5" i="3" l="1"/>
  <c r="D5" i="3"/>
  <c r="E5" i="3"/>
  <c r="F5" i="3"/>
  <c r="D6" i="3"/>
  <c r="E6" i="3"/>
  <c r="F6" i="3"/>
  <c r="G6" i="3"/>
  <c r="E7" i="3"/>
  <c r="F7" i="3"/>
  <c r="G7" i="3"/>
  <c r="D7" i="3"/>
  <c r="E3" i="3"/>
  <c r="F3" i="3"/>
  <c r="G3" i="3"/>
  <c r="D3" i="3"/>
  <c r="F4" i="3"/>
  <c r="G4" i="3"/>
  <c r="D4" i="3"/>
  <c r="E4" i="3"/>
  <c r="E2" i="3"/>
  <c r="G2" i="3"/>
  <c r="D2" i="3"/>
  <c r="F2" i="3"/>
  <c r="D732" i="2"/>
  <c r="E732" i="2"/>
  <c r="E367" i="2"/>
  <c r="D367" i="2"/>
  <c r="D3" i="2"/>
  <c r="E3" i="2"/>
  <c r="E2" i="2"/>
  <c r="D733" i="2"/>
  <c r="E733" i="2"/>
  <c r="E368" i="2"/>
  <c r="D368" i="2"/>
  <c r="D2" i="2"/>
  <c r="A7" i="1"/>
  <c r="D8" i="3" l="1"/>
  <c r="E8" i="3"/>
  <c r="F8" i="3"/>
  <c r="G8" i="3"/>
  <c r="D10" i="3"/>
  <c r="G9" i="3"/>
  <c r="G10" i="3"/>
  <c r="F9" i="3"/>
  <c r="F10" i="3"/>
  <c r="E9" i="3"/>
  <c r="E10" i="3"/>
  <c r="D9" i="3"/>
  <c r="A5" i="6"/>
  <c r="A7" i="6"/>
  <c r="A3" i="6"/>
  <c r="A4" i="6"/>
  <c r="A6" i="6"/>
  <c r="A2" i="6"/>
  <c r="A368" i="5"/>
  <c r="A3" i="5"/>
  <c r="A732" i="5"/>
  <c r="A733" i="5"/>
  <c r="A367" i="5"/>
  <c r="D734" i="2"/>
  <c r="E369" i="2"/>
  <c r="E734" i="2"/>
  <c r="D369" i="2"/>
  <c r="A369" i="5" s="1"/>
  <c r="E4" i="2"/>
  <c r="D4" i="2"/>
  <c r="A2" i="5"/>
  <c r="A8" i="1"/>
  <c r="D11" i="3" l="1"/>
  <c r="G11" i="3"/>
  <c r="D13" i="3"/>
  <c r="F13" i="3"/>
  <c r="F12" i="3"/>
  <c r="D12" i="3"/>
  <c r="E12" i="3"/>
  <c r="G12" i="3"/>
  <c r="F11" i="3"/>
  <c r="E11" i="3"/>
  <c r="G13" i="3"/>
  <c r="E13" i="3"/>
  <c r="A8" i="6"/>
  <c r="A10" i="6"/>
  <c r="A9" i="6"/>
  <c r="A4" i="5"/>
  <c r="A734" i="5"/>
  <c r="E5" i="2"/>
  <c r="E735" i="2"/>
  <c r="D370" i="2"/>
  <c r="D735" i="2"/>
  <c r="E370" i="2"/>
  <c r="D5" i="2"/>
  <c r="A9" i="1"/>
  <c r="A5" i="5" l="1"/>
  <c r="E16" i="3"/>
  <c r="F16" i="3"/>
  <c r="G15" i="3"/>
  <c r="E15" i="3"/>
  <c r="F14" i="3"/>
  <c r="D14" i="3"/>
  <c r="F15" i="3"/>
  <c r="G16" i="3"/>
  <c r="E14" i="3"/>
  <c r="G14" i="3"/>
  <c r="D16" i="3"/>
  <c r="D15" i="3"/>
  <c r="A13" i="6"/>
  <c r="A12" i="6"/>
  <c r="A11" i="6"/>
  <c r="A735" i="5"/>
  <c r="A370" i="5"/>
  <c r="E736" i="2"/>
  <c r="E6" i="2"/>
  <c r="D736" i="2"/>
  <c r="D371" i="2"/>
  <c r="D6" i="2"/>
  <c r="E371" i="2"/>
  <c r="A10" i="1"/>
  <c r="G18" i="3" l="1"/>
  <c r="D18" i="3"/>
  <c r="F19" i="3"/>
  <c r="G19" i="3"/>
  <c r="D17" i="3"/>
  <c r="E18" i="3"/>
  <c r="D19" i="3"/>
  <c r="F18" i="3"/>
  <c r="G17" i="3"/>
  <c r="E17" i="3"/>
  <c r="F17" i="3"/>
  <c r="E19" i="3"/>
  <c r="A14" i="6"/>
  <c r="A736" i="5"/>
  <c r="A16" i="6"/>
  <c r="A15" i="6"/>
  <c r="A6" i="5"/>
  <c r="A371" i="5"/>
  <c r="E372" i="2"/>
  <c r="D7" i="2"/>
  <c r="E737" i="2"/>
  <c r="E7" i="2"/>
  <c r="D372" i="2"/>
  <c r="A372" i="5" s="1"/>
  <c r="D737" i="2"/>
  <c r="A11" i="1"/>
  <c r="A17" i="6" l="1"/>
  <c r="A18" i="6"/>
  <c r="A19" i="6"/>
  <c r="A737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10" i="3" l="1"/>
  <c r="E581" i="3"/>
  <c r="F205" i="3"/>
  <c r="D865" i="3"/>
  <c r="G538" i="3"/>
  <c r="E420" i="3"/>
  <c r="D597" i="3"/>
  <c r="E900" i="3"/>
  <c r="E396" i="3"/>
  <c r="G745" i="3"/>
  <c r="F831" i="3"/>
  <c r="E870" i="3"/>
  <c r="D70" i="3"/>
  <c r="E515" i="3"/>
  <c r="F641" i="3"/>
  <c r="E907" i="3"/>
  <c r="G300" i="3"/>
  <c r="G631" i="3"/>
  <c r="D1065" i="3"/>
  <c r="G23" i="3"/>
  <c r="G389" i="3"/>
  <c r="F499" i="3"/>
  <c r="E757" i="3"/>
  <c r="G875" i="3"/>
  <c r="E65" i="3"/>
  <c r="F312" i="3"/>
  <c r="F57" i="3"/>
  <c r="D120" i="3"/>
  <c r="G83" i="3"/>
  <c r="F919" i="3"/>
  <c r="E577" i="3"/>
  <c r="D504" i="3"/>
  <c r="D158" i="3"/>
  <c r="E211" i="3"/>
  <c r="F692" i="3"/>
  <c r="D963" i="3"/>
  <c r="G954" i="3"/>
  <c r="D177" i="3"/>
  <c r="E203" i="3"/>
  <c r="D508" i="3"/>
  <c r="E559" i="3"/>
  <c r="F853" i="3"/>
  <c r="G148" i="3"/>
  <c r="F867" i="3"/>
  <c r="E858" i="3"/>
  <c r="G150" i="3"/>
  <c r="G494" i="3"/>
  <c r="E835" i="3"/>
  <c r="D826" i="3"/>
  <c r="D837" i="3"/>
  <c r="D189" i="3"/>
  <c r="F513" i="3"/>
  <c r="G564" i="3"/>
  <c r="D918" i="3"/>
  <c r="D154" i="3"/>
  <c r="D756" i="3"/>
  <c r="E466" i="3"/>
  <c r="E372" i="3"/>
  <c r="F29" i="3"/>
  <c r="G804" i="3"/>
  <c r="E59" i="3"/>
  <c r="D418" i="3"/>
  <c r="D271" i="3"/>
  <c r="D985" i="3"/>
  <c r="F1038" i="3"/>
  <c r="E343" i="3"/>
  <c r="G1092" i="3"/>
  <c r="E673" i="3"/>
  <c r="G695" i="3"/>
  <c r="F410" i="3"/>
  <c r="E299" i="3"/>
  <c r="E988" i="3"/>
  <c r="F989" i="3"/>
  <c r="D610" i="3"/>
  <c r="F331" i="3"/>
  <c r="F760" i="3"/>
  <c r="F748" i="3"/>
  <c r="E492" i="3"/>
  <c r="D163" i="3"/>
  <c r="D949" i="3"/>
  <c r="D425" i="3"/>
  <c r="E597" i="3"/>
  <c r="G611" i="3"/>
  <c r="D311" i="3"/>
  <c r="F1048" i="3"/>
  <c r="D776" i="3"/>
  <c r="F802" i="3"/>
  <c r="E699" i="3"/>
  <c r="G318" i="3"/>
  <c r="G1093" i="3"/>
  <c r="D928" i="3"/>
  <c r="F731" i="3"/>
  <c r="E44" i="3"/>
  <c r="E792" i="3"/>
  <c r="D655" i="3"/>
  <c r="D312" i="3"/>
  <c r="F71" i="3"/>
  <c r="G1075" i="3"/>
  <c r="G1024" i="3"/>
  <c r="G694" i="3"/>
  <c r="D59" i="3"/>
  <c r="F624" i="3"/>
  <c r="D202" i="3"/>
  <c r="G159" i="3"/>
  <c r="G833" i="3"/>
  <c r="G608" i="3"/>
  <c r="G381" i="3"/>
  <c r="F61" i="3"/>
  <c r="F887" i="3"/>
  <c r="F403" i="3"/>
  <c r="D415" i="3"/>
  <c r="F30" i="3"/>
  <c r="E172" i="3"/>
  <c r="F466" i="3"/>
  <c r="G356" i="3"/>
  <c r="D46" i="3"/>
  <c r="E804" i="3"/>
  <c r="E523" i="3"/>
  <c r="D365" i="3"/>
  <c r="E274" i="3"/>
  <c r="D790" i="3"/>
  <c r="F1033" i="3"/>
  <c r="D48" i="3"/>
  <c r="G373" i="3"/>
  <c r="F483" i="3"/>
  <c r="E741" i="3"/>
  <c r="G859" i="3"/>
  <c r="E49" i="3"/>
  <c r="F296" i="3"/>
  <c r="G816" i="3"/>
  <c r="D1036" i="3"/>
  <c r="G347" i="3"/>
  <c r="E610" i="3"/>
  <c r="G1005" i="3"/>
  <c r="F1004" i="3"/>
  <c r="E1096" i="3"/>
  <c r="F330" i="3"/>
  <c r="D711" i="3"/>
  <c r="F689" i="3"/>
  <c r="F1094" i="3"/>
  <c r="E620" i="3"/>
  <c r="D1054" i="3"/>
  <c r="E88" i="3"/>
  <c r="G639" i="3"/>
  <c r="G304" i="3"/>
  <c r="E342" i="3"/>
  <c r="G1064" i="3"/>
  <c r="E794" i="3"/>
  <c r="F504" i="3"/>
  <c r="G256" i="3"/>
  <c r="D961" i="3"/>
  <c r="F524" i="3"/>
  <c r="E209" i="3"/>
  <c r="E175" i="3"/>
  <c r="F27" i="3"/>
  <c r="E587" i="3"/>
  <c r="G225" i="3"/>
  <c r="F191" i="3"/>
  <c r="G865" i="3"/>
  <c r="E640" i="3"/>
  <c r="G349" i="3"/>
  <c r="F287" i="3"/>
  <c r="F604" i="3"/>
  <c r="E1022" i="3"/>
  <c r="F969" i="3"/>
  <c r="D255" i="3"/>
  <c r="F295" i="3"/>
  <c r="E579" i="3"/>
  <c r="G723" i="3"/>
  <c r="E920" i="3"/>
  <c r="G194" i="3"/>
  <c r="F963" i="3"/>
  <c r="E954" i="3"/>
  <c r="F177" i="3"/>
  <c r="F485" i="3"/>
  <c r="E931" i="3"/>
  <c r="D922" i="3"/>
  <c r="D933" i="3"/>
  <c r="D147" i="3"/>
  <c r="E476" i="3"/>
  <c r="E660" i="3"/>
  <c r="D1014" i="3"/>
  <c r="F503" i="3"/>
  <c r="D720" i="3"/>
  <c r="G927" i="3"/>
  <c r="E149" i="3"/>
  <c r="F31" i="3"/>
  <c r="G756" i="3"/>
  <c r="D434" i="3"/>
  <c r="D308" i="3"/>
  <c r="D339" i="3"/>
  <c r="E849" i="3"/>
  <c r="D555" i="3"/>
  <c r="G234" i="3"/>
  <c r="F119" i="3"/>
  <c r="G1042" i="3"/>
  <c r="F138" i="3"/>
  <c r="G351" i="3"/>
  <c r="D263" i="3"/>
  <c r="G820" i="3"/>
  <c r="F614" i="3"/>
  <c r="G402" i="3"/>
  <c r="E261" i="3"/>
  <c r="D421" i="3"/>
  <c r="G867" i="3"/>
  <c r="F858" i="3"/>
  <c r="D134" i="3"/>
  <c r="D494" i="3"/>
  <c r="G492" i="3"/>
  <c r="D732" i="3"/>
  <c r="G987" i="3"/>
  <c r="E126" i="3"/>
  <c r="E419" i="3"/>
  <c r="G944" i="3"/>
  <c r="D1017" i="3"/>
  <c r="F350" i="3"/>
  <c r="D715" i="3"/>
  <c r="F912" i="3"/>
  <c r="E1077" i="3"/>
  <c r="E321" i="3"/>
  <c r="G706" i="3"/>
  <c r="E680" i="3"/>
  <c r="F1045" i="3"/>
  <c r="D615" i="3"/>
  <c r="E909" i="3"/>
  <c r="D908" i="3"/>
  <c r="D36" i="3"/>
  <c r="G887" i="3"/>
  <c r="D441" i="3"/>
  <c r="G422" i="3"/>
  <c r="E99" i="3"/>
  <c r="D871" i="3"/>
  <c r="D95" i="3"/>
  <c r="F381" i="3"/>
  <c r="E31" i="3"/>
  <c r="F724" i="3"/>
  <c r="D443" i="3"/>
  <c r="D280" i="3"/>
  <c r="D102" i="3"/>
  <c r="D676" i="3"/>
  <c r="D473" i="3"/>
  <c r="G511" i="3"/>
  <c r="F66" i="3"/>
  <c r="D839" i="3"/>
  <c r="D1024" i="3"/>
  <c r="D1075" i="3"/>
  <c r="E293" i="3"/>
  <c r="F661" i="3"/>
  <c r="F992" i="3"/>
  <c r="E935" i="3"/>
  <c r="E138" i="3"/>
  <c r="G132" i="3"/>
  <c r="F837" i="3"/>
  <c r="E543" i="3"/>
  <c r="G522" i="3"/>
  <c r="D265" i="3"/>
  <c r="D207" i="3"/>
  <c r="F921" i="3"/>
  <c r="G974" i="3"/>
  <c r="F556" i="3"/>
  <c r="E239" i="3"/>
  <c r="E707" i="3"/>
  <c r="G563" i="3"/>
  <c r="E281" i="3"/>
  <c r="D1000" i="3"/>
  <c r="E766" i="3"/>
  <c r="D654" i="3"/>
  <c r="G652" i="3"/>
  <c r="F230" i="3"/>
  <c r="G335" i="3"/>
  <c r="D320" i="3"/>
  <c r="F294" i="3"/>
  <c r="G1027" i="3"/>
  <c r="G717" i="3"/>
  <c r="E304" i="3"/>
  <c r="G342" i="3"/>
  <c r="E977" i="3"/>
  <c r="G582" i="3"/>
  <c r="G289" i="3"/>
  <c r="E256" i="3"/>
  <c r="F897" i="3"/>
  <c r="D275" i="3"/>
  <c r="D241" i="3"/>
  <c r="G208" i="3"/>
  <c r="D913" i="3"/>
  <c r="G587" i="3"/>
  <c r="F234" i="3"/>
  <c r="D119" i="3"/>
  <c r="E588" i="3"/>
  <c r="D1022" i="3"/>
  <c r="E969" i="3"/>
  <c r="G239" i="3"/>
  <c r="D556" i="3"/>
  <c r="G558" i="3"/>
  <c r="E670" i="3"/>
  <c r="D904" i="3"/>
  <c r="D258" i="3"/>
  <c r="D600" i="3"/>
  <c r="G634" i="3"/>
  <c r="E161" i="3"/>
  <c r="E485" i="3"/>
  <c r="D915" i="3"/>
  <c r="G906" i="3"/>
  <c r="D131" i="3"/>
  <c r="F228" i="3"/>
  <c r="D460" i="3"/>
  <c r="D644" i="3"/>
  <c r="F805" i="3"/>
  <c r="D173" i="3"/>
  <c r="G704" i="3"/>
  <c r="F911" i="3"/>
  <c r="E77" i="3"/>
  <c r="G518" i="3"/>
  <c r="D493" i="3"/>
  <c r="F174" i="3"/>
  <c r="D914" i="3"/>
  <c r="E500" i="3"/>
  <c r="D424" i="3"/>
  <c r="G40" i="3"/>
  <c r="G708" i="3"/>
  <c r="E459" i="3"/>
  <c r="G301" i="3"/>
  <c r="E1083" i="3"/>
  <c r="F227" i="3"/>
  <c r="G411" i="3"/>
  <c r="F390" i="3"/>
  <c r="G1047" i="3"/>
  <c r="G749" i="3"/>
  <c r="E336" i="3"/>
  <c r="G310" i="3"/>
  <c r="F471" i="3"/>
  <c r="D688" i="3"/>
  <c r="G895" i="3"/>
  <c r="F60" i="3"/>
  <c r="E439" i="3"/>
  <c r="D433" i="3"/>
  <c r="F796" i="3"/>
  <c r="F822" i="3"/>
  <c r="E80" i="3"/>
  <c r="E483" i="3"/>
  <c r="G1008" i="3"/>
  <c r="E1053" i="3"/>
  <c r="E264" i="3"/>
  <c r="F629" i="3"/>
  <c r="F976" i="3"/>
  <c r="D1076" i="3"/>
  <c r="G33" i="3"/>
  <c r="E385" i="3"/>
  <c r="G770" i="3"/>
  <c r="E744" i="3"/>
  <c r="D1096" i="3"/>
  <c r="G578" i="3"/>
  <c r="E973" i="3"/>
  <c r="D972" i="3"/>
  <c r="F113" i="3"/>
  <c r="E833" i="3"/>
  <c r="E538" i="3"/>
  <c r="F452" i="3"/>
  <c r="E502" i="3"/>
  <c r="F97" i="3"/>
  <c r="E733" i="3"/>
  <c r="G384" i="3"/>
  <c r="E358" i="3"/>
  <c r="G1084" i="3"/>
  <c r="D639" i="3"/>
  <c r="F424" i="3"/>
  <c r="E113" i="3"/>
  <c r="D63" i="3"/>
  <c r="D788" i="3"/>
  <c r="G539" i="3"/>
  <c r="G470" i="3"/>
  <c r="G74" i="3"/>
  <c r="F715" i="3"/>
  <c r="D912" i="3"/>
  <c r="G1077" i="3"/>
  <c r="G302" i="3"/>
  <c r="E683" i="3"/>
  <c r="F786" i="3"/>
  <c r="F798" i="3"/>
  <c r="F1032" i="3"/>
  <c r="D295" i="3"/>
  <c r="G595" i="3"/>
  <c r="E739" i="3"/>
  <c r="G151" i="3"/>
  <c r="D480" i="3"/>
  <c r="G814" i="3"/>
  <c r="G1034" i="3"/>
  <c r="F184" i="3"/>
  <c r="F283" i="3"/>
  <c r="G601" i="3"/>
  <c r="E532" i="3"/>
  <c r="F933" i="3"/>
  <c r="F163" i="3"/>
  <c r="F819" i="3"/>
  <c r="E810" i="3"/>
  <c r="F116" i="3"/>
  <c r="D252" i="3"/>
  <c r="D582" i="3"/>
  <c r="F303" i="3"/>
  <c r="F279" i="3"/>
  <c r="F799" i="3"/>
  <c r="E566" i="3"/>
  <c r="E447" i="3"/>
  <c r="E119" i="3"/>
  <c r="D833" i="3"/>
  <c r="G640" i="3"/>
  <c r="E259" i="3"/>
  <c r="D185" i="3"/>
  <c r="D41" i="3"/>
  <c r="F592" i="3"/>
  <c r="F335" i="3"/>
  <c r="E247" i="3"/>
  <c r="G993" i="3"/>
  <c r="D524" i="3"/>
  <c r="F356" i="3"/>
  <c r="F232" i="3"/>
  <c r="G573" i="3"/>
  <c r="G894" i="3"/>
  <c r="F841" i="3"/>
  <c r="E200" i="3"/>
  <c r="D351" i="3"/>
  <c r="E441" i="3"/>
  <c r="E1073" i="3"/>
  <c r="F721" i="3"/>
  <c r="D743" i="3"/>
  <c r="D360" i="3"/>
  <c r="E78" i="3"/>
  <c r="G285" i="3"/>
  <c r="E956" i="3"/>
  <c r="F957" i="3"/>
  <c r="D578" i="3"/>
  <c r="F299" i="3"/>
  <c r="G673" i="3"/>
  <c r="E695" i="3"/>
  <c r="G394" i="3"/>
  <c r="E1087" i="3"/>
  <c r="G728" i="3"/>
  <c r="E754" i="3"/>
  <c r="F643" i="3"/>
  <c r="D395" i="3"/>
  <c r="G36" i="3"/>
  <c r="F59" i="3"/>
  <c r="G121" i="3"/>
  <c r="E898" i="3"/>
  <c r="E593" i="3"/>
  <c r="D440" i="3"/>
  <c r="D174" i="3"/>
  <c r="D724" i="3"/>
  <c r="F507" i="3"/>
  <c r="F365" i="3"/>
  <c r="E40" i="3"/>
  <c r="D625" i="3"/>
  <c r="G252" i="3"/>
  <c r="E181" i="3"/>
  <c r="G1078" i="3"/>
  <c r="G657" i="3"/>
  <c r="E411" i="3"/>
  <c r="D390" i="3"/>
  <c r="F1084" i="3"/>
  <c r="G672" i="3"/>
  <c r="F879" i="3"/>
  <c r="E60" i="3"/>
  <c r="D423" i="3"/>
  <c r="D777" i="3"/>
  <c r="G879" i="3"/>
  <c r="E902" i="3"/>
  <c r="E101" i="3"/>
  <c r="G409" i="3"/>
  <c r="F684" i="3"/>
  <c r="E939" i="3"/>
  <c r="E398" i="3"/>
  <c r="E629" i="3"/>
  <c r="E960" i="3"/>
  <c r="D1043" i="3"/>
  <c r="D366" i="3"/>
  <c r="G344" i="3"/>
  <c r="F754" i="3"/>
  <c r="D728" i="3"/>
  <c r="G410" i="3"/>
  <c r="D957" i="3"/>
  <c r="G956" i="3"/>
  <c r="E133" i="3"/>
  <c r="F386" i="3"/>
  <c r="D245" i="3"/>
  <c r="G980" i="3"/>
  <c r="D682" i="3"/>
  <c r="G370" i="3"/>
  <c r="F324" i="3"/>
  <c r="F74" i="3"/>
  <c r="F951" i="3"/>
  <c r="G473" i="3"/>
  <c r="G495" i="3"/>
  <c r="E45" i="3"/>
  <c r="F181" i="3"/>
  <c r="E425" i="3"/>
  <c r="D447" i="3"/>
  <c r="D61" i="3"/>
  <c r="E855" i="3"/>
  <c r="G450" i="3"/>
  <c r="E340" i="3"/>
  <c r="D341" i="3"/>
  <c r="F726" i="3"/>
  <c r="E1040" i="3"/>
  <c r="F1091" i="3"/>
  <c r="G309" i="3"/>
  <c r="F419" i="3"/>
  <c r="E677" i="3"/>
  <c r="G785" i="3"/>
  <c r="F34" i="3"/>
  <c r="G353" i="3"/>
  <c r="D973" i="3"/>
  <c r="G972" i="3"/>
  <c r="E276" i="3"/>
  <c r="E546" i="3"/>
  <c r="G941" i="3"/>
  <c r="F940" i="3"/>
  <c r="E1045" i="3"/>
  <c r="G391" i="3"/>
  <c r="D635" i="3"/>
  <c r="E782" i="3"/>
  <c r="G1032" i="3"/>
  <c r="E556" i="3"/>
  <c r="F990" i="3"/>
  <c r="E937" i="3"/>
  <c r="F41" i="3"/>
  <c r="D868" i="3"/>
  <c r="F671" i="3"/>
  <c r="D322" i="3"/>
  <c r="G254" i="3"/>
  <c r="E852" i="3"/>
  <c r="F400" i="3"/>
  <c r="D472" i="3"/>
  <c r="G115" i="3"/>
  <c r="D930" i="3"/>
  <c r="D518" i="3"/>
  <c r="E493" i="3"/>
  <c r="E104" i="3"/>
  <c r="E865" i="3"/>
  <c r="D571" i="3"/>
  <c r="G250" i="3"/>
  <c r="G222" i="3"/>
  <c r="E820" i="3"/>
  <c r="E814" i="3"/>
  <c r="F1034" i="3"/>
  <c r="E184" i="3"/>
  <c r="E432" i="3"/>
  <c r="E1011" i="3"/>
  <c r="D1002" i="3"/>
  <c r="F1030" i="3"/>
  <c r="G178" i="3"/>
  <c r="F433" i="3"/>
  <c r="F793" i="3"/>
  <c r="D838" i="3"/>
  <c r="D389" i="3"/>
  <c r="F774" i="3"/>
  <c r="E1086" i="3"/>
  <c r="D32" i="3"/>
  <c r="G357" i="3"/>
  <c r="F467" i="3"/>
  <c r="E725" i="3"/>
  <c r="G843" i="3"/>
  <c r="E33" i="3"/>
  <c r="F266" i="3"/>
  <c r="G864" i="3"/>
  <c r="G1082" i="3"/>
  <c r="G395" i="3"/>
  <c r="G204" i="3"/>
  <c r="G507" i="3"/>
  <c r="D349" i="3"/>
  <c r="F339" i="3"/>
  <c r="G1060" i="3"/>
  <c r="G666" i="3"/>
  <c r="G461" i="3"/>
  <c r="E206" i="3"/>
  <c r="G868" i="3"/>
  <c r="D662" i="3"/>
  <c r="D319" i="3"/>
  <c r="G231" i="3"/>
  <c r="G211" i="3"/>
  <c r="D614" i="3"/>
  <c r="D329" i="3"/>
  <c r="F307" i="3"/>
  <c r="G1028" i="3"/>
  <c r="D767" i="3"/>
  <c r="D470" i="3"/>
  <c r="F182" i="3"/>
  <c r="E437" i="3"/>
  <c r="D867" i="3"/>
  <c r="G858" i="3"/>
  <c r="E150" i="3"/>
  <c r="F719" i="3"/>
  <c r="G181" i="3"/>
  <c r="E585" i="3"/>
  <c r="G251" i="3"/>
  <c r="E1013" i="3"/>
  <c r="E647" i="3"/>
  <c r="F679" i="3"/>
  <c r="G567" i="3"/>
  <c r="E205" i="3"/>
  <c r="D892" i="3"/>
  <c r="E893" i="3"/>
  <c r="D599" i="3"/>
  <c r="F1070" i="3"/>
  <c r="F673" i="3"/>
  <c r="D695" i="3"/>
  <c r="F314" i="3"/>
  <c r="G1055" i="3"/>
  <c r="F988" i="3"/>
  <c r="G989" i="3"/>
  <c r="E594" i="3"/>
  <c r="D104" i="3"/>
  <c r="D452" i="3"/>
  <c r="E413" i="3"/>
  <c r="D124" i="3"/>
  <c r="D850" i="3"/>
  <c r="E436" i="3"/>
  <c r="F477" i="3"/>
  <c r="E1047" i="3"/>
  <c r="G625" i="3"/>
  <c r="G400" i="3"/>
  <c r="D374" i="3"/>
  <c r="F1064" i="3"/>
  <c r="D598" i="3"/>
  <c r="D352" i="3"/>
  <c r="F326" i="3"/>
  <c r="D1084" i="3"/>
  <c r="G685" i="3"/>
  <c r="F393" i="3"/>
  <c r="D371" i="3"/>
  <c r="F535" i="3"/>
  <c r="D752" i="3"/>
  <c r="G959" i="3"/>
  <c r="E130" i="3"/>
  <c r="E503" i="3"/>
  <c r="D497" i="3"/>
  <c r="G847" i="3"/>
  <c r="F886" i="3"/>
  <c r="D129" i="3"/>
  <c r="D409" i="3"/>
  <c r="G1039" i="3"/>
  <c r="F991" i="3"/>
  <c r="E64" i="3"/>
  <c r="E535" i="3"/>
  <c r="F752" i="3"/>
  <c r="E959" i="3"/>
  <c r="E1014" i="3"/>
  <c r="G162" i="3"/>
  <c r="F417" i="3"/>
  <c r="E796" i="3"/>
  <c r="D822" i="3"/>
  <c r="G316" i="3"/>
  <c r="E665" i="3"/>
  <c r="D107" i="3"/>
  <c r="D1042" i="3"/>
  <c r="E608" i="3"/>
  <c r="G218" i="3"/>
  <c r="G176" i="3"/>
  <c r="G1026" i="3"/>
  <c r="G88" i="3"/>
  <c r="F415" i="3"/>
  <c r="G45" i="3"/>
  <c r="E839" i="3"/>
  <c r="G434" i="3"/>
  <c r="G308" i="3"/>
  <c r="E25" i="3"/>
  <c r="F804" i="3"/>
  <c r="E450" i="3"/>
  <c r="G340" i="3"/>
  <c r="G63" i="3"/>
  <c r="E724" i="3"/>
  <c r="G1051" i="3"/>
  <c r="E55" i="3"/>
  <c r="D300" i="3"/>
  <c r="E790" i="3"/>
  <c r="E1065" i="3"/>
  <c r="D23" i="3"/>
  <c r="F126" i="3"/>
  <c r="F408" i="3"/>
  <c r="F757" i="3"/>
  <c r="D875" i="3"/>
  <c r="G502" i="3"/>
  <c r="D81" i="3"/>
  <c r="E999" i="3"/>
  <c r="E676" i="3"/>
  <c r="D685" i="3"/>
  <c r="F98" i="3"/>
  <c r="G161" i="3"/>
  <c r="G485" i="3"/>
  <c r="F601" i="3"/>
  <c r="G532" i="3"/>
  <c r="E837" i="3"/>
  <c r="E147" i="3"/>
  <c r="E529" i="3"/>
  <c r="D580" i="3"/>
  <c r="F134" i="3"/>
  <c r="F494" i="3"/>
  <c r="D819" i="3"/>
  <c r="G810" i="3"/>
  <c r="E116" i="3"/>
  <c r="G127" i="3"/>
  <c r="E497" i="3"/>
  <c r="F548" i="3"/>
  <c r="G982" i="3"/>
  <c r="E146" i="3"/>
  <c r="E403" i="3"/>
  <c r="D304" i="3"/>
  <c r="F342" i="3"/>
  <c r="E1037" i="3"/>
  <c r="E807" i="3"/>
  <c r="G466" i="3"/>
  <c r="D356" i="3"/>
  <c r="G807" i="3"/>
  <c r="D475" i="3"/>
  <c r="E636" i="3"/>
  <c r="F789" i="3"/>
  <c r="F783" i="3"/>
  <c r="G1070" i="3"/>
  <c r="F265" i="3"/>
  <c r="D514" i="3"/>
  <c r="D771" i="3"/>
  <c r="F888" i="3"/>
  <c r="E540" i="3"/>
  <c r="F974" i="3"/>
  <c r="E921" i="3"/>
  <c r="F192" i="3"/>
  <c r="E605" i="3"/>
  <c r="D611" i="3"/>
  <c r="F755" i="3"/>
  <c r="D856" i="3"/>
  <c r="F210" i="3"/>
  <c r="D552" i="3"/>
  <c r="F586" i="3"/>
  <c r="D68" i="3"/>
  <c r="F1044" i="3"/>
  <c r="F778" i="3"/>
  <c r="G361" i="3"/>
  <c r="D262" i="3"/>
  <c r="E1090" i="3"/>
  <c r="E603" i="3"/>
  <c r="D461" i="3"/>
  <c r="E469" i="3"/>
  <c r="E145" i="3"/>
  <c r="F554" i="3"/>
  <c r="E617" i="3"/>
  <c r="E283" i="3"/>
  <c r="D824" i="3"/>
  <c r="F723" i="3"/>
  <c r="D579" i="3"/>
  <c r="E573" i="3"/>
  <c r="D232" i="3"/>
  <c r="E889" i="3"/>
  <c r="F942" i="3"/>
  <c r="F605" i="3"/>
  <c r="G1048" i="3"/>
  <c r="E760" i="3"/>
  <c r="E748" i="3"/>
  <c r="D531" i="3"/>
  <c r="E129" i="3"/>
  <c r="D855" i="3"/>
  <c r="F834" i="3"/>
  <c r="G837" i="3"/>
  <c r="G623" i="3"/>
  <c r="D585" i="3"/>
  <c r="D249" i="3"/>
  <c r="G1023" i="3"/>
  <c r="G1001" i="3"/>
  <c r="G1054" i="3"/>
  <c r="G620" i="3"/>
  <c r="E214" i="3"/>
  <c r="G812" i="3"/>
  <c r="D813" i="3"/>
  <c r="G281" i="3"/>
  <c r="E1070" i="3"/>
  <c r="F750" i="3"/>
  <c r="F638" i="3"/>
  <c r="E330" i="3"/>
  <c r="F237" i="3"/>
  <c r="E908" i="3"/>
  <c r="F909" i="3"/>
  <c r="D227" i="3"/>
  <c r="G951" i="3"/>
  <c r="D505" i="3"/>
  <c r="F502" i="3"/>
  <c r="G122" i="3"/>
  <c r="D935" i="3"/>
  <c r="D211" i="3"/>
  <c r="F310" i="3"/>
  <c r="D1064" i="3"/>
  <c r="G669" i="3"/>
  <c r="F377" i="3"/>
  <c r="D355" i="3"/>
  <c r="D170" i="3"/>
  <c r="D778" i="3"/>
  <c r="D393" i="3"/>
  <c r="F371" i="3"/>
  <c r="F1090" i="3"/>
  <c r="G698" i="3"/>
  <c r="G429" i="3"/>
  <c r="E105" i="3"/>
  <c r="F478" i="3"/>
  <c r="D801" i="3"/>
  <c r="F787" i="3"/>
  <c r="F100" i="3"/>
  <c r="D180" i="3"/>
  <c r="E481" i="3"/>
  <c r="E528" i="3"/>
  <c r="G966" i="3"/>
  <c r="F129" i="3"/>
  <c r="D665" i="3"/>
  <c r="E1051" i="3"/>
  <c r="F55" i="3"/>
  <c r="D274" i="3"/>
  <c r="G790" i="3"/>
  <c r="G732" i="3"/>
  <c r="F987" i="3"/>
  <c r="G71" i="3"/>
  <c r="E408" i="3"/>
  <c r="G677" i="3"/>
  <c r="F785" i="3"/>
  <c r="E318" i="3"/>
  <c r="G699" i="3"/>
  <c r="E95" i="3"/>
  <c r="E799" i="3"/>
  <c r="D630" i="3"/>
  <c r="E383" i="3"/>
  <c r="F188" i="3"/>
  <c r="F1009" i="3"/>
  <c r="E329" i="3"/>
  <c r="E525" i="3"/>
  <c r="E121" i="3"/>
  <c r="D866" i="3"/>
  <c r="E452" i="3"/>
  <c r="F413" i="3"/>
  <c r="E204" i="3"/>
  <c r="F818" i="3"/>
  <c r="G468" i="3"/>
  <c r="F445" i="3"/>
  <c r="G81" i="3"/>
  <c r="D967" i="3"/>
  <c r="G896" i="3"/>
  <c r="E1057" i="3"/>
  <c r="F302" i="3"/>
  <c r="D667" i="3"/>
  <c r="F864" i="3"/>
  <c r="F1082" i="3"/>
  <c r="E35" i="3"/>
  <c r="D410" i="3"/>
  <c r="F653" i="3"/>
  <c r="F769" i="3"/>
  <c r="F1035" i="3"/>
  <c r="F636" i="3"/>
  <c r="G789" i="3"/>
  <c r="E783" i="3"/>
  <c r="G287" i="3"/>
  <c r="D604" i="3"/>
  <c r="G606" i="3"/>
  <c r="E718" i="3"/>
  <c r="D952" i="3"/>
  <c r="E233" i="3"/>
  <c r="G648" i="3"/>
  <c r="F659" i="3"/>
  <c r="G135" i="3"/>
  <c r="D464" i="3"/>
  <c r="G68" i="3"/>
  <c r="E313" i="3"/>
  <c r="G292" i="3"/>
  <c r="D1044" i="3"/>
  <c r="D746" i="3"/>
  <c r="F297" i="3"/>
  <c r="F388" i="3"/>
  <c r="G62" i="3"/>
  <c r="F1015" i="3"/>
  <c r="E537" i="3"/>
  <c r="E438" i="3"/>
  <c r="D99" i="3"/>
  <c r="E107" i="3"/>
  <c r="E520" i="3"/>
  <c r="G488" i="3"/>
  <c r="E137" i="3"/>
  <c r="D946" i="3"/>
  <c r="F571" i="3"/>
  <c r="F290" i="3"/>
  <c r="E223" i="3"/>
  <c r="F540" i="3"/>
  <c r="G958" i="3"/>
  <c r="F905" i="3"/>
  <c r="D192" i="3"/>
  <c r="G249" i="3"/>
  <c r="D476" i="3"/>
  <c r="D660" i="3"/>
  <c r="F821" i="3"/>
  <c r="G189" i="3"/>
  <c r="G649" i="3"/>
  <c r="D1074" i="3"/>
  <c r="G91" i="3"/>
  <c r="D407" i="3"/>
  <c r="G761" i="3"/>
  <c r="F847" i="3"/>
  <c r="E886" i="3"/>
  <c r="E85" i="3"/>
  <c r="E531" i="3"/>
  <c r="F668" i="3"/>
  <c r="E923" i="3"/>
  <c r="D309" i="3"/>
  <c r="F694" i="3"/>
  <c r="E1008" i="3"/>
  <c r="F204" i="3"/>
  <c r="E1064" i="3"/>
  <c r="D701" i="3"/>
  <c r="F384" i="3"/>
  <c r="D358" i="3"/>
  <c r="D1027" i="3"/>
  <c r="F698" i="3"/>
  <c r="D313" i="3"/>
  <c r="E292" i="3"/>
  <c r="F1012" i="3"/>
  <c r="D751" i="3"/>
  <c r="D454" i="3"/>
  <c r="D52" i="3"/>
  <c r="D964" i="3"/>
  <c r="D733" i="3"/>
  <c r="F352" i="3"/>
  <c r="D326" i="3"/>
  <c r="D1085" i="3"/>
  <c r="G736" i="3"/>
  <c r="F943" i="3"/>
  <c r="D130" i="3"/>
  <c r="D487" i="3"/>
  <c r="F704" i="3"/>
  <c r="E90" i="3"/>
  <c r="D640" i="3"/>
  <c r="E435" i="3"/>
  <c r="E70" i="3"/>
  <c r="G1003" i="3"/>
  <c r="D559" i="3"/>
  <c r="G508" i="3"/>
  <c r="D510" i="3"/>
  <c r="D150" i="3"/>
  <c r="F874" i="3"/>
  <c r="G883" i="3"/>
  <c r="D437" i="3"/>
  <c r="G1062" i="3"/>
  <c r="F575" i="3"/>
  <c r="D534" i="3"/>
  <c r="G196" i="3"/>
  <c r="D981" i="3"/>
  <c r="D970" i="3"/>
  <c r="E979" i="3"/>
  <c r="E533" i="3"/>
  <c r="G187" i="3"/>
  <c r="F646" i="3"/>
  <c r="F367" i="3"/>
  <c r="D238" i="3"/>
  <c r="F868" i="3"/>
  <c r="G630" i="3"/>
  <c r="E511" i="3"/>
  <c r="G142" i="3"/>
  <c r="E914" i="3"/>
  <c r="E545" i="3"/>
  <c r="E509" i="3"/>
  <c r="E76" i="3"/>
  <c r="D72" i="3"/>
  <c r="D484" i="3"/>
  <c r="F461" i="3"/>
  <c r="G92" i="3"/>
  <c r="D818" i="3"/>
  <c r="G537" i="3"/>
  <c r="G454" i="3"/>
  <c r="E278" i="3"/>
  <c r="G667" i="3"/>
  <c r="E848" i="3"/>
  <c r="D1031" i="3"/>
  <c r="E379" i="3"/>
  <c r="D353" i="3"/>
  <c r="G775" i="3"/>
  <c r="E753" i="3"/>
  <c r="F1071" i="3"/>
  <c r="D298" i="3"/>
  <c r="F1054" i="3"/>
  <c r="D1001" i="3"/>
  <c r="D287" i="3"/>
  <c r="G588" i="3"/>
  <c r="G1022" i="3"/>
  <c r="G969" i="3"/>
  <c r="D1032" i="3"/>
  <c r="D217" i="3"/>
  <c r="F579" i="3"/>
  <c r="D723" i="3"/>
  <c r="F840" i="3"/>
  <c r="G448" i="3"/>
  <c r="E795" i="3"/>
  <c r="F42" i="3"/>
  <c r="D772" i="3"/>
  <c r="E418" i="3"/>
  <c r="D388" i="3"/>
  <c r="G30" i="3"/>
  <c r="E756" i="3"/>
  <c r="D236" i="3"/>
  <c r="F261" i="3"/>
  <c r="G996" i="3"/>
  <c r="E767" i="3"/>
  <c r="G322" i="3"/>
  <c r="F254" i="3"/>
  <c r="E155" i="3"/>
  <c r="G719" i="3"/>
  <c r="E338" i="3"/>
  <c r="G197" i="3"/>
  <c r="F900" i="3"/>
  <c r="G662" i="3"/>
  <c r="E479" i="3"/>
  <c r="D168" i="3"/>
  <c r="D432" i="3"/>
  <c r="D995" i="3"/>
  <c r="G986" i="3"/>
  <c r="G136" i="3"/>
  <c r="E235" i="3"/>
  <c r="G553" i="3"/>
  <c r="E591" i="3"/>
  <c r="F885" i="3"/>
  <c r="G180" i="3"/>
  <c r="G720" i="3"/>
  <c r="F927" i="3"/>
  <c r="D114" i="3"/>
  <c r="D471" i="3"/>
  <c r="F688" i="3"/>
  <c r="E895" i="3"/>
  <c r="E950" i="3"/>
  <c r="F112" i="3"/>
  <c r="G458" i="3"/>
  <c r="F732" i="3"/>
  <c r="E987" i="3"/>
  <c r="D373" i="3"/>
  <c r="F758" i="3"/>
  <c r="F133" i="3"/>
  <c r="E86" i="3"/>
  <c r="D122" i="3"/>
  <c r="F999" i="3"/>
  <c r="F708" i="3"/>
  <c r="D427" i="3"/>
  <c r="F333" i="3"/>
  <c r="D884" i="3"/>
  <c r="F687" i="3"/>
  <c r="D399" i="3"/>
  <c r="G206" i="3"/>
  <c r="D799" i="3"/>
  <c r="D402" i="3"/>
  <c r="E345" i="3"/>
  <c r="G323" i="3"/>
  <c r="G1063" i="3"/>
  <c r="D714" i="3"/>
  <c r="E400" i="3"/>
  <c r="G374" i="3"/>
  <c r="G407" i="3"/>
  <c r="E761" i="3"/>
  <c r="D1061" i="3"/>
  <c r="F53" i="3"/>
  <c r="F380" i="3"/>
  <c r="E474" i="3"/>
  <c r="F770" i="3"/>
  <c r="D744" i="3"/>
  <c r="G35" i="3"/>
  <c r="F288" i="3"/>
  <c r="D909" i="3"/>
  <c r="G908" i="3"/>
  <c r="D237" i="3"/>
  <c r="F583" i="3"/>
  <c r="G877" i="3"/>
  <c r="F876" i="3"/>
  <c r="E1092" i="3"/>
  <c r="G327" i="3"/>
  <c r="E606" i="3"/>
  <c r="G718" i="3"/>
  <c r="F968" i="3"/>
  <c r="F589" i="3"/>
  <c r="F926" i="3"/>
  <c r="E873" i="3"/>
  <c r="G172" i="3"/>
  <c r="F914" i="3"/>
  <c r="F577" i="3"/>
  <c r="G526" i="3"/>
  <c r="D115" i="3"/>
  <c r="G898" i="3"/>
  <c r="E234" i="3"/>
  <c r="F454" i="3"/>
  <c r="F122" i="3"/>
  <c r="E967" i="3"/>
  <c r="F457" i="3"/>
  <c r="G479" i="3"/>
  <c r="F259" i="3"/>
  <c r="G919" i="3"/>
  <c r="F609" i="3"/>
  <c r="G472" i="3"/>
  <c r="E158" i="3"/>
  <c r="G866" i="3"/>
  <c r="D989" i="3"/>
  <c r="G988" i="3"/>
  <c r="G299" i="3"/>
  <c r="E562" i="3"/>
  <c r="G957" i="3"/>
  <c r="F956" i="3"/>
  <c r="D608" i="3"/>
  <c r="F104" i="3"/>
  <c r="D251" i="3"/>
  <c r="E872" i="3"/>
  <c r="G675" i="3"/>
  <c r="G663" i="3"/>
  <c r="E378" i="3"/>
  <c r="E541" i="3"/>
  <c r="D200" i="3"/>
  <c r="E857" i="3"/>
  <c r="F910" i="3"/>
  <c r="F573" i="3"/>
  <c r="F824" i="3"/>
  <c r="D707" i="3"/>
  <c r="F563" i="3"/>
  <c r="D201" i="3"/>
  <c r="G1016" i="3"/>
  <c r="G953" i="3"/>
  <c r="D1006" i="3"/>
  <c r="G572" i="3"/>
  <c r="D139" i="3"/>
  <c r="F434" i="3"/>
  <c r="E324" i="3"/>
  <c r="G29" i="3"/>
  <c r="E823" i="3"/>
  <c r="G418" i="3"/>
  <c r="G372" i="3"/>
  <c r="D1012" i="3"/>
  <c r="E682" i="3"/>
  <c r="E402" i="3"/>
  <c r="G261" i="3"/>
  <c r="E932" i="3"/>
  <c r="D523" i="3"/>
  <c r="F354" i="3"/>
  <c r="D213" i="3"/>
  <c r="G948" i="3"/>
  <c r="E719" i="3"/>
  <c r="E399" i="3"/>
  <c r="F206" i="3"/>
  <c r="G416" i="3"/>
  <c r="G995" i="3"/>
  <c r="F986" i="3"/>
  <c r="D109" i="3"/>
  <c r="G517" i="3"/>
  <c r="G536" i="3"/>
  <c r="G570" i="3"/>
  <c r="E869" i="3"/>
  <c r="E179" i="3"/>
  <c r="F428" i="3"/>
  <c r="D612" i="3"/>
  <c r="E98" i="3"/>
  <c r="G471" i="3"/>
  <c r="E672" i="3"/>
  <c r="D879" i="3"/>
  <c r="D60" i="3"/>
  <c r="F178" i="3"/>
  <c r="F442" i="3"/>
  <c r="G796" i="3"/>
  <c r="G822" i="3"/>
  <c r="G110" i="3"/>
  <c r="E742" i="3"/>
  <c r="E1039" i="3"/>
  <c r="G52" i="3"/>
  <c r="E555" i="3"/>
  <c r="G193" i="3"/>
  <c r="F224" i="3"/>
  <c r="G897" i="3"/>
  <c r="F538" i="3"/>
  <c r="E170" i="3"/>
  <c r="F374" i="3"/>
  <c r="G1083" i="3"/>
  <c r="G733" i="3"/>
  <c r="E320" i="3"/>
  <c r="G294" i="3"/>
  <c r="E120" i="3"/>
  <c r="E685" i="3"/>
  <c r="G336" i="3"/>
  <c r="E310" i="3"/>
  <c r="D1072" i="3"/>
  <c r="G762" i="3"/>
  <c r="G493" i="3"/>
  <c r="G64" i="3"/>
  <c r="F414" i="3"/>
  <c r="E752" i="3"/>
  <c r="D959" i="3"/>
  <c r="G73" i="3"/>
  <c r="F189" i="3"/>
  <c r="E417" i="3"/>
  <c r="G863" i="3"/>
  <c r="G902" i="3"/>
  <c r="F80" i="3"/>
  <c r="E758" i="3"/>
  <c r="D1086" i="3"/>
  <c r="G32" i="3"/>
  <c r="F341" i="3"/>
  <c r="D726" i="3"/>
  <c r="G668" i="3"/>
  <c r="F923" i="3"/>
  <c r="E344" i="3"/>
  <c r="D770" i="3"/>
  <c r="F744" i="3"/>
  <c r="F379" i="3"/>
  <c r="F658" i="3"/>
  <c r="E72" i="3"/>
  <c r="D259" i="3"/>
  <c r="F185" i="3"/>
  <c r="F1026" i="3"/>
  <c r="G624" i="3"/>
  <c r="E548" i="3"/>
  <c r="F160" i="3"/>
  <c r="G839" i="3"/>
  <c r="E498" i="3"/>
  <c r="D404" i="3"/>
  <c r="G46" i="3"/>
  <c r="E772" i="3"/>
  <c r="E54" i="3"/>
  <c r="G41" i="3"/>
  <c r="E81" i="3"/>
  <c r="G803" i="3"/>
  <c r="F420" i="3"/>
  <c r="F581" i="3"/>
  <c r="G137" i="3"/>
  <c r="D583" i="3"/>
  <c r="E877" i="3"/>
  <c r="D876" i="3"/>
  <c r="D190" i="3"/>
  <c r="G551" i="3"/>
  <c r="F663" i="3"/>
  <c r="F675" i="3"/>
  <c r="E997" i="3"/>
  <c r="G235" i="3"/>
  <c r="E569" i="3"/>
  <c r="G607" i="3"/>
  <c r="D116" i="3"/>
  <c r="F462" i="3"/>
  <c r="E800" i="3"/>
  <c r="D1007" i="3"/>
  <c r="F84" i="3"/>
  <c r="D164" i="3"/>
  <c r="E465" i="3"/>
  <c r="G613" i="3"/>
  <c r="G950" i="3"/>
  <c r="G128" i="3"/>
  <c r="D713" i="3"/>
  <c r="E1080" i="3"/>
  <c r="D21" i="3"/>
  <c r="G133" i="3"/>
  <c r="F682" i="3"/>
  <c r="D297" i="3"/>
  <c r="G273" i="3"/>
  <c r="E240" i="3"/>
  <c r="F881" i="3"/>
  <c r="F450" i="3"/>
  <c r="F565" i="3"/>
  <c r="E185" i="3"/>
  <c r="D994" i="3"/>
  <c r="D593" i="3"/>
  <c r="G440" i="3"/>
  <c r="G140" i="3"/>
  <c r="F946" i="3"/>
  <c r="G524" i="3"/>
  <c r="F241" i="3"/>
  <c r="E208" i="3"/>
  <c r="F849" i="3"/>
  <c r="E1006" i="3"/>
  <c r="D953" i="3"/>
  <c r="F239" i="3"/>
  <c r="G540" i="3"/>
  <c r="D974" i="3"/>
  <c r="G1072" i="3"/>
  <c r="G1041" i="3"/>
  <c r="D854" i="3"/>
  <c r="E815" i="3"/>
  <c r="F449" i="3"/>
  <c r="G244" i="3"/>
  <c r="G808" i="3"/>
  <c r="E1018" i="3"/>
  <c r="D795" i="3"/>
  <c r="E448" i="3"/>
  <c r="D135" i="3"/>
  <c r="F1050" i="3"/>
  <c r="E830" i="3"/>
  <c r="D203" i="3"/>
  <c r="E824" i="3"/>
  <c r="F650" i="3"/>
  <c r="F616" i="3"/>
  <c r="G217" i="3"/>
  <c r="E232" i="3"/>
  <c r="F873" i="3"/>
  <c r="G926" i="3"/>
  <c r="E57" i="3"/>
  <c r="D708" i="3"/>
  <c r="F491" i="3"/>
  <c r="E308" i="3"/>
  <c r="D31" i="3"/>
  <c r="E692" i="3"/>
  <c r="E42" i="3"/>
  <c r="D197" i="3"/>
  <c r="G932" i="3"/>
  <c r="E703" i="3"/>
  <c r="D383" i="3"/>
  <c r="D188" i="3"/>
  <c r="D220" i="3"/>
  <c r="G651" i="3"/>
  <c r="F399" i="3"/>
  <c r="D206" i="3"/>
  <c r="F836" i="3"/>
  <c r="E598" i="3"/>
  <c r="E415" i="3"/>
  <c r="G167" i="3"/>
  <c r="D496" i="3"/>
  <c r="G830" i="3"/>
  <c r="E1050" i="3"/>
  <c r="F135" i="3"/>
  <c r="D194" i="3"/>
  <c r="G617" i="3"/>
  <c r="D554" i="3"/>
  <c r="F949" i="3"/>
  <c r="F179" i="3"/>
  <c r="D784" i="3"/>
  <c r="F878" i="3"/>
  <c r="E825" i="3"/>
  <c r="E167" i="3"/>
  <c r="F496" i="3"/>
  <c r="F648" i="3"/>
  <c r="E659" i="3"/>
  <c r="E981" i="3"/>
  <c r="G219" i="3"/>
  <c r="E553" i="3"/>
  <c r="G591" i="3"/>
  <c r="F150" i="3"/>
  <c r="E243" i="3"/>
  <c r="D77" i="3"/>
  <c r="G99" i="3"/>
  <c r="F935" i="3"/>
  <c r="E521" i="3"/>
  <c r="F422" i="3"/>
  <c r="E106" i="3"/>
  <c r="E669" i="3"/>
  <c r="G320" i="3"/>
  <c r="E294" i="3"/>
  <c r="E1085" i="3"/>
  <c r="G746" i="3"/>
  <c r="G477" i="3"/>
  <c r="F236" i="3"/>
  <c r="D1090" i="3"/>
  <c r="E762" i="3"/>
  <c r="G345" i="3"/>
  <c r="E323" i="3"/>
  <c r="E1012" i="3"/>
  <c r="F851" i="3"/>
  <c r="E842" i="3"/>
  <c r="G134" i="3"/>
  <c r="G478" i="3"/>
  <c r="E819" i="3"/>
  <c r="D810" i="3"/>
  <c r="D821" i="3"/>
  <c r="F173" i="3"/>
  <c r="F497" i="3"/>
  <c r="F475" i="3"/>
  <c r="D317" i="3"/>
  <c r="F260" i="3"/>
  <c r="E964" i="3"/>
  <c r="F304" i="3"/>
  <c r="E1054" i="3"/>
  <c r="F1001" i="3"/>
  <c r="E287" i="3"/>
  <c r="F327" i="3"/>
  <c r="E611" i="3"/>
  <c r="G755" i="3"/>
  <c r="E952" i="3"/>
  <c r="G226" i="3"/>
  <c r="E958" i="3"/>
  <c r="D905" i="3"/>
  <c r="E192" i="3"/>
  <c r="D589" i="3"/>
  <c r="D926" i="3"/>
  <c r="G873" i="3"/>
  <c r="G936" i="3"/>
  <c r="E194" i="3"/>
  <c r="G616" i="3"/>
  <c r="E650" i="3"/>
  <c r="G965" i="3"/>
  <c r="G195" i="3"/>
  <c r="F630" i="3"/>
  <c r="E286" i="3"/>
  <c r="F387" i="3"/>
  <c r="D1041" i="3"/>
  <c r="E778" i="3"/>
  <c r="G509" i="3"/>
  <c r="E333" i="3"/>
  <c r="F317" i="3"/>
  <c r="G334" i="3"/>
  <c r="E715" i="3"/>
  <c r="E655" i="3"/>
  <c r="D792" i="3"/>
  <c r="G28" i="3"/>
  <c r="F321" i="3"/>
  <c r="E759" i="3"/>
  <c r="G737" i="3"/>
  <c r="F363" i="3"/>
  <c r="F642" i="3"/>
  <c r="D791" i="3"/>
  <c r="E1020" i="3"/>
  <c r="E331" i="3"/>
  <c r="D305" i="3"/>
  <c r="G727" i="3"/>
  <c r="E705" i="3"/>
  <c r="F1068" i="3"/>
  <c r="E375" i="3"/>
  <c r="F155" i="3"/>
  <c r="E257" i="3"/>
  <c r="F215" i="3"/>
  <c r="D993" i="3"/>
  <c r="F566" i="3"/>
  <c r="D284" i="3"/>
  <c r="G199" i="3"/>
  <c r="G339" i="3"/>
  <c r="E63" i="3"/>
  <c r="E729" i="3"/>
  <c r="G380" i="3"/>
  <c r="D886" i="3"/>
  <c r="E847" i="3"/>
  <c r="F481" i="3"/>
  <c r="F157" i="3"/>
  <c r="D805" i="3"/>
  <c r="D787" i="3"/>
  <c r="F801" i="3"/>
  <c r="G462" i="3"/>
  <c r="G105" i="3"/>
  <c r="E826" i="3"/>
  <c r="F835" i="3"/>
  <c r="F249" i="3"/>
  <c r="E1048" i="3"/>
  <c r="D680" i="3"/>
  <c r="F706" i="3"/>
  <c r="G296" i="3"/>
  <c r="F1067" i="3"/>
  <c r="E165" i="3"/>
  <c r="F70" i="3"/>
  <c r="G854" i="3"/>
  <c r="D815" i="3"/>
  <c r="D492" i="3"/>
  <c r="G186" i="3"/>
  <c r="D161" i="3"/>
  <c r="G938" i="3"/>
  <c r="D947" i="3"/>
  <c r="F517" i="3"/>
  <c r="E109" i="3"/>
  <c r="G575" i="3"/>
  <c r="F534" i="3"/>
  <c r="G203" i="3"/>
  <c r="E965" i="3"/>
  <c r="E627" i="3"/>
  <c r="F632" i="3"/>
  <c r="F480" i="3"/>
  <c r="E151" i="3"/>
  <c r="F207" i="3"/>
  <c r="G139" i="3"/>
  <c r="D1083" i="3"/>
  <c r="D765" i="3"/>
  <c r="E443" i="3"/>
  <c r="F280" i="3"/>
  <c r="E1067" i="3"/>
  <c r="F662" i="3"/>
  <c r="F383" i="3"/>
  <c r="E188" i="3"/>
  <c r="F820" i="3"/>
  <c r="E582" i="3"/>
  <c r="G404" i="3"/>
  <c r="D86" i="3"/>
  <c r="E993" i="3"/>
  <c r="G598" i="3"/>
  <c r="F284" i="3"/>
  <c r="D199" i="3"/>
  <c r="F913" i="3"/>
  <c r="E942" i="3"/>
  <c r="D889" i="3"/>
  <c r="G248" i="3"/>
  <c r="D573" i="3"/>
  <c r="D910" i="3"/>
  <c r="G857" i="3"/>
  <c r="G920" i="3"/>
  <c r="D283" i="3"/>
  <c r="G600" i="3"/>
  <c r="E634" i="3"/>
  <c r="G949" i="3"/>
  <c r="E510" i="3"/>
  <c r="G851" i="3"/>
  <c r="F842" i="3"/>
  <c r="D105" i="3"/>
  <c r="D478" i="3"/>
  <c r="G476" i="3"/>
  <c r="F660" i="3"/>
  <c r="F998" i="3"/>
  <c r="G173" i="3"/>
  <c r="G417" i="3"/>
  <c r="G1079" i="3"/>
  <c r="D69" i="3"/>
  <c r="E171" i="3"/>
  <c r="F52" i="3"/>
  <c r="E115" i="3"/>
  <c r="E962" i="3"/>
  <c r="D560" i="3"/>
  <c r="E526" i="3"/>
  <c r="G169" i="3"/>
  <c r="F788" i="3"/>
  <c r="E434" i="3"/>
  <c r="D324" i="3"/>
  <c r="D47" i="3"/>
  <c r="E708" i="3"/>
  <c r="G117" i="3"/>
  <c r="G107" i="3"/>
  <c r="G56" i="3"/>
  <c r="G724" i="3"/>
  <c r="E475" i="3"/>
  <c r="G317" i="3"/>
  <c r="D1047" i="3"/>
  <c r="D745" i="3"/>
  <c r="G1061" i="3"/>
  <c r="D53" i="3"/>
  <c r="E364" i="3"/>
  <c r="G713" i="3"/>
  <c r="E793" i="3"/>
  <c r="E838" i="3"/>
  <c r="D110" i="3"/>
  <c r="D483" i="3"/>
  <c r="G757" i="3"/>
  <c r="E875" i="3"/>
  <c r="E334" i="3"/>
  <c r="G715" i="3"/>
  <c r="E896" i="3"/>
  <c r="D1057" i="3"/>
  <c r="D302" i="3"/>
  <c r="E266" i="3"/>
  <c r="F690" i="3"/>
  <c r="D664" i="3"/>
  <c r="G1096" i="3"/>
  <c r="D346" i="3"/>
  <c r="D893" i="3"/>
  <c r="G892" i="3"/>
  <c r="D221" i="3"/>
  <c r="G243" i="3"/>
  <c r="E619" i="3"/>
  <c r="D257" i="3"/>
  <c r="E215" i="3"/>
  <c r="G961" i="3"/>
  <c r="F603" i="3"/>
  <c r="G102" i="3"/>
  <c r="E301" i="3"/>
  <c r="F24" i="3"/>
  <c r="F657" i="3"/>
  <c r="E384" i="3"/>
  <c r="G358" i="3"/>
  <c r="F93" i="3"/>
  <c r="G855" i="3"/>
  <c r="G403" i="3"/>
  <c r="D431" i="3"/>
  <c r="E108" i="3"/>
  <c r="F803" i="3"/>
  <c r="G832" i="3"/>
  <c r="D1052" i="3"/>
  <c r="G363" i="3"/>
  <c r="E626" i="3"/>
  <c r="F791" i="3"/>
  <c r="G1020" i="3"/>
  <c r="D1048" i="3"/>
  <c r="D233" i="3"/>
  <c r="F595" i="3"/>
  <c r="D739" i="3"/>
  <c r="F856" i="3"/>
  <c r="D533" i="3"/>
  <c r="G979" i="3"/>
  <c r="F970" i="3"/>
  <c r="G177" i="3"/>
  <c r="G501" i="3"/>
  <c r="F617" i="3"/>
  <c r="G554" i="3"/>
  <c r="E853" i="3"/>
  <c r="E163" i="3"/>
  <c r="F412" i="3"/>
  <c r="D596" i="3"/>
  <c r="D73" i="3"/>
  <c r="D519" i="3"/>
  <c r="F25" i="3"/>
  <c r="G383" i="3"/>
  <c r="G188" i="3"/>
  <c r="G852" i="3"/>
  <c r="E687" i="3"/>
  <c r="D367" i="3"/>
  <c r="F238" i="3"/>
  <c r="E913" i="3"/>
  <c r="D619" i="3"/>
  <c r="F225" i="3"/>
  <c r="G191" i="3"/>
  <c r="F833" i="3"/>
  <c r="D57" i="3"/>
  <c r="E250" i="3"/>
  <c r="E222" i="3"/>
  <c r="G884" i="3"/>
  <c r="F651" i="3"/>
  <c r="D335" i="3"/>
  <c r="G247" i="3"/>
  <c r="G480" i="3"/>
  <c r="F830" i="3"/>
  <c r="D1050" i="3"/>
  <c r="G184" i="3"/>
  <c r="E527" i="3"/>
  <c r="D526" i="3"/>
  <c r="E755" i="3"/>
  <c r="E743" i="3"/>
  <c r="F305" i="3"/>
  <c r="G103" i="3"/>
  <c r="G779" i="3"/>
  <c r="G764" i="3"/>
  <c r="G665" i="3"/>
  <c r="E316" i="3"/>
  <c r="E38" i="3"/>
  <c r="E1059" i="3"/>
  <c r="D697" i="3"/>
  <c r="D94" i="3"/>
  <c r="G806" i="3"/>
  <c r="G780" i="3"/>
  <c r="F426" i="3"/>
  <c r="F162" i="3"/>
  <c r="E91" i="3"/>
  <c r="F1074" i="3"/>
  <c r="D649" i="3"/>
  <c r="D181" i="3"/>
  <c r="F978" i="3"/>
  <c r="E544" i="3"/>
  <c r="G548" i="3"/>
  <c r="G185" i="3"/>
  <c r="G962" i="3"/>
  <c r="G111" i="3"/>
  <c r="D340" i="3"/>
  <c r="D30" i="3"/>
  <c r="E788" i="3"/>
  <c r="D507" i="3"/>
  <c r="E349" i="3"/>
  <c r="D79" i="3"/>
  <c r="D740" i="3"/>
  <c r="F523" i="3"/>
  <c r="E381" i="3"/>
  <c r="D56" i="3"/>
  <c r="D657" i="3"/>
  <c r="E1029" i="3"/>
  <c r="G37" i="3"/>
  <c r="D364" i="3"/>
  <c r="F697" i="3"/>
  <c r="D1059" i="3"/>
  <c r="G38" i="3"/>
  <c r="G80" i="3"/>
  <c r="G467" i="3"/>
  <c r="E684" i="3"/>
  <c r="D939" i="3"/>
  <c r="F49" i="3"/>
  <c r="F699" i="3"/>
  <c r="D896" i="3"/>
  <c r="G1057" i="3"/>
  <c r="F278" i="3"/>
  <c r="E667" i="3"/>
  <c r="E770" i="3"/>
  <c r="G744" i="3"/>
  <c r="E1055" i="3"/>
  <c r="E410" i="3"/>
  <c r="E711" i="3"/>
  <c r="G689" i="3"/>
  <c r="G205" i="3"/>
  <c r="E567" i="3"/>
  <c r="E20" i="3"/>
  <c r="F1060" i="3"/>
  <c r="E730" i="3"/>
  <c r="G377" i="3"/>
  <c r="E355" i="3"/>
  <c r="E1044" i="3"/>
  <c r="G609" i="3"/>
  <c r="G209" i="3"/>
  <c r="G175" i="3"/>
  <c r="G849" i="3"/>
  <c r="D624" i="3"/>
  <c r="E564" i="3"/>
  <c r="E154" i="3"/>
  <c r="G797" i="3"/>
  <c r="F640" i="3"/>
  <c r="G291" i="3"/>
  <c r="G144" i="3"/>
  <c r="G994" i="3"/>
  <c r="D861" i="3"/>
  <c r="G860" i="3"/>
  <c r="E190" i="3"/>
  <c r="D530" i="3"/>
  <c r="G829" i="3"/>
  <c r="F828" i="3"/>
  <c r="E1049" i="3"/>
  <c r="E268" i="3"/>
  <c r="E558" i="3"/>
  <c r="G670" i="3"/>
  <c r="F920" i="3"/>
  <c r="G464" i="3"/>
  <c r="F814" i="3"/>
  <c r="D1034" i="3"/>
  <c r="F168" i="3"/>
  <c r="F432" i="3"/>
  <c r="E584" i="3"/>
  <c r="G618" i="3"/>
  <c r="E917" i="3"/>
  <c r="D228" i="3"/>
  <c r="F476" i="3"/>
  <c r="G660" i="3"/>
  <c r="G100" i="3"/>
  <c r="F446" i="3"/>
  <c r="F195" i="3"/>
  <c r="G443" i="3"/>
  <c r="E280" i="3"/>
  <c r="G260" i="3"/>
  <c r="F996" i="3"/>
  <c r="D735" i="3"/>
  <c r="D502" i="3"/>
  <c r="G125" i="3"/>
  <c r="F1042" i="3"/>
  <c r="D576" i="3"/>
  <c r="D565" i="3"/>
  <c r="F115" i="3"/>
  <c r="G95" i="3"/>
  <c r="D550" i="3"/>
  <c r="D289" i="3"/>
  <c r="F256" i="3"/>
  <c r="G929" i="3"/>
  <c r="D703" i="3"/>
  <c r="D401" i="3"/>
  <c r="E177" i="3"/>
  <c r="E501" i="3"/>
  <c r="D931" i="3"/>
  <c r="G922" i="3"/>
  <c r="D145" i="3"/>
  <c r="F244" i="3"/>
  <c r="F458" i="3"/>
  <c r="D793" i="3"/>
  <c r="G838" i="3"/>
  <c r="G126" i="3"/>
  <c r="E694" i="3"/>
  <c r="F1024" i="3"/>
  <c r="E1075" i="3"/>
  <c r="D264" i="3"/>
  <c r="D661" i="3"/>
  <c r="D741" i="3"/>
  <c r="F859" i="3"/>
  <c r="D67" i="3"/>
  <c r="D266" i="3"/>
  <c r="D706" i="3"/>
  <c r="F680" i="3"/>
  <c r="F315" i="3"/>
  <c r="D594" i="3"/>
  <c r="F973" i="3"/>
  <c r="F154" i="3"/>
  <c r="E30" i="3"/>
  <c r="F807" i="3"/>
  <c r="D498" i="3"/>
  <c r="G388" i="3"/>
  <c r="E29" i="3"/>
  <c r="E657" i="3"/>
  <c r="F443" i="3"/>
  <c r="G280" i="3"/>
  <c r="F1047" i="3"/>
  <c r="F717" i="3"/>
  <c r="E565" i="3"/>
  <c r="D172" i="3"/>
  <c r="G1037" i="3"/>
  <c r="F839" i="3"/>
  <c r="D466" i="3"/>
  <c r="E356" i="3"/>
  <c r="G47" i="3"/>
  <c r="E774" i="3"/>
  <c r="G1033" i="3"/>
  <c r="G48" i="3"/>
  <c r="F357" i="3"/>
  <c r="D742" i="3"/>
  <c r="G684" i="3"/>
  <c r="E797" i="3"/>
  <c r="D54" i="3"/>
  <c r="G449" i="3"/>
  <c r="F132" i="3"/>
  <c r="D1030" i="3"/>
  <c r="F691" i="3"/>
  <c r="D547" i="3"/>
  <c r="G784" i="3"/>
  <c r="G430" i="3"/>
  <c r="D100" i="3"/>
  <c r="G787" i="3"/>
  <c r="E801" i="3"/>
  <c r="D157" i="3"/>
  <c r="E1062" i="3"/>
  <c r="D628" i="3"/>
  <c r="D444" i="3"/>
  <c r="F212" i="3"/>
  <c r="E182" i="3"/>
  <c r="G890" i="3"/>
  <c r="D899" i="3"/>
  <c r="D138" i="3"/>
  <c r="F746" i="3"/>
  <c r="D361" i="3"/>
  <c r="E262" i="3"/>
  <c r="D1069" i="3"/>
  <c r="G730" i="3"/>
  <c r="F405" i="3"/>
  <c r="D191" i="3"/>
  <c r="D897" i="3"/>
  <c r="G571" i="3"/>
  <c r="F218" i="3"/>
  <c r="F176" i="3"/>
  <c r="E26" i="3"/>
  <c r="D656" i="3"/>
  <c r="D234" i="3"/>
  <c r="G119" i="3"/>
  <c r="F797" i="3"/>
  <c r="G576" i="3"/>
  <c r="G565" i="3"/>
  <c r="D246" i="3"/>
  <c r="G530" i="3"/>
  <c r="F813" i="3"/>
  <c r="E812" i="3"/>
  <c r="G214" i="3"/>
  <c r="F359" i="3"/>
  <c r="D542" i="3"/>
  <c r="E645" i="3"/>
  <c r="E984" i="3"/>
  <c r="F258" i="3"/>
  <c r="G795" i="3"/>
  <c r="F1018" i="3"/>
  <c r="E168" i="3"/>
  <c r="E416" i="3"/>
  <c r="E995" i="3"/>
  <c r="D986" i="3"/>
  <c r="D997" i="3"/>
  <c r="G212" i="3"/>
  <c r="D553" i="3"/>
  <c r="F591" i="3"/>
  <c r="G805" i="3"/>
  <c r="E430" i="3"/>
  <c r="F784" i="3"/>
  <c r="E236" i="3"/>
  <c r="G1015" i="3"/>
  <c r="G436" i="3"/>
  <c r="D477" i="3"/>
  <c r="F76" i="3"/>
  <c r="D999" i="3"/>
  <c r="G703" i="3"/>
  <c r="E322" i="3"/>
  <c r="D254" i="3"/>
  <c r="F884" i="3"/>
  <c r="G646" i="3"/>
  <c r="E463" i="3"/>
  <c r="F58" i="3"/>
  <c r="D836" i="3"/>
  <c r="E662" i="3"/>
  <c r="E351" i="3"/>
  <c r="E263" i="3"/>
  <c r="F977" i="3"/>
  <c r="E878" i="3"/>
  <c r="D825" i="3"/>
  <c r="D183" i="3"/>
  <c r="E496" i="3"/>
  <c r="D846" i="3"/>
  <c r="F781" i="3"/>
  <c r="G856" i="3"/>
  <c r="F219" i="3"/>
  <c r="F536" i="3"/>
  <c r="E570" i="3"/>
  <c r="G885" i="3"/>
  <c r="E446" i="3"/>
  <c r="F800" i="3"/>
  <c r="G1007" i="3"/>
  <c r="D64" i="3"/>
  <c r="D414" i="3"/>
  <c r="G412" i="3"/>
  <c r="E596" i="3"/>
  <c r="F934" i="3"/>
  <c r="D178" i="3"/>
  <c r="D458" i="3"/>
  <c r="G1059" i="3"/>
  <c r="D38" i="3"/>
  <c r="D332" i="3"/>
  <c r="F149" i="3"/>
  <c r="E457" i="3"/>
  <c r="F479" i="3"/>
  <c r="F106" i="3"/>
  <c r="E951" i="3"/>
  <c r="F441" i="3"/>
  <c r="G401" i="3"/>
  <c r="G1085" i="3"/>
  <c r="E639" i="3"/>
  <c r="G393" i="3"/>
  <c r="E371" i="3"/>
  <c r="E1060" i="3"/>
  <c r="G545" i="3"/>
  <c r="G475" i="3"/>
  <c r="E317" i="3"/>
  <c r="F40" i="3"/>
  <c r="F676" i="3"/>
  <c r="D403" i="3"/>
  <c r="G415" i="3"/>
  <c r="G264" i="3"/>
  <c r="E661" i="3"/>
  <c r="E976" i="3"/>
  <c r="G1076" i="3"/>
  <c r="D382" i="3"/>
  <c r="G360" i="3"/>
  <c r="G635" i="3"/>
  <c r="D782" i="3"/>
  <c r="D1049" i="3"/>
  <c r="E295" i="3"/>
  <c r="E926" i="3"/>
  <c r="D873" i="3"/>
  <c r="G232" i="3"/>
  <c r="D557" i="3"/>
  <c r="D894" i="3"/>
  <c r="G841" i="3"/>
  <c r="G904" i="3"/>
  <c r="D267" i="3"/>
  <c r="G584" i="3"/>
  <c r="E618" i="3"/>
  <c r="G933" i="3"/>
  <c r="D453" i="3"/>
  <c r="G899" i="3"/>
  <c r="F890" i="3"/>
  <c r="F72" i="3"/>
  <c r="E897" i="3"/>
  <c r="D603" i="3"/>
  <c r="F518" i="3"/>
  <c r="F493" i="3"/>
  <c r="G124" i="3"/>
  <c r="G903" i="3"/>
  <c r="D457" i="3"/>
  <c r="D495" i="3"/>
  <c r="E61" i="3"/>
  <c r="D823" i="3"/>
  <c r="F43" i="3"/>
  <c r="G72" i="3"/>
  <c r="F108" i="3"/>
  <c r="E866" i="3"/>
  <c r="F484" i="3"/>
  <c r="E445" i="3"/>
  <c r="D62" i="3"/>
  <c r="E643" i="3"/>
  <c r="D848" i="3"/>
  <c r="E1031" i="3"/>
  <c r="D363" i="3"/>
  <c r="G642" i="3"/>
  <c r="F229" i="3"/>
  <c r="G303" i="3"/>
  <c r="G51" i="3"/>
  <c r="D827" i="3"/>
  <c r="F709" i="3"/>
  <c r="F474" i="3"/>
  <c r="E141" i="3"/>
  <c r="D98" i="3"/>
  <c r="D911" i="3"/>
  <c r="E704" i="3"/>
  <c r="G503" i="3"/>
  <c r="F130" i="3"/>
  <c r="E549" i="3"/>
  <c r="D506" i="3"/>
  <c r="G157" i="3"/>
  <c r="F982" i="3"/>
  <c r="F644" i="3"/>
  <c r="G460" i="3"/>
  <c r="D462" i="3"/>
  <c r="G116" i="3"/>
  <c r="F1036" i="3"/>
  <c r="D27" i="3"/>
  <c r="D996" i="3"/>
  <c r="E666" i="3"/>
  <c r="G313" i="3"/>
  <c r="F292" i="3"/>
  <c r="E980" i="3"/>
  <c r="F537" i="3"/>
  <c r="D218" i="3"/>
  <c r="D176" i="3"/>
  <c r="G1058" i="3"/>
  <c r="G560" i="3"/>
  <c r="D549" i="3"/>
  <c r="D149" i="3"/>
  <c r="F1010" i="3"/>
  <c r="E576" i="3"/>
  <c r="D581" i="3"/>
  <c r="D153" i="3"/>
  <c r="G930" i="3"/>
  <c r="D925" i="3"/>
  <c r="G924" i="3"/>
  <c r="D253" i="3"/>
  <c r="F599" i="3"/>
  <c r="G893" i="3"/>
  <c r="F892" i="3"/>
  <c r="G1035" i="3"/>
  <c r="G343" i="3"/>
  <c r="E622" i="3"/>
  <c r="G734" i="3"/>
  <c r="F984" i="3"/>
  <c r="F541" i="3"/>
  <c r="D546" i="3"/>
  <c r="F925" i="3"/>
  <c r="E924" i="3"/>
  <c r="F253" i="3"/>
  <c r="E346" i="3"/>
  <c r="F654" i="3"/>
  <c r="F766" i="3"/>
  <c r="E1094" i="3"/>
  <c r="F268" i="3"/>
  <c r="E974" i="3"/>
  <c r="D921" i="3"/>
  <c r="F291" i="3"/>
  <c r="D384" i="3"/>
  <c r="F358" i="3"/>
  <c r="G1067" i="3"/>
  <c r="F625" i="3"/>
  <c r="E368" i="3"/>
  <c r="E406" i="3"/>
  <c r="D820" i="3"/>
  <c r="D646" i="3"/>
  <c r="E335" i="3"/>
  <c r="D247" i="3"/>
  <c r="F961" i="3"/>
  <c r="F289" i="3"/>
  <c r="E284" i="3"/>
  <c r="F199" i="3"/>
  <c r="D977" i="3"/>
  <c r="F550" i="3"/>
  <c r="E225" i="3"/>
  <c r="E191" i="3"/>
  <c r="F621" i="3"/>
  <c r="F958" i="3"/>
  <c r="E905" i="3"/>
  <c r="D248" i="3"/>
  <c r="E589" i="3"/>
  <c r="D595" i="3"/>
  <c r="F739" i="3"/>
  <c r="D840" i="3"/>
  <c r="F194" i="3"/>
  <c r="D536" i="3"/>
  <c r="F570" i="3"/>
  <c r="G637" i="3"/>
  <c r="D370" i="3"/>
  <c r="F250" i="3"/>
  <c r="F222" i="3"/>
  <c r="D342" i="3"/>
  <c r="D699" i="3"/>
  <c r="F896" i="3"/>
  <c r="F1057" i="3"/>
  <c r="F67" i="3"/>
  <c r="E305" i="3"/>
  <c r="G690" i="3"/>
  <c r="E664" i="3"/>
  <c r="D1088" i="3"/>
  <c r="D626" i="3"/>
  <c r="E791" i="3"/>
  <c r="F1020" i="3"/>
  <c r="D315" i="3"/>
  <c r="F594" i="3"/>
  <c r="E674" i="3"/>
  <c r="G633" i="3"/>
  <c r="E1035" i="3"/>
  <c r="G314" i="3"/>
  <c r="E638" i="3"/>
  <c r="D750" i="3"/>
  <c r="F117" i="3"/>
  <c r="F962" i="3"/>
  <c r="E592" i="3"/>
  <c r="E303" i="3"/>
  <c r="E279" i="3"/>
  <c r="F993" i="3"/>
  <c r="G120" i="3"/>
  <c r="F56" i="3"/>
  <c r="D1018" i="3"/>
  <c r="D75" i="3"/>
  <c r="F407" i="3"/>
  <c r="E506" i="3"/>
  <c r="D764" i="3"/>
  <c r="E779" i="3"/>
  <c r="F85" i="3"/>
  <c r="E451" i="3"/>
  <c r="G1019" i="3"/>
  <c r="D22" i="3"/>
  <c r="D316" i="3"/>
  <c r="D631" i="3"/>
  <c r="E1081" i="3"/>
  <c r="D39" i="3"/>
  <c r="G70" i="3"/>
  <c r="G419" i="3"/>
  <c r="F773" i="3"/>
  <c r="D891" i="3"/>
  <c r="G50" i="3"/>
  <c r="D155" i="3"/>
  <c r="D500" i="3"/>
  <c r="G424" i="3"/>
  <c r="F158" i="3"/>
  <c r="D898" i="3"/>
  <c r="D561" i="3"/>
  <c r="D405" i="3"/>
  <c r="E818" i="3"/>
  <c r="G1025" i="3"/>
  <c r="D880" i="3"/>
  <c r="F683" i="3"/>
  <c r="D859" i="3"/>
  <c r="F741" i="3"/>
  <c r="D392" i="3"/>
  <c r="F110" i="3"/>
  <c r="E48" i="3"/>
  <c r="D1033" i="3"/>
  <c r="G774" i="3"/>
  <c r="G274" i="3"/>
  <c r="E39" i="3"/>
  <c r="F1081" i="3"/>
  <c r="F492" i="3"/>
  <c r="E249" i="3"/>
  <c r="D968" i="3"/>
  <c r="E734" i="3"/>
  <c r="E722" i="3"/>
  <c r="E390" i="3"/>
  <c r="E93" i="3"/>
  <c r="G305" i="3"/>
  <c r="D51" i="3"/>
  <c r="D760" i="3"/>
  <c r="D748" i="3"/>
  <c r="E490" i="3"/>
  <c r="F396" i="3"/>
  <c r="G69" i="3"/>
  <c r="E1079" i="3"/>
  <c r="F777" i="3"/>
  <c r="F423" i="3"/>
  <c r="D806" i="3"/>
  <c r="E780" i="3"/>
  <c r="G506" i="3"/>
  <c r="G146" i="3"/>
  <c r="E998" i="3"/>
  <c r="E943" i="3"/>
  <c r="F736" i="3"/>
  <c r="E519" i="3"/>
  <c r="F252" i="3"/>
  <c r="F322" i="3"/>
  <c r="E254" i="3"/>
  <c r="G916" i="3"/>
  <c r="E751" i="3"/>
  <c r="G306" i="3"/>
  <c r="E229" i="3"/>
  <c r="F994" i="3"/>
  <c r="E560" i="3"/>
  <c r="F549" i="3"/>
  <c r="D137" i="3"/>
  <c r="G914" i="3"/>
  <c r="G156" i="3"/>
  <c r="E27" i="3"/>
  <c r="G158" i="3"/>
  <c r="E930" i="3"/>
  <c r="E561" i="3"/>
  <c r="D525" i="3"/>
  <c r="E92" i="3"/>
  <c r="G610" i="3"/>
  <c r="E1005" i="3"/>
  <c r="D1004" i="3"/>
  <c r="D299" i="3"/>
  <c r="F578" i="3"/>
  <c r="G653" i="3"/>
  <c r="D769" i="3"/>
  <c r="F1092" i="3"/>
  <c r="G298" i="3"/>
  <c r="F622" i="3"/>
  <c r="D734" i="3"/>
  <c r="E207" i="3"/>
  <c r="G621" i="3"/>
  <c r="G942" i="3"/>
  <c r="F889" i="3"/>
  <c r="E248" i="3"/>
  <c r="G233" i="3"/>
  <c r="D632" i="3"/>
  <c r="G627" i="3"/>
  <c r="E840" i="3"/>
  <c r="D219" i="3"/>
  <c r="F947" i="3"/>
  <c r="E938" i="3"/>
  <c r="E140" i="3"/>
  <c r="F498" i="3"/>
  <c r="F404" i="3"/>
  <c r="F83" i="3"/>
  <c r="E887" i="3"/>
  <c r="G482" i="3"/>
  <c r="D463" i="3"/>
  <c r="F1063" i="3"/>
  <c r="E746" i="3"/>
  <c r="G329" i="3"/>
  <c r="E307" i="3"/>
  <c r="E996" i="3"/>
  <c r="E473" i="3"/>
  <c r="E272" i="3"/>
  <c r="F277" i="3"/>
  <c r="G1012" i="3"/>
  <c r="D637" i="3"/>
  <c r="G338" i="3"/>
  <c r="E197" i="3"/>
  <c r="D485" i="3"/>
  <c r="G931" i="3"/>
  <c r="F922" i="3"/>
  <c r="F131" i="3"/>
  <c r="G453" i="3"/>
  <c r="F569" i="3"/>
  <c r="D607" i="3"/>
  <c r="E805" i="3"/>
  <c r="F180" i="3"/>
  <c r="G497" i="3"/>
  <c r="D1095" i="3"/>
  <c r="F75" i="3"/>
  <c r="E407" i="3"/>
  <c r="F745" i="3"/>
  <c r="F1061" i="3"/>
  <c r="E53" i="3"/>
  <c r="D128" i="3"/>
  <c r="D515" i="3"/>
  <c r="E732" i="3"/>
  <c r="D987" i="3"/>
  <c r="E87" i="3"/>
  <c r="E678" i="3"/>
  <c r="D1008" i="3"/>
  <c r="G1053" i="3"/>
  <c r="F171" i="3"/>
  <c r="F850" i="3"/>
  <c r="G500" i="3"/>
  <c r="E440" i="3"/>
  <c r="F121" i="3"/>
  <c r="G834" i="3"/>
  <c r="G767" i="3"/>
  <c r="E386" i="3"/>
  <c r="G245" i="3"/>
  <c r="F948" i="3"/>
  <c r="D687" i="3"/>
  <c r="G527" i="3"/>
  <c r="G171" i="3"/>
  <c r="F1072" i="3"/>
  <c r="D669" i="3"/>
  <c r="F282" i="3"/>
  <c r="D381" i="3"/>
  <c r="D40" i="3"/>
  <c r="D681" i="3"/>
  <c r="E1019" i="3"/>
  <c r="E22" i="3"/>
  <c r="E300" i="3"/>
  <c r="F631" i="3"/>
  <c r="G748" i="3"/>
  <c r="G760" i="3"/>
  <c r="F1096" i="3"/>
  <c r="D288" i="3"/>
  <c r="E727" i="3"/>
  <c r="G705" i="3"/>
  <c r="D230" i="3"/>
  <c r="D652" i="3"/>
  <c r="D789" i="3"/>
  <c r="D783" i="3"/>
  <c r="G198" i="3"/>
  <c r="F343" i="3"/>
  <c r="G514" i="3"/>
  <c r="G771" i="3"/>
  <c r="E968" i="3"/>
  <c r="G242" i="3"/>
  <c r="E846" i="3"/>
  <c r="E781" i="3"/>
  <c r="D151" i="3"/>
  <c r="G58" i="3"/>
  <c r="F560" i="3"/>
  <c r="G549" i="3"/>
  <c r="D160" i="3"/>
  <c r="E1042" i="3"/>
  <c r="G544" i="3"/>
  <c r="F528" i="3"/>
  <c r="D92" i="3"/>
  <c r="E850" i="3"/>
  <c r="F468" i="3"/>
  <c r="F429" i="3"/>
  <c r="E122" i="3"/>
  <c r="G113" i="3"/>
  <c r="D420" i="3"/>
  <c r="F597" i="3"/>
  <c r="E125" i="3"/>
  <c r="D1010" i="3"/>
  <c r="D609" i="3"/>
  <c r="E472" i="3"/>
  <c r="G237" i="3"/>
  <c r="E599" i="3"/>
  <c r="F877" i="3"/>
  <c r="E876" i="3"/>
  <c r="F520" i="3"/>
  <c r="G735" i="3"/>
  <c r="F872" i="3"/>
  <c r="D755" i="3"/>
  <c r="F611" i="3"/>
  <c r="F362" i="3"/>
  <c r="F28" i="3"/>
  <c r="G1036" i="3"/>
  <c r="F816" i="3"/>
  <c r="E642" i="3"/>
  <c r="G379" i="3"/>
  <c r="G1031" i="3"/>
  <c r="G848" i="3"/>
  <c r="D394" i="3"/>
  <c r="D44" i="3"/>
  <c r="D712" i="3"/>
  <c r="F738" i="3"/>
  <c r="G328" i="3"/>
  <c r="D350" i="3"/>
  <c r="G1017" i="3"/>
  <c r="D1039" i="3"/>
  <c r="G104" i="3"/>
  <c r="D45" i="3"/>
  <c r="F871" i="3"/>
  <c r="G457" i="3"/>
  <c r="D479" i="3"/>
  <c r="D83" i="3"/>
  <c r="F762" i="3"/>
  <c r="D377" i="3"/>
  <c r="F355" i="3"/>
  <c r="E1063" i="3"/>
  <c r="G682" i="3"/>
  <c r="G413" i="3"/>
  <c r="E227" i="3"/>
  <c r="F1028" i="3"/>
  <c r="E698" i="3"/>
  <c r="F272" i="3"/>
  <c r="G277" i="3"/>
  <c r="E948" i="3"/>
  <c r="F915" i="3"/>
  <c r="E906" i="3"/>
  <c r="E131" i="3"/>
  <c r="F437" i="3"/>
  <c r="E883" i="3"/>
  <c r="D874" i="3"/>
  <c r="D885" i="3"/>
  <c r="E164" i="3"/>
  <c r="E428" i="3"/>
  <c r="G612" i="3"/>
  <c r="D966" i="3"/>
  <c r="G396" i="3"/>
  <c r="E745" i="3"/>
  <c r="D1029" i="3"/>
  <c r="E37" i="3"/>
  <c r="F364" i="3"/>
  <c r="E458" i="3"/>
  <c r="D716" i="3"/>
  <c r="G971" i="3"/>
  <c r="E110" i="3"/>
  <c r="G408" i="3"/>
  <c r="G992" i="3"/>
  <c r="E1021" i="3"/>
  <c r="D165" i="3"/>
  <c r="F273" i="3"/>
  <c r="G240" i="3"/>
  <c r="D945" i="3"/>
  <c r="F582" i="3"/>
  <c r="F257" i="3"/>
  <c r="G215" i="3"/>
  <c r="E803" i="3"/>
  <c r="G452" i="3"/>
  <c r="D413" i="3"/>
  <c r="F62" i="3"/>
  <c r="D951" i="3"/>
  <c r="D113" i="3"/>
  <c r="F95" i="3"/>
  <c r="F90" i="3"/>
  <c r="F967" i="3"/>
  <c r="G489" i="3"/>
  <c r="F511" i="3"/>
  <c r="G61" i="3"/>
  <c r="G629" i="3"/>
  <c r="D976" i="3"/>
  <c r="F1076" i="3"/>
  <c r="G366" i="3"/>
  <c r="E747" i="3"/>
  <c r="D693" i="3"/>
  <c r="F811" i="3"/>
  <c r="F353" i="3"/>
  <c r="D653" i="3"/>
  <c r="G769" i="3"/>
  <c r="G221" i="3"/>
  <c r="E583" i="3"/>
  <c r="F861" i="3"/>
  <c r="E860" i="3"/>
  <c r="F190" i="3"/>
  <c r="E270" i="3"/>
  <c r="D590" i="3"/>
  <c r="F702" i="3"/>
  <c r="E1032" i="3"/>
  <c r="F233" i="3"/>
  <c r="E910" i="3"/>
  <c r="D857" i="3"/>
  <c r="G216" i="3"/>
  <c r="D117" i="3"/>
  <c r="G751" i="3"/>
  <c r="E370" i="3"/>
  <c r="F209" i="3"/>
  <c r="F175" i="3"/>
  <c r="F817" i="3"/>
  <c r="D42" i="3"/>
  <c r="D511" i="3"/>
  <c r="F99" i="3"/>
  <c r="E903" i="3"/>
  <c r="G498" i="3"/>
  <c r="E404" i="3"/>
  <c r="F139" i="3"/>
  <c r="F882" i="3"/>
  <c r="F545" i="3"/>
  <c r="F525" i="3"/>
  <c r="F143" i="3"/>
  <c r="E1058" i="3"/>
  <c r="E789" i="3"/>
  <c r="G783" i="3"/>
  <c r="E198" i="3"/>
  <c r="G604" i="3"/>
  <c r="G1038" i="3"/>
  <c r="G985" i="3"/>
  <c r="D1013" i="3"/>
  <c r="G228" i="3"/>
  <c r="D569" i="3"/>
  <c r="F607" i="3"/>
  <c r="G821" i="3"/>
  <c r="F519" i="3"/>
  <c r="D736" i="3"/>
  <c r="G943" i="3"/>
  <c r="E114" i="3"/>
  <c r="E487" i="3"/>
  <c r="D481" i="3"/>
  <c r="G831" i="3"/>
  <c r="F870" i="3"/>
  <c r="E128" i="3"/>
  <c r="G531" i="3"/>
  <c r="F1065" i="3"/>
  <c r="E23" i="3"/>
  <c r="E389" i="3"/>
  <c r="F36" i="3"/>
  <c r="E377" i="3"/>
  <c r="G355" i="3"/>
  <c r="E1041" i="3"/>
  <c r="F639" i="3"/>
  <c r="F361" i="3"/>
  <c r="F262" i="3"/>
  <c r="D948" i="3"/>
  <c r="F751" i="3"/>
  <c r="D338" i="3"/>
  <c r="F197" i="3"/>
  <c r="E868" i="3"/>
  <c r="D336" i="3"/>
  <c r="G286" i="3"/>
  <c r="G387" i="3"/>
  <c r="F1085" i="3"/>
  <c r="G778" i="3"/>
  <c r="F329" i="3"/>
  <c r="D307" i="3"/>
  <c r="E462" i="3"/>
  <c r="G801" i="3"/>
  <c r="E787" i="3"/>
  <c r="E84" i="3"/>
  <c r="D430" i="3"/>
  <c r="G263" i="3"/>
  <c r="E160" i="3"/>
  <c r="E827" i="3"/>
  <c r="G709" i="3"/>
  <c r="D435" i="3"/>
  <c r="E123" i="3"/>
  <c r="F1046" i="3"/>
  <c r="E991" i="3"/>
  <c r="F1039" i="3"/>
  <c r="G742" i="3"/>
  <c r="E373" i="3"/>
  <c r="F48" i="3"/>
  <c r="E1033" i="3"/>
  <c r="F392" i="3"/>
  <c r="G94" i="3"/>
  <c r="G955" i="3"/>
  <c r="D700" i="3"/>
  <c r="E442" i="3"/>
  <c r="F348" i="3"/>
  <c r="E21" i="3"/>
  <c r="F826" i="3"/>
  <c r="G118" i="3"/>
  <c r="E961" i="3"/>
  <c r="G566" i="3"/>
  <c r="E319" i="3"/>
  <c r="D231" i="3"/>
  <c r="F945" i="3"/>
  <c r="G399" i="3"/>
  <c r="D429" i="3"/>
  <c r="G76" i="3"/>
  <c r="D803" i="3"/>
  <c r="G521" i="3"/>
  <c r="E422" i="3"/>
  <c r="D195" i="3"/>
  <c r="G983" i="3"/>
  <c r="D537" i="3"/>
  <c r="E454" i="3"/>
  <c r="D90" i="3"/>
  <c r="D903" i="3"/>
  <c r="G960" i="3"/>
  <c r="G1043" i="3"/>
  <c r="F366" i="3"/>
  <c r="D731" i="3"/>
  <c r="F928" i="3"/>
  <c r="E1093" i="3"/>
  <c r="D34" i="3"/>
  <c r="E337" i="3"/>
  <c r="G722" i="3"/>
  <c r="E696" i="3"/>
  <c r="G1071" i="3"/>
  <c r="D567" i="3"/>
  <c r="E861" i="3"/>
  <c r="D860" i="3"/>
  <c r="F246" i="3"/>
  <c r="F530" i="3"/>
  <c r="E635" i="3"/>
  <c r="F782" i="3"/>
  <c r="D1016" i="3"/>
  <c r="D268" i="3"/>
  <c r="G579" i="3"/>
  <c r="E723" i="3"/>
  <c r="F200" i="3"/>
  <c r="G541" i="3"/>
  <c r="D140" i="3"/>
  <c r="G24" i="3"/>
  <c r="G692" i="3"/>
  <c r="E507" i="3"/>
  <c r="F349" i="3"/>
  <c r="D260" i="3"/>
  <c r="D1058" i="3"/>
  <c r="E624" i="3"/>
  <c r="G275" i="3"/>
  <c r="F125" i="3"/>
  <c r="G978" i="3"/>
  <c r="D187" i="3"/>
  <c r="F20" i="3"/>
  <c r="F153" i="3"/>
  <c r="E994" i="3"/>
  <c r="D520" i="3"/>
  <c r="E488" i="3"/>
  <c r="D142" i="3"/>
  <c r="G546" i="3"/>
  <c r="E941" i="3"/>
  <c r="D940" i="3"/>
  <c r="E253" i="3"/>
  <c r="G615" i="3"/>
  <c r="F727" i="3"/>
  <c r="D705" i="3"/>
  <c r="D1094" i="3"/>
  <c r="D359" i="3"/>
  <c r="F558" i="3"/>
  <c r="D670" i="3"/>
  <c r="F216" i="3"/>
  <c r="G557" i="3"/>
  <c r="G878" i="3"/>
  <c r="F825" i="3"/>
  <c r="F183" i="3"/>
  <c r="D242" i="3"/>
  <c r="F568" i="3"/>
  <c r="D602" i="3"/>
  <c r="F997" i="3"/>
  <c r="E228" i="3"/>
  <c r="F883" i="3"/>
  <c r="E874" i="3"/>
  <c r="G166" i="3"/>
  <c r="G54" i="3"/>
  <c r="E717" i="3"/>
  <c r="G368" i="3"/>
  <c r="F406" i="3"/>
  <c r="F1083" i="3"/>
  <c r="F701" i="3"/>
  <c r="E111" i="3"/>
  <c r="F247" i="3"/>
  <c r="G799" i="3"/>
  <c r="F598" i="3"/>
  <c r="E273" i="3"/>
  <c r="D240" i="3"/>
  <c r="G20" i="3"/>
  <c r="E637" i="3"/>
  <c r="F402" i="3"/>
  <c r="D261" i="3"/>
  <c r="F964" i="3"/>
  <c r="F669" i="3"/>
  <c r="F440" i="3"/>
  <c r="F114" i="3"/>
  <c r="G487" i="3"/>
  <c r="E688" i="3"/>
  <c r="D895" i="3"/>
  <c r="D82" i="3"/>
  <c r="G123" i="3"/>
  <c r="D344" i="3"/>
  <c r="F693" i="3"/>
  <c r="D811" i="3"/>
  <c r="D35" i="3"/>
  <c r="G594" i="3"/>
  <c r="E989" i="3"/>
  <c r="D988" i="3"/>
  <c r="D276" i="3"/>
  <c r="F562" i="3"/>
  <c r="F775" i="3"/>
  <c r="D753" i="3"/>
  <c r="G1089" i="3"/>
  <c r="F270" i="3"/>
  <c r="F606" i="3"/>
  <c r="D718" i="3"/>
  <c r="E255" i="3"/>
  <c r="F572" i="3"/>
  <c r="E68" i="3"/>
  <c r="E58" i="3"/>
  <c r="D76" i="3"/>
  <c r="E834" i="3"/>
  <c r="F772" i="3"/>
  <c r="D491" i="3"/>
  <c r="G290" i="3"/>
  <c r="E1084" i="3"/>
  <c r="D717" i="3"/>
  <c r="F336" i="3"/>
  <c r="D310" i="3"/>
  <c r="G1069" i="3"/>
  <c r="F576" i="3"/>
  <c r="G282" i="3"/>
  <c r="E397" i="3"/>
  <c r="E47" i="3"/>
  <c r="F740" i="3"/>
  <c r="D459" i="3"/>
  <c r="F301" i="3"/>
  <c r="G348" i="3"/>
  <c r="E697" i="3"/>
  <c r="D1019" i="3"/>
  <c r="F22" i="3"/>
  <c r="F316" i="3"/>
  <c r="D306" i="3"/>
  <c r="E139" i="3"/>
  <c r="E311" i="3"/>
  <c r="D1073" i="3"/>
  <c r="D798" i="3"/>
  <c r="D786" i="3"/>
  <c r="G376" i="3"/>
  <c r="G398" i="3"/>
  <c r="D1021" i="3"/>
  <c r="E992" i="3"/>
  <c r="F678" i="3"/>
  <c r="D293" i="3"/>
  <c r="G792" i="3"/>
  <c r="F655" i="3"/>
  <c r="E392" i="3"/>
  <c r="F65" i="3"/>
  <c r="F971" i="3"/>
  <c r="G716" i="3"/>
  <c r="D774" i="3"/>
  <c r="F389" i="3"/>
  <c r="E220" i="3"/>
  <c r="D209" i="3"/>
  <c r="D175" i="3"/>
  <c r="D881" i="3"/>
  <c r="G619" i="3"/>
  <c r="E193" i="3"/>
  <c r="D224" i="3"/>
  <c r="G967" i="3"/>
  <c r="D521" i="3"/>
  <c r="F438" i="3"/>
  <c r="D74" i="3"/>
  <c r="D887" i="3"/>
  <c r="F172" i="3"/>
  <c r="F118" i="3"/>
  <c r="G66" i="3"/>
  <c r="F903" i="3"/>
  <c r="G425" i="3"/>
  <c r="G431" i="3"/>
  <c r="F46" i="3"/>
  <c r="E710" i="3"/>
  <c r="F1040" i="3"/>
  <c r="E1091" i="3"/>
  <c r="F293" i="3"/>
  <c r="D678" i="3"/>
  <c r="D757" i="3"/>
  <c r="F875" i="3"/>
  <c r="E296" i="3"/>
  <c r="D722" i="3"/>
  <c r="F696" i="3"/>
  <c r="D285" i="3"/>
  <c r="E341" i="3"/>
  <c r="G710" i="3"/>
  <c r="G1040" i="3"/>
  <c r="G1091" i="3"/>
  <c r="F87" i="3"/>
  <c r="D328" i="3"/>
  <c r="F677" i="3"/>
  <c r="D785" i="3"/>
  <c r="D642" i="3"/>
  <c r="D816" i="3"/>
  <c r="D111" i="3"/>
  <c r="G687" i="3"/>
  <c r="E306" i="3"/>
  <c r="G229" i="3"/>
  <c r="F932" i="3"/>
  <c r="D671" i="3"/>
  <c r="D438" i="3"/>
  <c r="F137" i="3"/>
  <c r="E978" i="3"/>
  <c r="E609" i="3"/>
  <c r="G456" i="3"/>
  <c r="D118" i="3"/>
  <c r="D882" i="3"/>
  <c r="F626" i="3"/>
  <c r="G288" i="3"/>
  <c r="D863" i="3"/>
  <c r="E990" i="3"/>
  <c r="D937" i="3"/>
  <c r="F223" i="3"/>
  <c r="D621" i="3"/>
  <c r="D958" i="3"/>
  <c r="A958" i="6" s="1"/>
  <c r="G905" i="3"/>
  <c r="G968" i="3"/>
  <c r="E226" i="3"/>
  <c r="E648" i="3"/>
  <c r="D659" i="3"/>
  <c r="G997" i="3"/>
  <c r="D517" i="3"/>
  <c r="G963" i="3"/>
  <c r="F954" i="3"/>
  <c r="E195" i="3"/>
  <c r="F1069" i="3"/>
  <c r="F794" i="3"/>
  <c r="F320" i="3"/>
  <c r="D294" i="3"/>
  <c r="F1041" i="3"/>
  <c r="E571" i="3"/>
  <c r="D273" i="3"/>
  <c r="F240" i="3"/>
  <c r="G913" i="3"/>
  <c r="F555" i="3"/>
  <c r="G397" i="3"/>
  <c r="G59" i="3"/>
  <c r="D900" i="3"/>
  <c r="F703" i="3"/>
  <c r="D286" i="3"/>
  <c r="E387" i="3"/>
  <c r="D1063" i="3"/>
  <c r="D800" i="3"/>
  <c r="F1007" i="3"/>
  <c r="D84" i="3"/>
  <c r="G414" i="3"/>
  <c r="F768" i="3"/>
  <c r="E975" i="3"/>
  <c r="F1003" i="3"/>
  <c r="G87" i="3"/>
  <c r="D419" i="3"/>
  <c r="G693" i="3"/>
  <c r="E811" i="3"/>
  <c r="F395" i="3"/>
  <c r="G643" i="3"/>
  <c r="E832" i="3"/>
  <c r="G1052" i="3"/>
  <c r="E363" i="3"/>
  <c r="D337" i="3"/>
  <c r="G759" i="3"/>
  <c r="E737" i="3"/>
  <c r="D1045" i="3"/>
  <c r="D270" i="3"/>
  <c r="D829" i="3"/>
  <c r="G828" i="3"/>
  <c r="E230" i="3"/>
  <c r="G154" i="3"/>
  <c r="F521" i="3"/>
  <c r="G438" i="3"/>
  <c r="D97" i="3"/>
  <c r="E1015" i="3"/>
  <c r="F505" i="3"/>
  <c r="E486" i="3"/>
  <c r="E46" i="3"/>
  <c r="F823" i="3"/>
  <c r="D450" i="3"/>
  <c r="G324" i="3"/>
  <c r="G31" i="3"/>
  <c r="D171" i="3"/>
  <c r="D539" i="3"/>
  <c r="E470" i="3"/>
  <c r="E62" i="3"/>
  <c r="E983" i="3"/>
  <c r="F473" i="3"/>
  <c r="F495" i="3"/>
  <c r="E350" i="3"/>
  <c r="G731" i="3"/>
  <c r="E912" i="3"/>
  <c r="D1077" i="3"/>
  <c r="D318" i="3"/>
  <c r="D396" i="3"/>
  <c r="G271" i="3"/>
  <c r="D588" i="3"/>
  <c r="G590" i="3"/>
  <c r="E702" i="3"/>
  <c r="D936" i="3"/>
  <c r="E217" i="3"/>
  <c r="G632" i="3"/>
  <c r="F627" i="3"/>
  <c r="F248" i="3"/>
  <c r="G589" i="3"/>
  <c r="G910" i="3"/>
  <c r="F857" i="3"/>
  <c r="E216" i="3"/>
  <c r="G201" i="3"/>
  <c r="F600" i="3"/>
  <c r="F634" i="3"/>
  <c r="E808" i="3"/>
  <c r="D186" i="3"/>
  <c r="E43" i="3"/>
  <c r="G367" i="3"/>
  <c r="E238" i="3"/>
  <c r="G900" i="3"/>
  <c r="E671" i="3"/>
  <c r="F286" i="3"/>
  <c r="D387" i="3"/>
  <c r="E291" i="3"/>
  <c r="F567" i="3"/>
  <c r="G861" i="3"/>
  <c r="F860" i="3"/>
  <c r="F1089" i="3"/>
  <c r="G311" i="3"/>
  <c r="E590" i="3"/>
  <c r="G702" i="3"/>
  <c r="F952" i="3"/>
  <c r="E604" i="3"/>
  <c r="D1038" i="3"/>
  <c r="E985" i="3"/>
  <c r="G255" i="3"/>
  <c r="D572" i="3"/>
  <c r="G574" i="3"/>
  <c r="E686" i="3"/>
  <c r="D920" i="3"/>
  <c r="E201" i="3"/>
  <c r="D616" i="3"/>
  <c r="G650" i="3"/>
  <c r="F54" i="3"/>
  <c r="E945" i="3"/>
  <c r="G614" i="3"/>
  <c r="G297" i="3"/>
  <c r="E241" i="3"/>
  <c r="D208" i="3"/>
  <c r="E102" i="3"/>
  <c r="G945" i="3"/>
  <c r="E720" i="3"/>
  <c r="D927" i="3"/>
  <c r="G114" i="3"/>
  <c r="E157" i="3"/>
  <c r="F490" i="3"/>
  <c r="D831" i="3"/>
  <c r="G870" i="3"/>
  <c r="G85" i="3"/>
  <c r="D761" i="3"/>
  <c r="D1079" i="3"/>
  <c r="F69" i="3"/>
  <c r="E380" i="3"/>
  <c r="G729" i="3"/>
  <c r="F815" i="3"/>
  <c r="E854" i="3"/>
  <c r="D126" i="3"/>
  <c r="D499" i="3"/>
  <c r="G773" i="3"/>
  <c r="E891" i="3"/>
  <c r="D58" i="3"/>
  <c r="G999" i="3"/>
  <c r="G740" i="3"/>
  <c r="E491" i="3"/>
  <c r="D290" i="3"/>
  <c r="E56" i="3"/>
  <c r="E701" i="3"/>
  <c r="F345" i="3"/>
  <c r="G605" i="3"/>
  <c r="G192" i="3"/>
  <c r="D645" i="3"/>
  <c r="F542" i="3"/>
  <c r="D343" i="3"/>
  <c r="D1070" i="3"/>
  <c r="D689" i="3"/>
  <c r="F711" i="3"/>
  <c r="G599" i="3"/>
  <c r="E237" i="3"/>
  <c r="D924" i="3"/>
  <c r="E925" i="3"/>
  <c r="G516" i="3"/>
  <c r="D103" i="3"/>
  <c r="D1003" i="3"/>
  <c r="F596" i="3"/>
  <c r="D412" i="3"/>
  <c r="G179" i="3"/>
  <c r="F161" i="3"/>
  <c r="F152" i="3"/>
  <c r="F416" i="3"/>
  <c r="E568" i="3"/>
  <c r="G602" i="3"/>
  <c r="E901" i="3"/>
  <c r="D212" i="3"/>
  <c r="F460" i="3"/>
  <c r="G644" i="3"/>
  <c r="G131" i="3"/>
  <c r="E453" i="3"/>
  <c r="D883" i="3"/>
  <c r="G874" i="3"/>
  <c r="E166" i="3"/>
  <c r="F196" i="3"/>
  <c r="D428" i="3"/>
  <c r="F612" i="3"/>
  <c r="E1046" i="3"/>
  <c r="D141" i="3"/>
  <c r="G459" i="3"/>
  <c r="E361" i="3"/>
  <c r="G262" i="3"/>
  <c r="E1072" i="3"/>
  <c r="G794" i="3"/>
  <c r="D282" i="3"/>
  <c r="F397" i="3"/>
  <c r="F489" i="3"/>
  <c r="D541" i="3"/>
  <c r="F546" i="3"/>
  <c r="F759" i="3"/>
  <c r="D737" i="3"/>
  <c r="G1073" i="3"/>
  <c r="D391" i="3"/>
  <c r="F590" i="3"/>
  <c r="D702" i="3"/>
  <c r="G190" i="3"/>
  <c r="E551" i="3"/>
  <c r="F829" i="3"/>
  <c r="E828" i="3"/>
  <c r="G230" i="3"/>
  <c r="F375" i="3"/>
  <c r="D558" i="3"/>
  <c r="F670" i="3"/>
  <c r="E1000" i="3"/>
  <c r="F201" i="3"/>
  <c r="G259" i="3"/>
  <c r="D193" i="3"/>
  <c r="G224" i="3"/>
  <c r="D929" i="3"/>
  <c r="E735" i="3"/>
  <c r="G354" i="3"/>
  <c r="E213" i="3"/>
  <c r="E297" i="3"/>
  <c r="F865" i="3"/>
  <c r="A865" i="6" s="1"/>
  <c r="G446" i="3"/>
  <c r="G800" i="3"/>
  <c r="E1007" i="3"/>
  <c r="F1062" i="3"/>
  <c r="F141" i="3"/>
  <c r="F465" i="3"/>
  <c r="E831" i="3"/>
  <c r="D870" i="3"/>
  <c r="F487" i="3"/>
  <c r="D704" i="3"/>
  <c r="G911" i="3"/>
  <c r="G82" i="3"/>
  <c r="E455" i="3"/>
  <c r="D449" i="3"/>
  <c r="G793" i="3"/>
  <c r="F838" i="3"/>
  <c r="E96" i="3"/>
  <c r="E499" i="3"/>
  <c r="G525" i="3"/>
  <c r="D156" i="3"/>
  <c r="D106" i="3"/>
  <c r="F983" i="3"/>
  <c r="G505" i="3"/>
  <c r="F486" i="3"/>
  <c r="G90" i="3"/>
  <c r="E817" i="3"/>
  <c r="E550" i="3"/>
  <c r="E516" i="3"/>
  <c r="D269" i="3"/>
  <c r="G753" i="3"/>
  <c r="E775" i="3"/>
  <c r="F337" i="3"/>
  <c r="G44" i="3"/>
  <c r="E785" i="3"/>
  <c r="D677" i="3"/>
  <c r="E731" i="3"/>
  <c r="G350" i="3"/>
  <c r="A350" i="6" s="1"/>
  <c r="E1043" i="3"/>
  <c r="D960" i="3"/>
  <c r="F763" i="3"/>
  <c r="D123" i="3"/>
  <c r="E1030" i="3"/>
  <c r="D618" i="3"/>
  <c r="F584" i="3"/>
  <c r="E258" i="3"/>
  <c r="G862" i="3"/>
  <c r="F809" i="3"/>
  <c r="F167" i="3"/>
  <c r="D226" i="3"/>
  <c r="F552" i="3"/>
  <c r="D586" i="3"/>
  <c r="F981" i="3"/>
  <c r="E212" i="3"/>
  <c r="F995" i="3"/>
  <c r="E986" i="3"/>
  <c r="E136" i="3"/>
  <c r="E517" i="3"/>
  <c r="A517" i="6" s="1"/>
  <c r="E963" i="3"/>
  <c r="D954" i="3"/>
  <c r="D965" i="3"/>
  <c r="D179" i="3"/>
  <c r="E508" i="3"/>
  <c r="F559" i="3"/>
  <c r="G1046" i="3"/>
  <c r="F140" i="3"/>
  <c r="F666" i="3"/>
  <c r="D345" i="3"/>
  <c r="F323" i="3"/>
  <c r="G1044" i="3"/>
  <c r="G714" i="3"/>
  <c r="G284" i="3"/>
  <c r="F398" i="3"/>
  <c r="G207" i="3"/>
  <c r="E621" i="3"/>
  <c r="E514" i="3"/>
  <c r="F771" i="3"/>
  <c r="D872" i="3"/>
  <c r="F226" i="3"/>
  <c r="D568" i="3"/>
  <c r="F602" i="3"/>
  <c r="G183" i="3"/>
  <c r="D512" i="3"/>
  <c r="G846" i="3"/>
  <c r="D781" i="3"/>
  <c r="F151" i="3"/>
  <c r="D210" i="3"/>
  <c r="E536" i="3"/>
  <c r="D570" i="3"/>
  <c r="F965" i="3"/>
  <c r="E196" i="3"/>
  <c r="D225" i="3"/>
  <c r="F306" i="3"/>
  <c r="D229" i="3"/>
  <c r="G964" i="3"/>
  <c r="A964" i="6" s="1"/>
  <c r="G701" i="3"/>
  <c r="E352" i="3"/>
  <c r="G326" i="3"/>
  <c r="G577" i="3"/>
  <c r="D372" i="3"/>
  <c r="E332" i="3"/>
  <c r="G681" i="3"/>
  <c r="D780" i="3"/>
  <c r="E806" i="3"/>
  <c r="F78" i="3"/>
  <c r="D451" i="3"/>
  <c r="G725" i="3"/>
  <c r="E843" i="3"/>
  <c r="D357" i="3"/>
  <c r="F742" i="3"/>
  <c r="E1056" i="3"/>
  <c r="D1066" i="3"/>
  <c r="G325" i="3"/>
  <c r="F435" i="3"/>
  <c r="E693" i="3"/>
  <c r="G811" i="3"/>
  <c r="F50" i="3"/>
  <c r="G369" i="3"/>
  <c r="G227" i="3"/>
  <c r="A227" i="6" s="1"/>
  <c r="D93" i="3"/>
  <c r="F169" i="3"/>
  <c r="E1010" i="3"/>
  <c r="D544" i="3"/>
  <c r="F613" i="3"/>
  <c r="G153" i="3"/>
  <c r="E97" i="3"/>
  <c r="G882" i="3"/>
  <c r="G763" i="3"/>
  <c r="E382" i="3"/>
  <c r="E859" i="3"/>
  <c r="G741" i="3"/>
  <c r="D467" i="3"/>
  <c r="F94" i="3"/>
  <c r="E822" i="3"/>
  <c r="D796" i="3"/>
  <c r="G697" i="3"/>
  <c r="E348" i="3"/>
  <c r="D37" i="3"/>
  <c r="G1029" i="3"/>
  <c r="D729" i="3"/>
  <c r="E244" i="3"/>
  <c r="F1013" i="3"/>
  <c r="F718" i="3"/>
  <c r="D606" i="3"/>
  <c r="E298" i="3"/>
  <c r="G266" i="3"/>
  <c r="G561" i="3"/>
  <c r="E468" i="3"/>
  <c r="F1005" i="3"/>
  <c r="G711" i="3"/>
  <c r="E359" i="3"/>
  <c r="D658" i="3"/>
  <c r="D832" i="3"/>
  <c r="F1052" i="3"/>
  <c r="D347" i="3"/>
  <c r="G626" i="3"/>
  <c r="E706" i="3"/>
  <c r="G680" i="3"/>
  <c r="F1088" i="3"/>
  <c r="G346" i="3"/>
  <c r="F635" i="3"/>
  <c r="G782" i="3"/>
  <c r="D214" i="3"/>
  <c r="D636" i="3"/>
  <c r="G93" i="3"/>
  <c r="G319" i="3"/>
  <c r="F231" i="3"/>
  <c r="D1009" i="3"/>
  <c r="E646" i="3"/>
  <c r="D303" i="3"/>
  <c r="A303" i="6" s="1"/>
  <c r="G279" i="3"/>
  <c r="F866" i="3"/>
  <c r="A866" i="6" s="1"/>
  <c r="E518" i="3"/>
  <c r="F509" i="3"/>
  <c r="F92" i="3"/>
  <c r="D1015" i="3"/>
  <c r="F26" i="3"/>
  <c r="D291" i="3"/>
  <c r="E144" i="3"/>
  <c r="F1058" i="3"/>
  <c r="D592" i="3"/>
  <c r="E289" i="3"/>
  <c r="D256" i="3"/>
  <c r="F557" i="3"/>
  <c r="F894" i="3"/>
  <c r="E841" i="3"/>
  <c r="E183" i="3"/>
  <c r="F512" i="3"/>
  <c r="E522" i="3"/>
  <c r="D543" i="3"/>
  <c r="F1014" i="3"/>
  <c r="E189" i="3"/>
  <c r="A189" i="6" s="1"/>
  <c r="G433" i="3"/>
  <c r="D1080" i="3"/>
  <c r="G21" i="3"/>
  <c r="D348" i="3"/>
  <c r="F681" i="3"/>
  <c r="F1019" i="3"/>
  <c r="G22" i="3"/>
  <c r="D101" i="3"/>
  <c r="G451" i="3"/>
  <c r="E668" i="3"/>
  <c r="D923" i="3"/>
  <c r="F33" i="3"/>
  <c r="F747" i="3"/>
  <c r="D944" i="3"/>
  <c r="E1017" i="3"/>
  <c r="F68" i="3"/>
  <c r="E625" i="3"/>
  <c r="F427" i="3"/>
  <c r="D333" i="3"/>
  <c r="E24" i="3"/>
  <c r="F765" i="3"/>
  <c r="D88" i="3"/>
  <c r="G371" i="3"/>
  <c r="E1069" i="3"/>
  <c r="D762" i="3"/>
  <c r="F313" i="3"/>
  <c r="D292" i="3"/>
  <c r="G165" i="3"/>
  <c r="F714" i="3"/>
  <c r="F459" i="3"/>
  <c r="D301" i="3"/>
  <c r="E1078" i="3"/>
  <c r="F733" i="3"/>
  <c r="G1074" i="3"/>
  <c r="F91" i="3"/>
  <c r="G423" i="3"/>
  <c r="F761" i="3"/>
  <c r="F1079" i="3"/>
  <c r="E69" i="3"/>
  <c r="E944" i="3"/>
  <c r="F1025" i="3"/>
  <c r="D278" i="3"/>
  <c r="D385" i="3"/>
  <c r="F674" i="3"/>
  <c r="E633" i="3"/>
  <c r="D1055" i="3"/>
  <c r="D330" i="3"/>
  <c r="D1005" i="3"/>
  <c r="G1004" i="3"/>
  <c r="G315" i="3"/>
  <c r="E578" i="3"/>
  <c r="A578" i="6" s="1"/>
  <c r="G973" i="3"/>
  <c r="F972" i="3"/>
  <c r="D1087" i="3"/>
  <c r="F298" i="3"/>
  <c r="D679" i="3"/>
  <c r="D647" i="3"/>
  <c r="F1023" i="3"/>
  <c r="F102" i="3"/>
  <c r="F544" i="3"/>
  <c r="G528" i="3"/>
  <c r="D144" i="3"/>
  <c r="E1026" i="3"/>
  <c r="G592" i="3"/>
  <c r="E431" i="3"/>
  <c r="F144" i="3"/>
  <c r="D398" i="3"/>
  <c r="D629" i="3"/>
  <c r="A629" i="6" s="1"/>
  <c r="D725" i="3"/>
  <c r="F843" i="3"/>
  <c r="F51" i="3"/>
  <c r="F385" i="3"/>
  <c r="D690" i="3"/>
  <c r="F664" i="3"/>
  <c r="E302" i="3"/>
  <c r="G683" i="3"/>
  <c r="E864" i="3"/>
  <c r="E1082" i="3"/>
  <c r="E395" i="3"/>
  <c r="D369" i="3"/>
  <c r="E653" i="3"/>
  <c r="E769" i="3"/>
  <c r="F1087" i="3"/>
  <c r="D314" i="3"/>
  <c r="G27" i="3"/>
  <c r="G25" i="3"/>
  <c r="G174" i="3"/>
  <c r="E946" i="3"/>
  <c r="G603" i="3"/>
  <c r="E484" i="3"/>
  <c r="D445" i="3"/>
  <c r="D852" i="3"/>
  <c r="F637" i="3"/>
  <c r="E464" i="3"/>
  <c r="D814" i="3"/>
  <c r="E1034" i="3"/>
  <c r="G824" i="3"/>
  <c r="E186" i="3"/>
  <c r="D601" i="3"/>
  <c r="D532" i="3"/>
  <c r="G853" i="3"/>
  <c r="D501" i="3"/>
  <c r="G947" i="3"/>
  <c r="F938" i="3"/>
  <c r="G145" i="3"/>
  <c r="G469" i="3"/>
  <c r="F585" i="3"/>
  <c r="D623" i="3"/>
  <c r="E821" i="3"/>
  <c r="D127" i="3"/>
  <c r="G513" i="3"/>
  <c r="D564" i="3"/>
  <c r="E36" i="3"/>
  <c r="E260" i="3"/>
  <c r="A260" i="6" s="1"/>
  <c r="D1028" i="3"/>
  <c r="D666" i="3"/>
  <c r="D272" i="3"/>
  <c r="E277" i="3"/>
  <c r="E401" i="3"/>
  <c r="D323" i="3"/>
  <c r="G835" i="3"/>
  <c r="E494" i="3"/>
  <c r="A494" i="6" s="1"/>
  <c r="G869" i="3"/>
  <c r="E554" i="3"/>
  <c r="D617" i="3"/>
  <c r="F203" i="3"/>
  <c r="G840" i="3"/>
  <c r="G1050" i="3"/>
  <c r="D830" i="3"/>
  <c r="A830" i="6" s="1"/>
  <c r="E480" i="3"/>
  <c r="D167" i="3"/>
  <c r="D809" i="3"/>
  <c r="E862" i="3"/>
  <c r="D362" i="3"/>
  <c r="E103" i="3"/>
  <c r="G923" i="3"/>
  <c r="D668" i="3"/>
  <c r="E409" i="3"/>
  <c r="F845" i="3"/>
  <c r="E844" i="3"/>
  <c r="G246" i="3"/>
  <c r="F391" i="3"/>
  <c r="D574" i="3"/>
  <c r="F686" i="3"/>
  <c r="F1016" i="3"/>
  <c r="F217" i="3"/>
  <c r="F1022" i="3"/>
  <c r="D969" i="3"/>
  <c r="F255" i="3"/>
  <c r="G556" i="3"/>
  <c r="D990" i="3"/>
  <c r="G937" i="3"/>
  <c r="G1000" i="3"/>
  <c r="G258" i="3"/>
  <c r="A258" i="6" s="1"/>
  <c r="F547" i="3"/>
  <c r="D691" i="3"/>
  <c r="F808" i="3"/>
  <c r="F275" i="3"/>
  <c r="D566" i="3"/>
  <c r="F351" i="3"/>
  <c r="F263" i="3"/>
  <c r="G1009" i="3"/>
  <c r="E614" i="3"/>
  <c r="G445" i="3"/>
  <c r="D488" i="3"/>
  <c r="E285" i="3"/>
  <c r="G341" i="3"/>
  <c r="F451" i="3"/>
  <c r="E709" i="3"/>
  <c r="G827" i="3"/>
  <c r="G385" i="3"/>
  <c r="G976" i="3"/>
  <c r="E1076" i="3"/>
  <c r="F382" i="3"/>
  <c r="D747" i="3"/>
  <c r="F944" i="3"/>
  <c r="F1017" i="3"/>
  <c r="D50" i="3"/>
  <c r="E353" i="3"/>
  <c r="G738" i="3"/>
  <c r="E712" i="3"/>
  <c r="G1087" i="3"/>
  <c r="G170" i="3"/>
  <c r="D436" i="3"/>
  <c r="E477" i="3"/>
  <c r="G143" i="3"/>
  <c r="G817" i="3"/>
  <c r="E656" i="3"/>
  <c r="G365" i="3"/>
  <c r="D587" i="3"/>
  <c r="F285" i="3"/>
  <c r="D216" i="3"/>
  <c r="E557" i="3"/>
  <c r="D563" i="3"/>
  <c r="F707" i="3"/>
  <c r="D808" i="3"/>
  <c r="E267" i="3"/>
  <c r="E601" i="3"/>
  <c r="F532" i="3"/>
  <c r="D184" i="3"/>
  <c r="D448" i="3"/>
  <c r="D1011" i="3"/>
  <c r="G1002" i="3"/>
  <c r="G152" i="3"/>
  <c r="E251" i="3"/>
  <c r="G569" i="3"/>
  <c r="E607" i="3"/>
  <c r="F901" i="3"/>
  <c r="F127" i="3"/>
  <c r="F338" i="3"/>
  <c r="D368" i="3"/>
  <c r="D406" i="3"/>
  <c r="F1078" i="3"/>
  <c r="G765" i="3"/>
  <c r="D411" i="3"/>
  <c r="G390" i="3"/>
  <c r="G272" i="3"/>
  <c r="D486" i="3"/>
  <c r="F862" i="3"/>
  <c r="G512" i="3"/>
  <c r="F904" i="3"/>
  <c r="F645" i="3"/>
  <c r="E542" i="3"/>
  <c r="F281" i="3"/>
  <c r="G1094" i="3"/>
  <c r="F812" i="3"/>
  <c r="G813" i="3"/>
  <c r="E652" i="3"/>
  <c r="E246" i="3"/>
  <c r="G844" i="3"/>
  <c r="D845" i="3"/>
  <c r="F360" i="3"/>
  <c r="F123" i="3"/>
  <c r="F950" i="3"/>
  <c r="E612" i="3"/>
  <c r="G428" i="3"/>
  <c r="D516" i="3"/>
  <c r="G925" i="3"/>
  <c r="F924" i="3"/>
  <c r="E1088" i="3"/>
  <c r="G375" i="3"/>
  <c r="G654" i="3"/>
  <c r="G766" i="3"/>
  <c r="E1016" i="3"/>
  <c r="E530" i="3"/>
  <c r="E829" i="3"/>
  <c r="D828" i="3"/>
  <c r="F214" i="3"/>
  <c r="G636" i="3"/>
  <c r="D638" i="3"/>
  <c r="E750" i="3"/>
  <c r="D984" i="3"/>
  <c r="E265" i="3"/>
  <c r="G547" i="3"/>
  <c r="E691" i="3"/>
  <c r="F88" i="3"/>
  <c r="E881" i="3"/>
  <c r="G550" i="3"/>
  <c r="G257" i="3"/>
  <c r="D215" i="3"/>
  <c r="F929" i="3"/>
  <c r="G447" i="3"/>
  <c r="E880" i="3"/>
  <c r="E1036" i="3"/>
  <c r="E347" i="3"/>
  <c r="D321" i="3"/>
  <c r="G743" i="3"/>
  <c r="E721" i="3"/>
  <c r="G1088" i="3"/>
  <c r="E391" i="3"/>
  <c r="D941" i="3"/>
  <c r="G940" i="3"/>
  <c r="F269" i="3"/>
  <c r="F615" i="3"/>
  <c r="G909" i="3"/>
  <c r="A909" i="6" s="1"/>
  <c r="F908" i="3"/>
  <c r="D1068" i="3"/>
  <c r="G359" i="3"/>
  <c r="G638" i="3"/>
  <c r="G750" i="3"/>
  <c r="F1000" i="3"/>
  <c r="G79" i="3"/>
  <c r="F608" i="3"/>
  <c r="D250" i="3"/>
  <c r="D222" i="3"/>
  <c r="F852" i="3"/>
  <c r="A852" i="6" s="1"/>
  <c r="D651" i="3"/>
  <c r="E495" i="3"/>
  <c r="D279" i="3"/>
  <c r="A279" i="6" s="1"/>
  <c r="F81" i="3"/>
  <c r="D166" i="3"/>
  <c r="G421" i="3"/>
  <c r="E534" i="3"/>
  <c r="D575" i="3"/>
  <c r="D1046" i="3"/>
  <c r="F148" i="3"/>
  <c r="G465" i="3"/>
  <c r="E613" i="3"/>
  <c r="G84" i="3"/>
  <c r="F430" i="3"/>
  <c r="E768" i="3"/>
  <c r="D975" i="3"/>
  <c r="G89" i="3"/>
  <c r="D132" i="3"/>
  <c r="E433" i="3"/>
  <c r="G581" i="3"/>
  <c r="G918" i="3"/>
  <c r="F96" i="3"/>
  <c r="D468" i="3"/>
  <c r="F482" i="3"/>
  <c r="G463" i="3"/>
  <c r="E66" i="3"/>
  <c r="E871" i="3"/>
  <c r="F425" i="3"/>
  <c r="F431" i="3"/>
  <c r="F561" i="3"/>
  <c r="D844" i="3"/>
  <c r="E845" i="3"/>
  <c r="D551" i="3"/>
  <c r="D1092" i="3"/>
  <c r="F753" i="3"/>
  <c r="D775" i="3"/>
  <c r="F394" i="3"/>
  <c r="F1031" i="3"/>
  <c r="F848" i="3"/>
  <c r="D643" i="3"/>
  <c r="G278" i="3"/>
  <c r="E1025" i="3"/>
  <c r="G880" i="3"/>
  <c r="D474" i="3"/>
  <c r="D244" i="3"/>
  <c r="A244" i="6" s="1"/>
  <c r="E933" i="3"/>
  <c r="D634" i="3"/>
  <c r="E600" i="3"/>
  <c r="G405" i="3"/>
  <c r="E429" i="3"/>
  <c r="E1004" i="3"/>
  <c r="E689" i="3"/>
  <c r="A689" i="6" s="1"/>
  <c r="G34" i="3"/>
  <c r="G332" i="3"/>
  <c r="E681" i="3"/>
  <c r="D1051" i="3"/>
  <c r="D55" i="3"/>
  <c r="F300" i="3"/>
  <c r="F531" i="3"/>
  <c r="E641" i="3"/>
  <c r="G907" i="3"/>
  <c r="D87" i="3"/>
  <c r="F344" i="3"/>
  <c r="G928" i="3"/>
  <c r="F1093" i="3"/>
  <c r="F334" i="3"/>
  <c r="F86" i="3"/>
  <c r="G593" i="3"/>
  <c r="E456" i="3"/>
  <c r="E169" i="3"/>
  <c r="D978" i="3"/>
  <c r="D577" i="3"/>
  <c r="G504" i="3"/>
  <c r="F47" i="3"/>
  <c r="G772" i="3"/>
  <c r="G523" i="3"/>
  <c r="A523" i="6" s="1"/>
  <c r="E365" i="3"/>
  <c r="D24" i="3"/>
  <c r="A24" i="6" s="1"/>
  <c r="G236" i="3"/>
  <c r="E489" i="3"/>
  <c r="D527" i="3"/>
  <c r="E74" i="3"/>
  <c r="E919" i="3"/>
  <c r="D545" i="3"/>
  <c r="D509" i="3"/>
  <c r="G276" i="3"/>
  <c r="D562" i="3"/>
  <c r="F941" i="3"/>
  <c r="E940" i="3"/>
  <c r="G269" i="3"/>
  <c r="E362" i="3"/>
  <c r="D648" i="3"/>
  <c r="G659" i="3"/>
  <c r="E856" i="3"/>
  <c r="D235" i="3"/>
  <c r="F899" i="3"/>
  <c r="E890" i="3"/>
  <c r="G182" i="3"/>
  <c r="F421" i="3"/>
  <c r="E867" i="3"/>
  <c r="D858" i="3"/>
  <c r="A858" i="6" s="1"/>
  <c r="D869" i="3"/>
  <c r="E148" i="3"/>
  <c r="E412" i="3"/>
  <c r="A412" i="6" s="1"/>
  <c r="G596" i="3"/>
  <c r="D950" i="3"/>
  <c r="F439" i="3"/>
  <c r="E649" i="3"/>
  <c r="G1095" i="3"/>
  <c r="G26" i="3"/>
  <c r="D932" i="3"/>
  <c r="F735" i="3"/>
  <c r="D386" i="3"/>
  <c r="F245" i="3"/>
  <c r="E916" i="3"/>
  <c r="E524" i="3"/>
  <c r="F319" i="3"/>
  <c r="E231" i="3"/>
  <c r="G977" i="3"/>
  <c r="A977" i="6" s="1"/>
  <c r="F619" i="3"/>
  <c r="F340" i="3"/>
  <c r="G77" i="3"/>
  <c r="E929" i="3"/>
  <c r="F767" i="3"/>
  <c r="D354" i="3"/>
  <c r="F213" i="3"/>
  <c r="E884" i="3"/>
  <c r="A884" i="6" s="1"/>
  <c r="F979" i="3"/>
  <c r="E970" i="3"/>
  <c r="G109" i="3"/>
  <c r="F501" i="3"/>
  <c r="E947" i="3"/>
  <c r="D938" i="3"/>
  <c r="F729" i="3"/>
  <c r="F1029" i="3"/>
  <c r="F37" i="3"/>
  <c r="D112" i="3"/>
  <c r="G499" i="3"/>
  <c r="E716" i="3"/>
  <c r="D971" i="3"/>
  <c r="E71" i="3"/>
  <c r="F790" i="3"/>
  <c r="G1065" i="3"/>
  <c r="F23" i="3"/>
  <c r="F373" i="3"/>
  <c r="D758" i="3"/>
  <c r="G700" i="3"/>
  <c r="F955" i="3"/>
  <c r="D49" i="3"/>
  <c r="E376" i="3"/>
  <c r="G802" i="3"/>
  <c r="G776" i="3"/>
  <c r="E52" i="3"/>
  <c r="G871" i="3"/>
  <c r="D489" i="3"/>
  <c r="F527" i="3"/>
  <c r="G106" i="3"/>
  <c r="D919" i="3"/>
  <c r="G836" i="3"/>
  <c r="E809" i="3"/>
  <c r="G98" i="3"/>
  <c r="E471" i="3"/>
  <c r="D465" i="3"/>
  <c r="A465" i="6" s="1"/>
  <c r="G815" i="3"/>
  <c r="F854" i="3"/>
  <c r="E112" i="3"/>
  <c r="G515" i="3"/>
  <c r="E1061" i="3"/>
  <c r="G53" i="3"/>
  <c r="A53" i="6" s="1"/>
  <c r="D380" i="3"/>
  <c r="F713" i="3"/>
  <c r="G1080" i="3"/>
  <c r="F21" i="3"/>
  <c r="G96" i="3"/>
  <c r="G483" i="3"/>
  <c r="A483" i="6" s="1"/>
  <c r="E700" i="3"/>
  <c r="D955" i="3"/>
  <c r="G65" i="3"/>
  <c r="G220" i="3"/>
  <c r="F418" i="3"/>
  <c r="A418" i="6" s="1"/>
  <c r="E388" i="3"/>
  <c r="D108" i="3"/>
  <c r="D834" i="3"/>
  <c r="E740" i="3"/>
  <c r="G721" i="3"/>
  <c r="F411" i="3"/>
  <c r="F372" i="3"/>
  <c r="E221" i="3"/>
  <c r="G583" i="3"/>
  <c r="F695" i="3"/>
  <c r="D673" i="3"/>
  <c r="A673" i="6" s="1"/>
  <c r="E1023" i="3"/>
  <c r="D327" i="3"/>
  <c r="F514" i="3"/>
  <c r="E771" i="3"/>
  <c r="A771" i="6" s="1"/>
  <c r="D198" i="3"/>
  <c r="F620" i="3"/>
  <c r="E1038" i="3"/>
  <c r="F985" i="3"/>
  <c r="E271" i="3"/>
  <c r="F311" i="3"/>
  <c r="E595" i="3"/>
  <c r="G739" i="3"/>
  <c r="E936" i="3"/>
  <c r="G210" i="3"/>
  <c r="E117" i="3"/>
  <c r="F370" i="3"/>
  <c r="G241" i="3"/>
  <c r="F208" i="3"/>
  <c r="G881" i="3"/>
  <c r="F587" i="3"/>
  <c r="F308" i="3"/>
  <c r="G1090" i="3"/>
  <c r="F39" i="3"/>
  <c r="G1081" i="3"/>
  <c r="E631" i="3"/>
  <c r="G101" i="3"/>
  <c r="G886" i="3"/>
  <c r="D847" i="3"/>
  <c r="F506" i="3"/>
  <c r="E173" i="3"/>
  <c r="G130" i="3"/>
  <c r="D943" i="3"/>
  <c r="A943" i="6" s="1"/>
  <c r="E736" i="3"/>
  <c r="D535" i="3"/>
  <c r="D89" i="3"/>
  <c r="G543" i="3"/>
  <c r="F522" i="3"/>
  <c r="G362" i="3"/>
  <c r="G1045" i="3"/>
  <c r="G696" i="3"/>
  <c r="E911" i="3"/>
  <c r="D763" i="3"/>
  <c r="F960" i="3"/>
  <c r="F1043" i="3"/>
  <c r="E369" i="3"/>
  <c r="G754" i="3"/>
  <c r="E728" i="3"/>
  <c r="F1055" i="3"/>
  <c r="F667" i="3"/>
  <c r="A667" i="6" s="1"/>
  <c r="D864" i="3"/>
  <c r="D1082" i="3"/>
  <c r="D379" i="3"/>
  <c r="G658" i="3"/>
  <c r="E738" i="3"/>
  <c r="G712" i="3"/>
  <c r="E1071" i="3"/>
  <c r="G378" i="3"/>
  <c r="E679" i="3"/>
  <c r="F647" i="3"/>
  <c r="F111" i="3"/>
  <c r="F898" i="3"/>
  <c r="G520" i="3"/>
  <c r="E504" i="3"/>
  <c r="D169" i="3"/>
  <c r="G946" i="3"/>
  <c r="E153" i="3"/>
  <c r="F1080" i="3"/>
  <c r="D991" i="3"/>
  <c r="F64" i="3"/>
  <c r="D148" i="3"/>
  <c r="E449" i="3"/>
  <c r="G597" i="3"/>
  <c r="G934" i="3"/>
  <c r="G112" i="3"/>
  <c r="G688" i="3"/>
  <c r="F895" i="3"/>
  <c r="A895" i="6" s="1"/>
  <c r="F82" i="3"/>
  <c r="D439" i="3"/>
  <c r="F649" i="3"/>
  <c r="E863" i="3"/>
  <c r="E918" i="3"/>
  <c r="D80" i="3"/>
  <c r="G426" i="3"/>
  <c r="F700" i="3"/>
  <c r="E955" i="3"/>
  <c r="G86" i="3"/>
  <c r="D692" i="3"/>
  <c r="F539" i="3"/>
  <c r="G486" i="3"/>
  <c r="G97" i="3"/>
  <c r="D983" i="3"/>
  <c r="F623" i="3"/>
  <c r="F193" i="3"/>
  <c r="A193" i="6" s="1"/>
  <c r="E816" i="3"/>
  <c r="E972" i="3"/>
  <c r="F276" i="3"/>
  <c r="E394" i="3"/>
  <c r="G679" i="3"/>
  <c r="G647" i="3"/>
  <c r="D1089" i="3"/>
  <c r="E327" i="3"/>
  <c r="D877" i="3"/>
  <c r="G876" i="3"/>
  <c r="D205" i="3"/>
  <c r="A205" i="6" s="1"/>
  <c r="F551" i="3"/>
  <c r="G845" i="3"/>
  <c r="F844" i="3"/>
  <c r="F1073" i="3"/>
  <c r="G295" i="3"/>
  <c r="E574" i="3"/>
  <c r="G686" i="3"/>
  <c r="F936" i="3"/>
  <c r="D25" i="3"/>
  <c r="G671" i="3"/>
  <c r="E354" i="3"/>
  <c r="G213" i="3"/>
  <c r="F916" i="3"/>
  <c r="D719" i="3"/>
  <c r="A719" i="6" s="1"/>
  <c r="D422" i="3"/>
  <c r="D277" i="3"/>
  <c r="E89" i="3"/>
  <c r="F975" i="3"/>
  <c r="G768" i="3"/>
  <c r="G164" i="3"/>
  <c r="F869" i="3"/>
  <c r="E575" i="3"/>
  <c r="G534" i="3"/>
  <c r="E219" i="3"/>
  <c r="F109" i="3"/>
  <c r="A109" i="6" s="1"/>
  <c r="G970" i="3"/>
  <c r="D979" i="3"/>
  <c r="D416" i="3"/>
  <c r="D152" i="3"/>
  <c r="E675" i="3"/>
  <c r="E663" i="3"/>
  <c r="E360" i="3"/>
  <c r="D33" i="3"/>
  <c r="F939" i="3"/>
  <c r="G921" i="3"/>
  <c r="F325" i="3"/>
  <c r="D710" i="3"/>
  <c r="G641" i="3"/>
  <c r="F907" i="3"/>
  <c r="E50" i="3"/>
  <c r="E328" i="3"/>
  <c r="D754" i="3"/>
  <c r="F728" i="3"/>
  <c r="E366" i="3"/>
  <c r="G747" i="3"/>
  <c r="E928" i="3"/>
  <c r="D1093" i="3"/>
  <c r="D334" i="3"/>
  <c r="G312" i="3"/>
  <c r="F722" i="3"/>
  <c r="D696" i="3"/>
  <c r="D28" i="3"/>
  <c r="D378" i="3"/>
  <c r="E118" i="3"/>
  <c r="F79" i="3"/>
  <c r="F124" i="3"/>
  <c r="E882" i="3"/>
  <c r="F500" i="3"/>
  <c r="E424" i="3"/>
  <c r="E143" i="3"/>
  <c r="E83" i="3"/>
  <c r="F665" i="3"/>
  <c r="F1051" i="3"/>
  <c r="G55" i="3"/>
  <c r="D85" i="3"/>
  <c r="A85" i="6" s="1"/>
  <c r="G435" i="3"/>
  <c r="D641" i="3"/>
  <c r="D907" i="3"/>
  <c r="E726" i="3"/>
  <c r="F1056" i="3"/>
  <c r="G1066" i="3"/>
  <c r="F309" i="3"/>
  <c r="D694" i="3"/>
  <c r="D773" i="3"/>
  <c r="F891" i="3"/>
  <c r="E34" i="3"/>
  <c r="E312" i="3"/>
  <c r="D738" i="3"/>
  <c r="F712" i="3"/>
  <c r="D243" i="3"/>
  <c r="G935" i="3"/>
  <c r="G420" i="3"/>
  <c r="D613" i="3"/>
  <c r="G160" i="3"/>
  <c r="G1010" i="3"/>
  <c r="F187" i="3"/>
  <c r="D804" i="3"/>
  <c r="G990" i="3"/>
  <c r="F937" i="3"/>
  <c r="D223" i="3"/>
  <c r="D281" i="3"/>
  <c r="E547" i="3"/>
  <c r="G691" i="3"/>
  <c r="E888" i="3"/>
  <c r="G267" i="3"/>
  <c r="E894" i="3"/>
  <c r="D841" i="3"/>
  <c r="G200" i="3"/>
  <c r="E512" i="3"/>
  <c r="D862" i="3"/>
  <c r="G809" i="3"/>
  <c r="G872" i="3"/>
  <c r="F235" i="3"/>
  <c r="G552" i="3"/>
  <c r="E586" i="3"/>
  <c r="G901" i="3"/>
  <c r="D204" i="3"/>
  <c r="D794" i="3"/>
  <c r="G352" i="3"/>
  <c r="E326" i="3"/>
  <c r="F1027" i="3"/>
  <c r="F685" i="3"/>
  <c r="F488" i="3"/>
  <c r="E405" i="3"/>
  <c r="E152" i="3"/>
  <c r="E1002" i="3"/>
  <c r="F1011" i="3"/>
  <c r="G283" i="3"/>
  <c r="E904" i="3"/>
  <c r="G707" i="3"/>
  <c r="E563" i="3"/>
  <c r="G268" i="3"/>
  <c r="A268" i="6" s="1"/>
  <c r="D239" i="3"/>
  <c r="A239" i="6" s="1"/>
  <c r="F953" i="3"/>
  <c r="G1006" i="3"/>
  <c r="F588" i="3"/>
  <c r="F271" i="3"/>
  <c r="G798" i="3"/>
  <c r="G786" i="3"/>
  <c r="G474" i="3"/>
  <c r="F128" i="3"/>
  <c r="E966" i="3"/>
  <c r="F1021" i="3"/>
  <c r="D121" i="3"/>
  <c r="A121" i="6" s="1"/>
  <c r="F142" i="3"/>
  <c r="F347" i="3"/>
  <c r="E315" i="3"/>
  <c r="A315" i="6" s="1"/>
  <c r="D1035" i="3"/>
  <c r="D902" i="3"/>
  <c r="F166" i="3"/>
  <c r="E421" i="3"/>
  <c r="D851" i="3"/>
  <c r="G842" i="3"/>
  <c r="E134" i="3"/>
  <c r="A134" i="6" s="1"/>
  <c r="G163" i="3"/>
  <c r="F529" i="3"/>
  <c r="F580" i="3"/>
  <c r="G1014" i="3"/>
  <c r="E178" i="3"/>
  <c r="E777" i="3"/>
  <c r="F1095" i="3"/>
  <c r="G75" i="3"/>
  <c r="G43" i="3"/>
  <c r="G823" i="3"/>
  <c r="E482" i="3"/>
  <c r="F463" i="3"/>
  <c r="F45" i="3"/>
  <c r="A45" i="6" s="1"/>
  <c r="D807" i="3"/>
  <c r="F107" i="3"/>
  <c r="G307" i="3"/>
  <c r="D1060" i="3"/>
  <c r="A1060" i="6" s="1"/>
  <c r="D698" i="3"/>
  <c r="G386" i="3"/>
  <c r="E245" i="3"/>
  <c r="F156" i="3"/>
  <c r="E749" i="3"/>
  <c r="D400" i="3"/>
  <c r="E374" i="3"/>
  <c r="A374" i="6" s="1"/>
  <c r="F1037" i="3"/>
  <c r="G788" i="3"/>
  <c r="G1086" i="3"/>
  <c r="F32" i="3"/>
  <c r="E357" i="3"/>
  <c r="G726" i="3"/>
  <c r="G1056" i="3"/>
  <c r="E1066" i="3"/>
  <c r="F103" i="3"/>
  <c r="F346" i="3"/>
  <c r="D727" i="3"/>
  <c r="F705" i="3"/>
  <c r="F1049" i="3"/>
  <c r="E572" i="3"/>
  <c r="F1006" i="3"/>
  <c r="E953" i="3"/>
  <c r="G223" i="3"/>
  <c r="D540" i="3"/>
  <c r="G542" i="3"/>
  <c r="G645" i="3"/>
  <c r="D888" i="3"/>
  <c r="F242" i="3"/>
  <c r="D584" i="3"/>
  <c r="F618" i="3"/>
  <c r="D136" i="3"/>
  <c r="F533" i="3"/>
  <c r="E41" i="3"/>
  <c r="E218" i="3"/>
  <c r="E176" i="3"/>
  <c r="A176" i="6" s="1"/>
  <c r="D817" i="3"/>
  <c r="G555" i="3"/>
  <c r="F202" i="3"/>
  <c r="E159" i="3"/>
  <c r="F930" i="3"/>
  <c r="A930" i="6" s="1"/>
  <c r="F593" i="3"/>
  <c r="D456" i="3"/>
  <c r="E142" i="3"/>
  <c r="G850" i="3"/>
  <c r="D20" i="3"/>
  <c r="D26" i="3"/>
  <c r="D143" i="3"/>
  <c r="D849" i="3"/>
  <c r="A849" i="6" s="1"/>
  <c r="G656" i="3"/>
  <c r="E275" i="3"/>
  <c r="D125" i="3"/>
  <c r="F652" i="3"/>
  <c r="E813" i="3"/>
  <c r="D812" i="3"/>
  <c r="F198" i="3"/>
  <c r="D620" i="3"/>
  <c r="G622" i="3"/>
  <c r="F469" i="3"/>
  <c r="E915" i="3"/>
  <c r="D906" i="3"/>
  <c r="D917" i="3"/>
  <c r="E127" i="3"/>
  <c r="E460" i="3"/>
  <c r="E644" i="3"/>
  <c r="D998" i="3"/>
  <c r="E478" i="3"/>
  <c r="G819" i="3"/>
  <c r="F810" i="3"/>
  <c r="E100" i="3"/>
  <c r="D446" i="3"/>
  <c r="G444" i="3"/>
  <c r="F628" i="3"/>
  <c r="F966" i="3"/>
  <c r="G141" i="3"/>
  <c r="D490" i="3"/>
  <c r="F526" i="3"/>
  <c r="F220" i="3"/>
  <c r="E1027" i="3"/>
  <c r="D749" i="3"/>
  <c r="F368" i="3"/>
  <c r="G406" i="3"/>
  <c r="D1037" i="3"/>
  <c r="E630" i="3"/>
  <c r="F795" i="3"/>
  <c r="G1018" i="3"/>
  <c r="G168" i="3"/>
  <c r="F267" i="3"/>
  <c r="G585" i="3"/>
  <c r="E623" i="3"/>
  <c r="F917" i="3"/>
  <c r="F147" i="3"/>
  <c r="F931" i="3"/>
  <c r="E922" i="3"/>
  <c r="F145" i="3"/>
  <c r="F453" i="3"/>
  <c r="E899" i="3"/>
  <c r="D890" i="3"/>
  <c r="D901" i="3"/>
  <c r="E180" i="3"/>
  <c r="E444" i="3"/>
  <c r="E628" i="3"/>
  <c r="D982" i="3"/>
  <c r="G149" i="3"/>
  <c r="F730" i="3"/>
  <c r="E282" i="3"/>
  <c r="D397" i="3"/>
  <c r="E339" i="3"/>
  <c r="E1028" i="3"/>
  <c r="E393" i="3"/>
  <c r="E199" i="3"/>
  <c r="D1081" i="3"/>
  <c r="D1053" i="3"/>
  <c r="F264" i="3"/>
  <c r="G392" i="3"/>
  <c r="D802" i="3"/>
  <c r="E776" i="3"/>
  <c r="E67" i="3"/>
  <c r="G321" i="3"/>
  <c r="G912" i="3"/>
  <c r="A912" i="6" s="1"/>
  <c r="F1077" i="3"/>
  <c r="A1077" i="6" s="1"/>
  <c r="F318" i="3"/>
  <c r="D683" i="3"/>
  <c r="F880" i="3"/>
  <c r="D1025" i="3"/>
  <c r="E51" i="3"/>
  <c r="E288" i="3"/>
  <c r="G674" i="3"/>
  <c r="D633" i="3"/>
  <c r="G1068" i="3"/>
  <c r="F120" i="3"/>
  <c r="A120" i="6" s="1"/>
  <c r="D538" i="3"/>
  <c r="A538" i="6" s="1"/>
  <c r="G484" i="3"/>
  <c r="E461" i="3"/>
  <c r="A461" i="6" s="1"/>
  <c r="E124" i="3"/>
  <c r="G818" i="3"/>
  <c r="G57" i="3"/>
  <c r="A57" i="6" s="1"/>
  <c r="D730" i="3"/>
  <c r="G331" i="3"/>
  <c r="D1020" i="3"/>
  <c r="G791" i="3"/>
  <c r="G337" i="3"/>
  <c r="F792" i="3"/>
  <c r="G655" i="3"/>
  <c r="D408" i="3"/>
  <c r="G293" i="3"/>
  <c r="F1075" i="3"/>
  <c r="E1024" i="3"/>
  <c r="A1024" i="6" s="1"/>
  <c r="F710" i="3"/>
  <c r="D325" i="3"/>
  <c r="E1003" i="3"/>
  <c r="F543" i="3"/>
  <c r="D522" i="3"/>
  <c r="E242" i="3"/>
  <c r="G984" i="3"/>
  <c r="F448" i="3"/>
  <c r="D455" i="3"/>
  <c r="F672" i="3"/>
  <c r="E879" i="3"/>
  <c r="E934" i="3"/>
  <c r="D96" i="3"/>
  <c r="G442" i="3"/>
  <c r="F716" i="3"/>
  <c r="E971" i="3"/>
  <c r="G364" i="3"/>
  <c r="E713" i="3"/>
  <c r="F1059" i="3"/>
  <c r="F38" i="3"/>
  <c r="F332" i="3"/>
  <c r="E426" i="3"/>
  <c r="D684" i="3"/>
  <c r="G939" i="3"/>
  <c r="G78" i="3"/>
  <c r="F376" i="3"/>
  <c r="G138" i="3"/>
  <c r="F170" i="3"/>
  <c r="D29" i="3"/>
  <c r="F855" i="3"/>
  <c r="A855" i="6" s="1"/>
  <c r="D482" i="3"/>
  <c r="F447" i="3"/>
  <c r="G108" i="3"/>
  <c r="D962" i="3"/>
  <c r="A962" i="6" s="1"/>
  <c r="E784" i="3"/>
  <c r="D878" i="3"/>
  <c r="G825" i="3"/>
  <c r="A825" i="6" s="1"/>
  <c r="G888" i="3"/>
  <c r="F251" i="3"/>
  <c r="G568" i="3"/>
  <c r="E602" i="3"/>
  <c r="G917" i="3"/>
  <c r="G432" i="3"/>
  <c r="G1011" i="3"/>
  <c r="F1002" i="3"/>
  <c r="F136" i="3"/>
  <c r="G533" i="3"/>
  <c r="E552" i="3"/>
  <c r="G586" i="3"/>
  <c r="E885" i="3"/>
  <c r="A885" i="6" s="1"/>
  <c r="D196" i="3"/>
  <c r="F444" i="3"/>
  <c r="G628" i="3"/>
  <c r="D43" i="3"/>
  <c r="A43" i="6" s="1"/>
  <c r="D980" i="3"/>
  <c r="E714" i="3"/>
  <c r="E427" i="3"/>
  <c r="G333" i="3"/>
  <c r="D1078" i="3"/>
  <c r="E156" i="3"/>
  <c r="E224" i="3"/>
  <c r="G758" i="3"/>
  <c r="F1086" i="3"/>
  <c r="E32" i="3"/>
  <c r="E94" i="3"/>
  <c r="D376" i="3"/>
  <c r="F725" i="3"/>
  <c r="D843" i="3"/>
  <c r="G67" i="3"/>
  <c r="G661" i="3"/>
  <c r="A661" i="6" s="1"/>
  <c r="D992" i="3"/>
  <c r="G1021" i="3"/>
  <c r="G382" i="3"/>
  <c r="E763" i="3"/>
  <c r="D709" i="3"/>
  <c r="F827" i="3"/>
  <c r="F35" i="3"/>
  <c r="F369" i="3"/>
  <c r="D674" i="3"/>
  <c r="F633" i="3"/>
  <c r="E252" i="3"/>
  <c r="A252" i="6" s="1"/>
  <c r="D1026" i="3"/>
  <c r="F656" i="3"/>
  <c r="G202" i="3"/>
  <c r="F159" i="3"/>
  <c r="D797" i="3"/>
  <c r="F243" i="3"/>
  <c r="F980" i="3"/>
  <c r="E325" i="3"/>
  <c r="F1066" i="3"/>
  <c r="D1056" i="3"/>
  <c r="E467" i="3"/>
  <c r="A467" i="6" s="1"/>
  <c r="F101" i="3"/>
  <c r="F806" i="3"/>
  <c r="F780" i="3"/>
  <c r="A780" i="6" s="1"/>
  <c r="D417" i="3"/>
  <c r="E423" i="3"/>
  <c r="D91" i="3"/>
  <c r="E1074" i="3"/>
  <c r="D672" i="3"/>
  <c r="A672" i="6" s="1"/>
  <c r="F455" i="3"/>
  <c r="G1030" i="3"/>
  <c r="D675" i="3"/>
  <c r="A675" i="6" s="1"/>
  <c r="D663" i="3"/>
  <c r="A663" i="6" s="1"/>
  <c r="G270" i="3"/>
  <c r="D1071" i="3"/>
  <c r="E1001" i="3"/>
  <c r="A1001" i="6" s="1"/>
  <c r="F89" i="3"/>
  <c r="G535" i="3"/>
  <c r="D529" i="3"/>
  <c r="E580" i="3"/>
  <c r="F918" i="3"/>
  <c r="D162" i="3"/>
  <c r="D442" i="3"/>
  <c r="F472" i="3"/>
  <c r="A472" i="6" s="1"/>
  <c r="G60" i="3"/>
  <c r="G439" i="3"/>
  <c r="G777" i="3"/>
  <c r="E1095" i="3"/>
  <c r="E75" i="3"/>
  <c r="F146" i="3"/>
  <c r="F409" i="3"/>
  <c r="A409" i="6" s="1"/>
  <c r="E764" i="3"/>
  <c r="F779" i="3"/>
  <c r="D78" i="3"/>
  <c r="F211" i="3"/>
  <c r="G491" i="3"/>
  <c r="E290" i="3"/>
  <c r="F63" i="3"/>
  <c r="F756" i="3"/>
  <c r="E539" i="3"/>
  <c r="F470" i="3"/>
  <c r="F749" i="3"/>
  <c r="G510" i="3"/>
  <c r="E851" i="3"/>
  <c r="D842" i="3"/>
  <c r="D853" i="3"/>
  <c r="E132" i="3"/>
  <c r="A132" i="6" s="1"/>
  <c r="G529" i="3"/>
  <c r="G580" i="3"/>
  <c r="D934" i="3"/>
  <c r="E414" i="3"/>
  <c r="D768" i="3"/>
  <c r="G975" i="3"/>
  <c r="F73" i="3"/>
  <c r="G519" i="3"/>
  <c r="D513" i="3"/>
  <c r="F863" i="3"/>
  <c r="F902" i="3"/>
  <c r="D146" i="3"/>
  <c r="D426" i="3"/>
  <c r="F456" i="3"/>
  <c r="G155" i="3"/>
  <c r="D1067" i="3"/>
  <c r="G676" i="3"/>
  <c r="G441" i="3"/>
  <c r="F401" i="3"/>
  <c r="D66" i="3"/>
  <c r="E187" i="3"/>
  <c r="A187" i="6" s="1"/>
  <c r="F436" i="3"/>
  <c r="E658" i="3"/>
  <c r="F832" i="3"/>
  <c r="E1052" i="3"/>
  <c r="F44" i="3"/>
  <c r="F378" i="3"/>
  <c r="D759" i="3"/>
  <c r="F737" i="3"/>
  <c r="E1089" i="3"/>
  <c r="G562" i="3"/>
  <c r="E957" i="3"/>
  <c r="D956" i="3"/>
  <c r="E269" i="3"/>
  <c r="F516" i="3"/>
  <c r="F743" i="3"/>
  <c r="D721" i="3"/>
  <c r="G1049" i="3"/>
  <c r="D375" i="3"/>
  <c r="F574" i="3"/>
  <c r="D686" i="3"/>
  <c r="D133" i="3"/>
  <c r="A133" i="6" s="1"/>
  <c r="E1009" i="3"/>
  <c r="E651" i="3"/>
  <c r="E367" i="3"/>
  <c r="A367" i="6" s="1"/>
  <c r="G238" i="3"/>
  <c r="E836" i="3"/>
  <c r="A836" i="6" s="1"/>
  <c r="G427" i="3"/>
  <c r="E174" i="3"/>
  <c r="G455" i="3"/>
  <c r="E82" i="3"/>
  <c r="D528" i="3"/>
  <c r="G481" i="3"/>
  <c r="F164" i="3"/>
  <c r="D1062" i="3"/>
  <c r="D591" i="3"/>
  <c r="F553" i="3"/>
  <c r="G437" i="3"/>
  <c r="D182" i="3"/>
  <c r="F906" i="3"/>
  <c r="G915" i="3"/>
  <c r="D469" i="3"/>
  <c r="G1013" i="3"/>
  <c r="E798" i="3"/>
  <c r="E786" i="3"/>
  <c r="G49" i="3"/>
  <c r="F186" i="3"/>
  <c r="E616" i="3"/>
  <c r="F846" i="3"/>
  <c r="G330" i="3"/>
  <c r="D942" i="3"/>
  <c r="A942" i="6" s="1"/>
  <c r="E73" i="3"/>
  <c r="D71" i="3"/>
  <c r="F274" i="3"/>
  <c r="E202" i="3"/>
  <c r="G265" i="3"/>
  <c r="F734" i="3"/>
  <c r="A734" i="6" s="1"/>
  <c r="F221" i="3"/>
  <c r="G496" i="3"/>
  <c r="E1068" i="3"/>
  <c r="D605" i="3"/>
  <c r="G42" i="3"/>
  <c r="F508" i="3"/>
  <c r="D650" i="3"/>
  <c r="G678" i="3"/>
  <c r="E162" i="3"/>
  <c r="F515" i="3"/>
  <c r="D548" i="3"/>
  <c r="E949" i="3"/>
  <c r="A949" i="6" s="1"/>
  <c r="F464" i="3"/>
  <c r="G253" i="3"/>
  <c r="A253" i="6" s="1"/>
  <c r="E210" i="3"/>
  <c r="D331" i="3"/>
  <c r="D1091" i="3"/>
  <c r="F564" i="3"/>
  <c r="G39" i="3"/>
  <c r="F77" i="3"/>
  <c r="F764" i="3"/>
  <c r="D296" i="3"/>
  <c r="A296" i="6" s="1"/>
  <c r="E135" i="3"/>
  <c r="G981" i="3"/>
  <c r="G664" i="3"/>
  <c r="D159" i="3"/>
  <c r="F165" i="3"/>
  <c r="F776" i="3"/>
  <c r="E314" i="3"/>
  <c r="E309" i="3"/>
  <c r="G998" i="3"/>
  <c r="F105" i="3"/>
  <c r="D622" i="3"/>
  <c r="E892" i="3"/>
  <c r="A892" i="6" s="1"/>
  <c r="D766" i="3"/>
  <c r="G952" i="3"/>
  <c r="F720" i="3"/>
  <c r="G752" i="3"/>
  <c r="E513" i="3"/>
  <c r="D835" i="3"/>
  <c r="E79" i="3"/>
  <c r="D1023" i="3"/>
  <c r="E982" i="3"/>
  <c r="F893" i="3"/>
  <c r="E654" i="3"/>
  <c r="E690" i="3"/>
  <c r="E765" i="3"/>
  <c r="G559" i="3"/>
  <c r="E802" i="3"/>
  <c r="F1053" i="3"/>
  <c r="F959" i="3"/>
  <c r="G891" i="3"/>
  <c r="G826" i="3"/>
  <c r="A826" i="6" s="1"/>
  <c r="D65" i="3"/>
  <c r="G781" i="3"/>
  <c r="D627" i="3"/>
  <c r="A627" i="6" s="1"/>
  <c r="G889" i="3"/>
  <c r="D503" i="3"/>
  <c r="F328" i="3"/>
  <c r="G147" i="3"/>
  <c r="D916" i="3"/>
  <c r="D779" i="3"/>
  <c r="G490" i="3"/>
  <c r="E927" i="3"/>
  <c r="E615" i="3"/>
  <c r="E632" i="3"/>
  <c r="F610" i="3"/>
  <c r="A610" i="6" s="1"/>
  <c r="E505" i="3"/>
  <c r="E28" i="3"/>
  <c r="G129" i="3"/>
  <c r="A129" i="6" s="1"/>
  <c r="F1008" i="3"/>
  <c r="A1008" i="6" s="1"/>
  <c r="D1040" i="3"/>
  <c r="E773" i="3"/>
  <c r="G991" i="3"/>
  <c r="A815" i="6"/>
  <c r="A639" i="6"/>
  <c r="A857" i="6"/>
  <c r="A287" i="6"/>
  <c r="A317" i="6"/>
  <c r="A336" i="6"/>
  <c r="A462" i="6"/>
  <c r="A261" i="6"/>
  <c r="A961" i="6"/>
  <c r="A185" i="6"/>
  <c r="A95" i="6"/>
  <c r="A188" i="6"/>
  <c r="A751" i="6"/>
  <c r="A58" i="6"/>
  <c r="A762" i="6"/>
  <c r="A669" i="6"/>
  <c r="A861" i="6"/>
  <c r="A475" i="6"/>
  <c r="A175" i="6"/>
  <c r="A48" i="6"/>
  <c r="A150" i="6"/>
  <c r="A657" i="6"/>
  <c r="A234" i="6"/>
  <c r="A413" i="6"/>
  <c r="A948" i="6"/>
  <c r="A194" i="6"/>
  <c r="A868" i="6"/>
  <c r="A839" i="6"/>
  <c r="A576" i="6"/>
  <c r="A757" i="6"/>
  <c r="A1032" i="6"/>
  <c r="A247" i="6"/>
  <c r="A1042" i="6"/>
  <c r="A450" i="6"/>
  <c r="A157" i="6"/>
  <c r="A54" i="6"/>
  <c r="A497" i="6"/>
  <c r="A1094" i="6"/>
  <c r="A254" i="6"/>
  <c r="A792" i="6"/>
  <c r="A968" i="6"/>
  <c r="A507" i="6"/>
  <c r="A787" i="6"/>
  <c r="A833" i="6"/>
  <c r="A110" i="6"/>
  <c r="A997" i="6"/>
  <c r="A389" i="6"/>
  <c r="A502" i="6"/>
  <c r="A345" i="6"/>
  <c r="A316" i="6"/>
  <c r="A733" i="6"/>
  <c r="A126" i="6"/>
  <c r="A511" i="6"/>
  <c r="A365" i="6"/>
  <c r="D634" i="2"/>
  <c r="E10" i="2"/>
  <c r="D823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835" i="2"/>
  <c r="D867" i="2"/>
  <c r="D899" i="2"/>
  <c r="D931" i="2"/>
  <c r="D963" i="2"/>
  <c r="D995" i="2"/>
  <c r="D1027" i="2"/>
  <c r="D1059" i="2"/>
  <c r="D1091" i="2"/>
  <c r="E108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746" i="2"/>
  <c r="E778" i="2"/>
  <c r="E810" i="2"/>
  <c r="E842" i="2"/>
  <c r="E874" i="2"/>
  <c r="E906" i="2"/>
  <c r="E938" i="2"/>
  <c r="E970" i="2"/>
  <c r="E1002" i="2"/>
  <c r="E1038" i="2"/>
  <c r="E749" i="2"/>
  <c r="E781" i="2"/>
  <c r="E813" i="2"/>
  <c r="E845" i="2"/>
  <c r="E877" i="2"/>
  <c r="E909" i="2"/>
  <c r="E941" i="2"/>
  <c r="E973" i="2"/>
  <c r="E1005" i="2"/>
  <c r="E1037" i="2"/>
  <c r="E1069" i="2"/>
  <c r="D1040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D748" i="2"/>
  <c r="D780" i="2"/>
  <c r="D812" i="2"/>
  <c r="D844" i="2"/>
  <c r="D876" i="2"/>
  <c r="D908" i="2"/>
  <c r="D940" i="2"/>
  <c r="D972" i="2"/>
  <c r="D1004" i="2"/>
  <c r="D1042" i="2"/>
  <c r="D811" i="2"/>
  <c r="D747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73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D837" i="2"/>
  <c r="D869" i="2"/>
  <c r="D901" i="2"/>
  <c r="D933" i="2"/>
  <c r="D965" i="2"/>
  <c r="D997" i="2"/>
  <c r="D1029" i="2"/>
  <c r="D1061" i="2"/>
  <c r="D1093" i="2"/>
  <c r="E1088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740" i="2"/>
  <c r="E772" i="2"/>
  <c r="E804" i="2"/>
  <c r="E836" i="2"/>
  <c r="E868" i="2"/>
  <c r="E900" i="2"/>
  <c r="E932" i="2"/>
  <c r="E964" i="2"/>
  <c r="E996" i="2"/>
  <c r="E1028" i="2"/>
  <c r="E1090" i="2"/>
  <c r="E775" i="2"/>
  <c r="E807" i="2"/>
  <c r="E839" i="2"/>
  <c r="E871" i="2"/>
  <c r="E903" i="2"/>
  <c r="E935" i="2"/>
  <c r="E967" i="2"/>
  <c r="E999" i="2"/>
  <c r="E1031" i="2"/>
  <c r="E1063" i="2"/>
  <c r="E1095" i="2"/>
  <c r="D1092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D758" i="2"/>
  <c r="D790" i="2"/>
  <c r="D822" i="2"/>
  <c r="D854" i="2"/>
  <c r="D886" i="2"/>
  <c r="D918" i="2"/>
  <c r="D950" i="2"/>
  <c r="D982" i="2"/>
  <c r="D1014" i="2"/>
  <c r="D1062" i="2"/>
  <c r="D791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D855" i="2"/>
  <c r="D887" i="2"/>
  <c r="D919" i="2"/>
  <c r="D951" i="2"/>
  <c r="D983" i="2"/>
  <c r="D1015" i="2"/>
  <c r="D1047" i="2"/>
  <c r="D1079" i="2"/>
  <c r="E1060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742" i="2"/>
  <c r="E774" i="2"/>
  <c r="E806" i="2"/>
  <c r="E838" i="2"/>
  <c r="E870" i="2"/>
  <c r="E902" i="2"/>
  <c r="E934" i="2"/>
  <c r="E966" i="2"/>
  <c r="E998" i="2"/>
  <c r="E1030" i="2"/>
  <c r="E1094" i="2"/>
  <c r="E777" i="2"/>
  <c r="E809" i="2"/>
  <c r="E841" i="2"/>
  <c r="E873" i="2"/>
  <c r="E905" i="2"/>
  <c r="E937" i="2"/>
  <c r="E969" i="2"/>
  <c r="E1001" i="2"/>
  <c r="E1033" i="2"/>
  <c r="E1065" i="2"/>
  <c r="D1032" i="2"/>
  <c r="D1096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D744" i="2"/>
  <c r="D776" i="2"/>
  <c r="D808" i="2"/>
  <c r="D840" i="2"/>
  <c r="D872" i="2"/>
  <c r="D904" i="2"/>
  <c r="D936" i="2"/>
  <c r="D968" i="2"/>
  <c r="D1000" i="2"/>
  <c r="D1034" i="2"/>
  <c r="D819" i="2"/>
  <c r="D755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813" i="2"/>
  <c r="D749" i="2"/>
  <c r="A749" i="5" s="1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D833" i="2"/>
  <c r="D865" i="2"/>
  <c r="D897" i="2"/>
  <c r="D929" i="2"/>
  <c r="D961" i="2"/>
  <c r="D993" i="2"/>
  <c r="D1025" i="2"/>
  <c r="D1057" i="2"/>
  <c r="D1089" i="2"/>
  <c r="E108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E752" i="2"/>
  <c r="E784" i="2"/>
  <c r="E816" i="2"/>
  <c r="E848" i="2"/>
  <c r="E880" i="2"/>
  <c r="E912" i="2"/>
  <c r="E944" i="2"/>
  <c r="E976" i="2"/>
  <c r="E1008" i="2"/>
  <c r="E1050" i="2"/>
  <c r="E755" i="2"/>
  <c r="E787" i="2"/>
  <c r="E819" i="2"/>
  <c r="E851" i="2"/>
  <c r="E883" i="2"/>
  <c r="E915" i="2"/>
  <c r="E947" i="2"/>
  <c r="E979" i="2"/>
  <c r="E1011" i="2"/>
  <c r="E1043" i="2"/>
  <c r="E1075" i="2"/>
  <c r="D105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D762" i="2"/>
  <c r="D794" i="2"/>
  <c r="D826" i="2"/>
  <c r="D858" i="2"/>
  <c r="D890" i="2"/>
  <c r="D922" i="2"/>
  <c r="D954" i="2"/>
  <c r="D986" i="2"/>
  <c r="D1018" i="2"/>
  <c r="D1070" i="2"/>
  <c r="D783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D843" i="2"/>
  <c r="D875" i="2"/>
  <c r="D907" i="2"/>
  <c r="D939" i="2"/>
  <c r="D971" i="2"/>
  <c r="D1003" i="2"/>
  <c r="D1035" i="2"/>
  <c r="D1067" i="2"/>
  <c r="E1036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E754" i="2"/>
  <c r="E786" i="2"/>
  <c r="E818" i="2"/>
  <c r="E850" i="2"/>
  <c r="E882" i="2"/>
  <c r="E914" i="2"/>
  <c r="E946" i="2"/>
  <c r="E978" i="2"/>
  <c r="E1010" i="2"/>
  <c r="E1054" i="2"/>
  <c r="E757" i="2"/>
  <c r="E789" i="2"/>
  <c r="E821" i="2"/>
  <c r="E853" i="2"/>
  <c r="E885" i="2"/>
  <c r="E917" i="2"/>
  <c r="E949" i="2"/>
  <c r="E981" i="2"/>
  <c r="E1013" i="2"/>
  <c r="E1045" i="2"/>
  <c r="E1077" i="2"/>
  <c r="D105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D756" i="2"/>
  <c r="D788" i="2"/>
  <c r="D820" i="2"/>
  <c r="D852" i="2"/>
  <c r="D884" i="2"/>
  <c r="D916" i="2"/>
  <c r="D948" i="2"/>
  <c r="D980" i="2"/>
  <c r="D1012" i="2"/>
  <c r="D1058" i="2"/>
  <c r="D795" i="2"/>
  <c r="E739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821" i="2"/>
  <c r="D757" i="2"/>
  <c r="D709" i="2"/>
  <c r="D676" i="2"/>
  <c r="D644" i="2"/>
  <c r="A644" i="5" s="1"/>
  <c r="D612" i="2"/>
  <c r="E579" i="2"/>
  <c r="E547" i="2"/>
  <c r="E515" i="2"/>
  <c r="E483" i="2"/>
  <c r="E451" i="2"/>
  <c r="E418" i="2"/>
  <c r="E386" i="2"/>
  <c r="E344" i="2"/>
  <c r="E312" i="2"/>
  <c r="E280" i="2"/>
  <c r="D248" i="2"/>
  <c r="A248" i="5" s="1"/>
  <c r="D216" i="2"/>
  <c r="D184" i="2"/>
  <c r="E153" i="2"/>
  <c r="D121" i="2"/>
  <c r="A121" i="5" s="1"/>
  <c r="E88" i="2"/>
  <c r="D56" i="2"/>
  <c r="D24" i="2"/>
  <c r="E20" i="2"/>
  <c r="D845" i="2"/>
  <c r="A845" i="5" s="1"/>
  <c r="D877" i="2"/>
  <c r="A877" i="5" s="1"/>
  <c r="D909" i="2"/>
  <c r="A909" i="5" s="1"/>
  <c r="D941" i="2"/>
  <c r="A941" i="5" s="1"/>
  <c r="D973" i="2"/>
  <c r="A973" i="5" s="1"/>
  <c r="D1005" i="2"/>
  <c r="A1005" i="5" s="1"/>
  <c r="D1037" i="2"/>
  <c r="A1037" i="5" s="1"/>
  <c r="D1069" i="2"/>
  <c r="A1069" i="5" s="1"/>
  <c r="E104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E748" i="2"/>
  <c r="E780" i="2"/>
  <c r="E812" i="2"/>
  <c r="E844" i="2"/>
  <c r="E876" i="2"/>
  <c r="E908" i="2"/>
  <c r="E940" i="2"/>
  <c r="E972" i="2"/>
  <c r="E1004" i="2"/>
  <c r="E1042" i="2"/>
  <c r="E751" i="2"/>
  <c r="E783" i="2"/>
  <c r="E815" i="2"/>
  <c r="E847" i="2"/>
  <c r="E879" i="2"/>
  <c r="E911" i="2"/>
  <c r="E943" i="2"/>
  <c r="E975" i="2"/>
  <c r="E1007" i="2"/>
  <c r="E1039" i="2"/>
  <c r="E1071" i="2"/>
  <c r="D104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D750" i="2"/>
  <c r="D782" i="2"/>
  <c r="D814" i="2"/>
  <c r="D846" i="2"/>
  <c r="D878" i="2"/>
  <c r="D910" i="2"/>
  <c r="D942" i="2"/>
  <c r="D974" i="2"/>
  <c r="D1006" i="2"/>
  <c r="D1046" i="2"/>
  <c r="D807" i="2"/>
  <c r="E745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D831" i="2"/>
  <c r="D863" i="2"/>
  <c r="D895" i="2"/>
  <c r="D927" i="2"/>
  <c r="D959" i="2"/>
  <c r="D991" i="2"/>
  <c r="D1023" i="2"/>
  <c r="D1055" i="2"/>
  <c r="D1087" i="2"/>
  <c r="E1076" i="2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E766" i="2"/>
  <c r="E798" i="2"/>
  <c r="E830" i="2"/>
  <c r="E862" i="2"/>
  <c r="E894" i="2"/>
  <c r="E926" i="2"/>
  <c r="E958" i="2"/>
  <c r="E990" i="2"/>
  <c r="E1022" i="2"/>
  <c r="E1078" i="2"/>
  <c r="E769" i="2"/>
  <c r="E801" i="2"/>
  <c r="E833" i="2"/>
  <c r="E865" i="2"/>
  <c r="E897" i="2"/>
  <c r="E929" i="2"/>
  <c r="E961" i="2"/>
  <c r="E993" i="2"/>
  <c r="E1025" i="2"/>
  <c r="E1057" i="2"/>
  <c r="E1089" i="2"/>
  <c r="D1080" i="2"/>
  <c r="D27" i="2"/>
  <c r="D59" i="2"/>
  <c r="E91" i="2"/>
  <c r="D122" i="2"/>
  <c r="E154" i="2"/>
  <c r="D187" i="2"/>
  <c r="D219" i="2"/>
  <c r="E251" i="2"/>
  <c r="E283" i="2"/>
  <c r="E315" i="2"/>
  <c r="E347" i="2"/>
  <c r="E385" i="2"/>
  <c r="E417" i="2"/>
  <c r="E448" i="2"/>
  <c r="E480" i="2"/>
  <c r="E512" i="2"/>
  <c r="E544" i="2"/>
  <c r="E576" i="2"/>
  <c r="D607" i="2"/>
  <c r="D639" i="2"/>
  <c r="D671" i="2"/>
  <c r="D702" i="2"/>
  <c r="D752" i="2"/>
  <c r="D784" i="2"/>
  <c r="D816" i="2"/>
  <c r="D848" i="2"/>
  <c r="D880" i="2"/>
  <c r="D912" i="2"/>
  <c r="D944" i="2"/>
  <c r="D976" i="2"/>
  <c r="D1008" i="2"/>
  <c r="D1050" i="2"/>
  <c r="D803" i="2"/>
  <c r="E743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65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D825" i="2"/>
  <c r="D857" i="2"/>
  <c r="D889" i="2"/>
  <c r="D921" i="2"/>
  <c r="D953" i="2"/>
  <c r="D985" i="2"/>
  <c r="D1017" i="2"/>
  <c r="D1049" i="2"/>
  <c r="D1081" i="2"/>
  <c r="E1064" i="2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E760" i="2"/>
  <c r="E792" i="2"/>
  <c r="E824" i="2"/>
  <c r="E856" i="2"/>
  <c r="E888" i="2"/>
  <c r="E920" i="2"/>
  <c r="E952" i="2"/>
  <c r="E984" i="2"/>
  <c r="E1016" i="2"/>
  <c r="E1066" i="2"/>
  <c r="E763" i="2"/>
  <c r="E795" i="2"/>
  <c r="E827" i="2"/>
  <c r="E859" i="2"/>
  <c r="E891" i="2"/>
  <c r="E923" i="2"/>
  <c r="E955" i="2"/>
  <c r="E987" i="2"/>
  <c r="E1019" i="2"/>
  <c r="E1051" i="2"/>
  <c r="E1083" i="2"/>
  <c r="D1068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D738" i="2"/>
  <c r="D770" i="2"/>
  <c r="D802" i="2"/>
  <c r="D834" i="2"/>
  <c r="D866" i="2"/>
  <c r="D898" i="2"/>
  <c r="D930" i="2"/>
  <c r="D962" i="2"/>
  <c r="D994" i="2"/>
  <c r="D1026" i="2"/>
  <c r="D1086" i="2"/>
  <c r="D767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E744" i="2"/>
  <c r="E808" i="2"/>
  <c r="E872" i="2"/>
  <c r="E936" i="2"/>
  <c r="E1000" i="2"/>
  <c r="E747" i="2"/>
  <c r="E811" i="2"/>
  <c r="E875" i="2"/>
  <c r="E939" i="2"/>
  <c r="E1003" i="2"/>
  <c r="E1067" i="2"/>
  <c r="D13" i="2"/>
  <c r="A13" i="5" s="1"/>
  <c r="D77" i="2"/>
  <c r="D140" i="2"/>
  <c r="D205" i="2"/>
  <c r="E269" i="2"/>
  <c r="E333" i="2"/>
  <c r="E399" i="2"/>
  <c r="E462" i="2"/>
  <c r="E526" i="2"/>
  <c r="E590" i="2"/>
  <c r="D653" i="2"/>
  <c r="D716" i="2"/>
  <c r="D786" i="2"/>
  <c r="A786" i="5" s="1"/>
  <c r="D850" i="2"/>
  <c r="D914" i="2"/>
  <c r="D978" i="2"/>
  <c r="D1054" i="2"/>
  <c r="A1054" i="5" s="1"/>
  <c r="E741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D851" i="2"/>
  <c r="D883" i="2"/>
  <c r="D915" i="2"/>
  <c r="D947" i="2"/>
  <c r="A947" i="5" s="1"/>
  <c r="D979" i="2"/>
  <c r="D1011" i="2"/>
  <c r="D1043" i="2"/>
  <c r="D1075" i="2"/>
  <c r="A1075" i="5" s="1"/>
  <c r="E1052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375" i="2"/>
  <c r="D407" i="2"/>
  <c r="D438" i="2"/>
  <c r="D470" i="2"/>
  <c r="A470" i="5" s="1"/>
  <c r="D502" i="2"/>
  <c r="D534" i="2"/>
  <c r="D566" i="2"/>
  <c r="D598" i="2"/>
  <c r="A598" i="5" s="1"/>
  <c r="E629" i="2"/>
  <c r="E661" i="2"/>
  <c r="E693" i="2"/>
  <c r="E724" i="2"/>
  <c r="E762" i="2"/>
  <c r="E794" i="2"/>
  <c r="E826" i="2"/>
  <c r="E858" i="2"/>
  <c r="E890" i="2"/>
  <c r="E922" i="2"/>
  <c r="E954" i="2"/>
  <c r="E986" i="2"/>
  <c r="E1018" i="2"/>
  <c r="E1070" i="2"/>
  <c r="E765" i="2"/>
  <c r="E797" i="2"/>
  <c r="E829" i="2"/>
  <c r="E861" i="2"/>
  <c r="E893" i="2"/>
  <c r="E925" i="2"/>
  <c r="E957" i="2"/>
  <c r="E989" i="2"/>
  <c r="E1021" i="2"/>
  <c r="E1053" i="2"/>
  <c r="E1085" i="2"/>
  <c r="D1072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D764" i="2"/>
  <c r="D796" i="2"/>
  <c r="D828" i="2"/>
  <c r="D860" i="2"/>
  <c r="D892" i="2"/>
  <c r="D924" i="2"/>
  <c r="D956" i="2"/>
  <c r="D988" i="2"/>
  <c r="D1020" i="2"/>
  <c r="D1074" i="2"/>
  <c r="D779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805" i="2"/>
  <c r="D743" i="2"/>
  <c r="A743" i="5" s="1"/>
  <c r="D701" i="2"/>
  <c r="D668" i="2"/>
  <c r="D636" i="2"/>
  <c r="D604" i="2"/>
  <c r="A604" i="5" s="1"/>
  <c r="E571" i="2"/>
  <c r="E539" i="2"/>
  <c r="E507" i="2"/>
  <c r="E475" i="2"/>
  <c r="E443" i="2"/>
  <c r="E410" i="2"/>
  <c r="E378" i="2"/>
  <c r="E336" i="2"/>
  <c r="E304" i="2"/>
  <c r="E272" i="2"/>
  <c r="D240" i="2"/>
  <c r="D208" i="2"/>
  <c r="A208" i="5" s="1"/>
  <c r="D176" i="2"/>
  <c r="D145" i="2"/>
  <c r="D113" i="2"/>
  <c r="D80" i="2"/>
  <c r="A80" i="5" s="1"/>
  <c r="D48" i="2"/>
  <c r="D16" i="2"/>
  <c r="A16" i="5" s="1"/>
  <c r="E8" i="2"/>
  <c r="D853" i="2"/>
  <c r="D885" i="2"/>
  <c r="D917" i="2"/>
  <c r="D949" i="2"/>
  <c r="D981" i="2"/>
  <c r="D1013" i="2"/>
  <c r="D1045" i="2"/>
  <c r="D1077" i="2"/>
  <c r="E1056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E756" i="2"/>
  <c r="E788" i="2"/>
  <c r="E820" i="2"/>
  <c r="E852" i="2"/>
  <c r="E884" i="2"/>
  <c r="E916" i="2"/>
  <c r="E948" i="2"/>
  <c r="E980" i="2"/>
  <c r="E1012" i="2"/>
  <c r="E1058" i="2"/>
  <c r="E759" i="2"/>
  <c r="E791" i="2"/>
  <c r="E823" i="2"/>
  <c r="E855" i="2"/>
  <c r="E887" i="2"/>
  <c r="E919" i="2"/>
  <c r="E951" i="2"/>
  <c r="E983" i="2"/>
  <c r="E1015" i="2"/>
  <c r="E1047" i="2"/>
  <c r="E1079" i="2"/>
  <c r="D1060" i="2"/>
  <c r="D17" i="2"/>
  <c r="D49" i="2"/>
  <c r="D81" i="2"/>
  <c r="D112" i="2"/>
  <c r="D144" i="2"/>
  <c r="D177" i="2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D742" i="2"/>
  <c r="D774" i="2"/>
  <c r="D806" i="2"/>
  <c r="D838" i="2"/>
  <c r="D870" i="2"/>
  <c r="D902" i="2"/>
  <c r="D934" i="2"/>
  <c r="D966" i="2"/>
  <c r="D998" i="2"/>
  <c r="D1030" i="2"/>
  <c r="D1094" i="2"/>
  <c r="D759" i="2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A610" i="5" s="1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839" i="2"/>
  <c r="D871" i="2"/>
  <c r="D903" i="2"/>
  <c r="D935" i="2"/>
  <c r="D967" i="2"/>
  <c r="D999" i="2"/>
  <c r="D1031" i="2"/>
  <c r="D1063" i="2"/>
  <c r="D1095" i="2"/>
  <c r="E1092" i="2"/>
  <c r="D33" i="2"/>
  <c r="E65" i="2"/>
  <c r="D97" i="2"/>
  <c r="E128" i="2"/>
  <c r="D160" i="2"/>
  <c r="E193" i="2"/>
  <c r="E225" i="2"/>
  <c r="D257" i="2"/>
  <c r="D289" i="2"/>
  <c r="D321" i="2"/>
  <c r="D353" i="2"/>
  <c r="D403" i="2"/>
  <c r="D434" i="2"/>
  <c r="D466" i="2"/>
  <c r="D498" i="2"/>
  <c r="D530" i="2"/>
  <c r="D562" i="2"/>
  <c r="D594" i="2"/>
  <c r="E625" i="2"/>
  <c r="E657" i="2"/>
  <c r="E689" i="2"/>
  <c r="E720" i="2"/>
  <c r="E758" i="2"/>
  <c r="E790" i="2"/>
  <c r="E822" i="2"/>
  <c r="E854" i="2"/>
  <c r="E886" i="2"/>
  <c r="E918" i="2"/>
  <c r="E950" i="2"/>
  <c r="E982" i="2"/>
  <c r="E1014" i="2"/>
  <c r="E1062" i="2"/>
  <c r="E761" i="2"/>
  <c r="E793" i="2"/>
  <c r="E825" i="2"/>
  <c r="E857" i="2"/>
  <c r="E889" i="2"/>
  <c r="E921" i="2"/>
  <c r="E953" i="2"/>
  <c r="E985" i="2"/>
  <c r="E1017" i="2"/>
  <c r="E1049" i="2"/>
  <c r="E1081" i="2"/>
  <c r="D1064" i="2"/>
  <c r="D19" i="2"/>
  <c r="A19" i="5" s="1"/>
  <c r="D51" i="2"/>
  <c r="E83" i="2"/>
  <c r="D114" i="2"/>
  <c r="D146" i="2"/>
  <c r="A146" i="5" s="1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A663" i="5" s="1"/>
  <c r="D695" i="2"/>
  <c r="D726" i="2"/>
  <c r="D760" i="2"/>
  <c r="D792" i="2"/>
  <c r="A792" i="5" s="1"/>
  <c r="D824" i="2"/>
  <c r="D856" i="2"/>
  <c r="D888" i="2"/>
  <c r="D920" i="2"/>
  <c r="A920" i="5" s="1"/>
  <c r="D952" i="2"/>
  <c r="D984" i="2"/>
  <c r="D1016" i="2"/>
  <c r="D1066" i="2"/>
  <c r="A1066" i="5" s="1"/>
  <c r="D787" i="2"/>
  <c r="A787" i="5" s="1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81" i="2"/>
  <c r="D729" i="2"/>
  <c r="A729" i="5" s="1"/>
  <c r="D697" i="2"/>
  <c r="A697" i="5" s="1"/>
  <c r="D664" i="2"/>
  <c r="A664" i="5" s="1"/>
  <c r="D632" i="2"/>
  <c r="A632" i="5" s="1"/>
  <c r="E599" i="2"/>
  <c r="E567" i="2"/>
  <c r="E535" i="2"/>
  <c r="E503" i="2"/>
  <c r="E471" i="2"/>
  <c r="E439" i="2"/>
  <c r="E406" i="2"/>
  <c r="E374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D849" i="2"/>
  <c r="D881" i="2"/>
  <c r="D913" i="2"/>
  <c r="D945" i="2"/>
  <c r="D977" i="2"/>
  <c r="D1009" i="2"/>
  <c r="D1041" i="2"/>
  <c r="D1073" i="2"/>
  <c r="E1048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768" i="2"/>
  <c r="E800" i="2"/>
  <c r="E832" i="2"/>
  <c r="E864" i="2"/>
  <c r="E896" i="2"/>
  <c r="E928" i="2"/>
  <c r="E960" i="2"/>
  <c r="E992" i="2"/>
  <c r="E1024" i="2"/>
  <c r="E1082" i="2"/>
  <c r="E771" i="2"/>
  <c r="E803" i="2"/>
  <c r="E835" i="2"/>
  <c r="E867" i="2"/>
  <c r="E899" i="2"/>
  <c r="E931" i="2"/>
  <c r="E963" i="2"/>
  <c r="E995" i="2"/>
  <c r="E1027" i="2"/>
  <c r="E1059" i="2"/>
  <c r="E1091" i="2"/>
  <c r="D1084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D746" i="2"/>
  <c r="D778" i="2"/>
  <c r="D810" i="2"/>
  <c r="D842" i="2"/>
  <c r="D874" i="2"/>
  <c r="D906" i="2"/>
  <c r="D938" i="2"/>
  <c r="D970" i="2"/>
  <c r="D1002" i="2"/>
  <c r="D1038" i="2"/>
  <c r="D815" i="2"/>
  <c r="D751" i="2"/>
  <c r="A751" i="5" s="1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D827" i="2"/>
  <c r="D859" i="2"/>
  <c r="D891" i="2"/>
  <c r="D923" i="2"/>
  <c r="D955" i="2"/>
  <c r="D987" i="2"/>
  <c r="D1019" i="2"/>
  <c r="D1051" i="2"/>
  <c r="D1083" i="2"/>
  <c r="E1068" i="2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E738" i="2"/>
  <c r="E770" i="2"/>
  <c r="E802" i="2"/>
  <c r="E834" i="2"/>
  <c r="E866" i="2"/>
  <c r="E898" i="2"/>
  <c r="E930" i="2"/>
  <c r="E962" i="2"/>
  <c r="E994" i="2"/>
  <c r="E1026" i="2"/>
  <c r="E1086" i="2"/>
  <c r="E773" i="2"/>
  <c r="E805" i="2"/>
  <c r="E837" i="2"/>
  <c r="E869" i="2"/>
  <c r="E901" i="2"/>
  <c r="E933" i="2"/>
  <c r="E965" i="2"/>
  <c r="E997" i="2"/>
  <c r="E1029" i="2"/>
  <c r="E1061" i="2"/>
  <c r="E1093" i="2"/>
  <c r="D1088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D740" i="2"/>
  <c r="D772" i="2"/>
  <c r="D804" i="2"/>
  <c r="D836" i="2"/>
  <c r="D868" i="2"/>
  <c r="D900" i="2"/>
  <c r="D932" i="2"/>
  <c r="D964" i="2"/>
  <c r="D996" i="2"/>
  <c r="D1028" i="2"/>
  <c r="D1090" i="2"/>
  <c r="D763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A42" i="5" s="1"/>
  <c r="D789" i="2"/>
  <c r="D725" i="2"/>
  <c r="A725" i="5" s="1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A200" i="5" s="1"/>
  <c r="E169" i="2"/>
  <c r="D137" i="2"/>
  <c r="D105" i="2"/>
  <c r="D72" i="2"/>
  <c r="A72" i="5" s="1"/>
  <c r="E40" i="2"/>
  <c r="D8" i="2"/>
  <c r="D829" i="2"/>
  <c r="D861" i="2"/>
  <c r="A861" i="5" s="1"/>
  <c r="D893" i="2"/>
  <c r="D925" i="2"/>
  <c r="D957" i="2"/>
  <c r="D989" i="2"/>
  <c r="A989" i="5" s="1"/>
  <c r="D1021" i="2"/>
  <c r="D1053" i="2"/>
  <c r="D1085" i="2"/>
  <c r="E1072" i="2"/>
  <c r="E23" i="2"/>
  <c r="E55" i="2"/>
  <c r="D87" i="2"/>
  <c r="E118" i="2"/>
  <c r="E150" i="2"/>
  <c r="E183" i="2"/>
  <c r="E215" i="2"/>
  <c r="E247" i="2"/>
  <c r="D279" i="2"/>
  <c r="D311" i="2"/>
  <c r="D343" i="2"/>
  <c r="D381" i="2"/>
  <c r="A381" i="5" s="1"/>
  <c r="D413" i="2"/>
  <c r="D444" i="2"/>
  <c r="D476" i="2"/>
  <c r="D508" i="2"/>
  <c r="A508" i="5" s="1"/>
  <c r="D540" i="2"/>
  <c r="D572" i="2"/>
  <c r="E603" i="2"/>
  <c r="E635" i="2"/>
  <c r="E667" i="2"/>
  <c r="E698" i="2"/>
  <c r="E730" i="2"/>
  <c r="E764" i="2"/>
  <c r="E796" i="2"/>
  <c r="E828" i="2"/>
  <c r="E860" i="2"/>
  <c r="E892" i="2"/>
  <c r="E924" i="2"/>
  <c r="E956" i="2"/>
  <c r="E988" i="2"/>
  <c r="E1020" i="2"/>
  <c r="E1074" i="2"/>
  <c r="E767" i="2"/>
  <c r="E799" i="2"/>
  <c r="E831" i="2"/>
  <c r="E863" i="2"/>
  <c r="E895" i="2"/>
  <c r="E927" i="2"/>
  <c r="E959" i="2"/>
  <c r="E991" i="2"/>
  <c r="E1023" i="2"/>
  <c r="E1055" i="2"/>
  <c r="E1087" i="2"/>
  <c r="D1076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D766" i="2"/>
  <c r="D798" i="2"/>
  <c r="D830" i="2"/>
  <c r="D862" i="2"/>
  <c r="A862" i="5" s="1"/>
  <c r="D894" i="2"/>
  <c r="D926" i="2"/>
  <c r="D958" i="2"/>
  <c r="D990" i="2"/>
  <c r="A990" i="5" s="1"/>
  <c r="D1022" i="2"/>
  <c r="D1078" i="2"/>
  <c r="D775" i="2"/>
  <c r="A775" i="5" s="1"/>
  <c r="E727" i="2"/>
  <c r="E694" i="2"/>
  <c r="E662" i="2"/>
  <c r="E630" i="2"/>
  <c r="D597" i="2"/>
  <c r="A597" i="5" s="1"/>
  <c r="D565" i="2"/>
  <c r="D533" i="2"/>
  <c r="D501" i="2"/>
  <c r="D469" i="2"/>
  <c r="A469" i="5" s="1"/>
  <c r="D437" i="2"/>
  <c r="D404" i="2"/>
  <c r="D338" i="2"/>
  <c r="D306" i="2"/>
  <c r="A306" i="5" s="1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D847" i="2"/>
  <c r="A847" i="5" s="1"/>
  <c r="D879" i="2"/>
  <c r="A879" i="5" s="1"/>
  <c r="D911" i="2"/>
  <c r="A911" i="5" s="1"/>
  <c r="D943" i="2"/>
  <c r="A943" i="5" s="1"/>
  <c r="D975" i="2"/>
  <c r="A975" i="5" s="1"/>
  <c r="D1007" i="2"/>
  <c r="A1007" i="5" s="1"/>
  <c r="D1039" i="2"/>
  <c r="A1039" i="5" s="1"/>
  <c r="D1071" i="2"/>
  <c r="A1071" i="5" s="1"/>
  <c r="E104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E750" i="2"/>
  <c r="E782" i="2"/>
  <c r="E814" i="2"/>
  <c r="E846" i="2"/>
  <c r="E878" i="2"/>
  <c r="E910" i="2"/>
  <c r="E942" i="2"/>
  <c r="E974" i="2"/>
  <c r="E1006" i="2"/>
  <c r="E1046" i="2"/>
  <c r="E753" i="2"/>
  <c r="E785" i="2"/>
  <c r="E817" i="2"/>
  <c r="E849" i="2"/>
  <c r="E881" i="2"/>
  <c r="E913" i="2"/>
  <c r="E945" i="2"/>
  <c r="E977" i="2"/>
  <c r="E1009" i="2"/>
  <c r="E1041" i="2"/>
  <c r="E1073" i="2"/>
  <c r="D1048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D768" i="2"/>
  <c r="D800" i="2"/>
  <c r="D832" i="2"/>
  <c r="D864" i="2"/>
  <c r="D896" i="2"/>
  <c r="D928" i="2"/>
  <c r="D960" i="2"/>
  <c r="D992" i="2"/>
  <c r="D1024" i="2"/>
  <c r="D1082" i="2"/>
  <c r="D771" i="2"/>
  <c r="E717" i="2"/>
  <c r="E684" i="2"/>
  <c r="E652" i="2"/>
  <c r="E620" i="2"/>
  <c r="D587" i="2"/>
  <c r="A587" i="5" s="1"/>
  <c r="D555" i="2"/>
  <c r="A555" i="5" s="1"/>
  <c r="D523" i="2"/>
  <c r="A523" i="5" s="1"/>
  <c r="D491" i="2"/>
  <c r="A491" i="5" s="1"/>
  <c r="D459" i="2"/>
  <c r="A459" i="5" s="1"/>
  <c r="D426" i="2"/>
  <c r="A426" i="5" s="1"/>
  <c r="D394" i="2"/>
  <c r="A394" i="5" s="1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D797" i="2"/>
  <c r="D739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841" i="2"/>
  <c r="D873" i="2"/>
  <c r="D905" i="2"/>
  <c r="D937" i="2"/>
  <c r="D969" i="2"/>
  <c r="D1001" i="2"/>
  <c r="D1033" i="2"/>
  <c r="D1065" i="2"/>
  <c r="E1032" i="2"/>
  <c r="E1096" i="2"/>
  <c r="D35" i="2"/>
  <c r="E67" i="2"/>
  <c r="E130" i="2"/>
  <c r="E195" i="2"/>
  <c r="D259" i="2"/>
  <c r="A259" i="5" s="1"/>
  <c r="D323" i="2"/>
  <c r="D393" i="2"/>
  <c r="A393" i="5" s="1"/>
  <c r="D456" i="2"/>
  <c r="D520" i="2"/>
  <c r="A520" i="5" s="1"/>
  <c r="D584" i="2"/>
  <c r="E647" i="2"/>
  <c r="E710" i="2"/>
  <c r="E776" i="2"/>
  <c r="E840" i="2"/>
  <c r="E904" i="2"/>
  <c r="E968" i="2"/>
  <c r="E1034" i="2"/>
  <c r="E779" i="2"/>
  <c r="E843" i="2"/>
  <c r="E907" i="2"/>
  <c r="E971" i="2"/>
  <c r="E1035" i="2"/>
  <c r="D1036" i="2"/>
  <c r="D45" i="2"/>
  <c r="A45" i="5" s="1"/>
  <c r="D108" i="2"/>
  <c r="E172" i="2"/>
  <c r="D237" i="2"/>
  <c r="E301" i="2"/>
  <c r="E365" i="2"/>
  <c r="E430" i="2"/>
  <c r="E494" i="2"/>
  <c r="E558" i="2"/>
  <c r="D621" i="2"/>
  <c r="D685" i="2"/>
  <c r="A685" i="5" s="1"/>
  <c r="D754" i="2"/>
  <c r="D818" i="2"/>
  <c r="A818" i="5" s="1"/>
  <c r="D882" i="2"/>
  <c r="D946" i="2"/>
  <c r="A946" i="5" s="1"/>
  <c r="D1010" i="2"/>
  <c r="D799" i="2"/>
  <c r="E707" i="2"/>
  <c r="E642" i="2"/>
  <c r="D577" i="2"/>
  <c r="A577" i="5" s="1"/>
  <c r="D513" i="2"/>
  <c r="E589" i="2"/>
  <c r="D606" i="2"/>
  <c r="D699" i="2"/>
  <c r="A699" i="5" s="1"/>
  <c r="D777" i="2"/>
  <c r="A777" i="5" s="1"/>
  <c r="D670" i="2"/>
  <c r="A670" i="5" s="1"/>
  <c r="D801" i="2"/>
  <c r="A801" i="5" s="1"/>
  <c r="D690" i="2"/>
  <c r="D769" i="2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A278" i="5" s="1"/>
  <c r="D334" i="2"/>
  <c r="A334" i="5" s="1"/>
  <c r="D392" i="2"/>
  <c r="D646" i="2"/>
  <c r="D715" i="2"/>
  <c r="A715" i="5" s="1"/>
  <c r="D809" i="2"/>
  <c r="D686" i="2"/>
  <c r="D761" i="2"/>
  <c r="A761" i="5" s="1"/>
  <c r="D707" i="2"/>
  <c r="A707" i="5" s="1"/>
  <c r="D793" i="2"/>
  <c r="D678" i="2"/>
  <c r="D745" i="2"/>
  <c r="A745" i="5" s="1"/>
  <c r="E62" i="2"/>
  <c r="E127" i="2"/>
  <c r="E190" i="2"/>
  <c r="D262" i="2"/>
  <c r="A262" i="5" s="1"/>
  <c r="D342" i="2"/>
  <c r="D416" i="2"/>
  <c r="E54" i="2"/>
  <c r="E119" i="2"/>
  <c r="E182" i="2"/>
  <c r="E246" i="2"/>
  <c r="D294" i="2"/>
  <c r="A294" i="5" s="1"/>
  <c r="D350" i="2"/>
  <c r="A350" i="5" s="1"/>
  <c r="D408" i="2"/>
  <c r="A408" i="5" s="1"/>
  <c r="D622" i="2"/>
  <c r="D666" i="2"/>
  <c r="D731" i="2"/>
  <c r="A731" i="5" s="1"/>
  <c r="D642" i="2"/>
  <c r="D703" i="2"/>
  <c r="A703" i="5" s="1"/>
  <c r="D658" i="2"/>
  <c r="A658" i="5" s="1"/>
  <c r="D723" i="2"/>
  <c r="D638" i="2"/>
  <c r="D694" i="2"/>
  <c r="D785" i="2"/>
  <c r="E78" i="2"/>
  <c r="E143" i="2"/>
  <c r="E206" i="2"/>
  <c r="D286" i="2"/>
  <c r="D366" i="2"/>
  <c r="D433" i="2"/>
  <c r="A433" i="5" s="1"/>
  <c r="E70" i="2"/>
  <c r="E135" i="2"/>
  <c r="E198" i="2"/>
  <c r="D254" i="2"/>
  <c r="A254" i="5" s="1"/>
  <c r="D310" i="2"/>
  <c r="A310" i="5" s="1"/>
  <c r="D358" i="2"/>
  <c r="D424" i="2"/>
  <c r="D682" i="2"/>
  <c r="D753" i="2"/>
  <c r="D654" i="2"/>
  <c r="D719" i="2"/>
  <c r="A719" i="5" s="1"/>
  <c r="D674" i="2"/>
  <c r="A674" i="5" s="1"/>
  <c r="D741" i="2"/>
  <c r="D650" i="2"/>
  <c r="A650" i="5" s="1"/>
  <c r="D711" i="2"/>
  <c r="D817" i="2"/>
  <c r="A817" i="5" s="1"/>
  <c r="D94" i="2"/>
  <c r="A94" i="5" s="1"/>
  <c r="D159" i="2"/>
  <c r="E222" i="2"/>
  <c r="D302" i="2"/>
  <c r="A302" i="5" s="1"/>
  <c r="D384" i="2"/>
  <c r="D449" i="2"/>
  <c r="A449" i="5" s="1"/>
  <c r="D86" i="2"/>
  <c r="E151" i="2"/>
  <c r="E214" i="2"/>
  <c r="D270" i="2"/>
  <c r="D326" i="2"/>
  <c r="A326" i="5" s="1"/>
  <c r="D376" i="2"/>
  <c r="D441" i="2"/>
  <c r="A441" i="5" s="1"/>
  <c r="A737" i="6" l="1"/>
  <c r="A821" i="6"/>
  <c r="A693" i="6"/>
  <c r="A785" i="6"/>
  <c r="A636" i="6"/>
  <c r="A535" i="6"/>
  <c r="A208" i="6"/>
  <c r="A753" i="6"/>
  <c r="A348" i="6"/>
  <c r="A605" i="6"/>
  <c r="A153" i="6"/>
  <c r="A520" i="6"/>
  <c r="A263" i="6"/>
  <c r="A570" i="6"/>
  <c r="A924" i="6"/>
  <c r="A114" i="6"/>
  <c r="A642" i="6"/>
  <c r="A1053" i="6"/>
  <c r="A1002" i="6"/>
  <c r="A251" i="6"/>
  <c r="A725" i="6"/>
  <c r="A1043" i="6"/>
  <c r="A916" i="6"/>
  <c r="A469" i="6"/>
  <c r="A651" i="6"/>
  <c r="A743" i="6"/>
  <c r="A832" i="6"/>
  <c r="A470" i="6"/>
  <c r="A442" i="6"/>
  <c r="A89" i="6"/>
  <c r="A333" i="6"/>
  <c r="A293" i="6"/>
  <c r="A128" i="6"/>
  <c r="A712" i="6"/>
  <c r="A882" i="6"/>
  <c r="A692" i="6"/>
  <c r="A960" i="6"/>
  <c r="A631" i="6"/>
  <c r="A499" i="6"/>
  <c r="A729" i="6"/>
  <c r="A735" i="6"/>
  <c r="A74" i="6"/>
  <c r="A495" i="6"/>
  <c r="A769" i="6"/>
  <c r="A313" i="6"/>
  <c r="A680" i="6"/>
  <c r="A106" i="6"/>
  <c r="A945" i="6"/>
  <c r="A551" i="6"/>
  <c r="A936" i="6"/>
  <c r="A366" i="5"/>
  <c r="A809" i="5"/>
  <c r="A606" i="5"/>
  <c r="A73" i="6"/>
  <c r="A1066" i="6"/>
  <c r="A633" i="6"/>
  <c r="A444" i="6"/>
  <c r="A939" i="6"/>
  <c r="A1081" i="6"/>
  <c r="A623" i="6"/>
  <c r="A394" i="6"/>
  <c r="A359" i="6"/>
  <c r="A217" i="6"/>
  <c r="A1058" i="6"/>
  <c r="A677" i="6"/>
  <c r="A928" i="6"/>
  <c r="A901" i="6"/>
  <c r="A563" i="6"/>
  <c r="A738" i="6"/>
  <c r="A382" i="6"/>
  <c r="A1078" i="6"/>
  <c r="A618" i="6"/>
  <c r="A86" i="5"/>
  <c r="A711" i="5"/>
  <c r="A424" i="5"/>
  <c r="A723" i="5"/>
  <c r="A646" i="5"/>
  <c r="A769" i="5"/>
  <c r="A513" i="5"/>
  <c r="A799" i="5"/>
  <c r="A584" i="5"/>
  <c r="A456" i="5"/>
  <c r="A323" i="5"/>
  <c r="A1065" i="5"/>
  <c r="A1001" i="5"/>
  <c r="A937" i="5"/>
  <c r="A873" i="5"/>
  <c r="A60" i="5"/>
  <c r="A125" i="5"/>
  <c r="A188" i="5"/>
  <c r="A640" i="5"/>
  <c r="A705" i="5"/>
  <c r="A771" i="5"/>
  <c r="A960" i="5"/>
  <c r="A832" i="5"/>
  <c r="A687" i="5"/>
  <c r="A763" i="5"/>
  <c r="A1028" i="5"/>
  <c r="A964" i="5"/>
  <c r="A900" i="5"/>
  <c r="A836" i="5"/>
  <c r="A772" i="5"/>
  <c r="A706" i="5"/>
  <c r="A643" i="5"/>
  <c r="A191" i="5"/>
  <c r="A126" i="5"/>
  <c r="A63" i="5"/>
  <c r="A1088" i="5"/>
  <c r="A478" i="5"/>
  <c r="A349" i="5"/>
  <c r="A93" i="5"/>
  <c r="A1083" i="5"/>
  <c r="A955" i="5"/>
  <c r="A827" i="5"/>
  <c r="A1038" i="5"/>
  <c r="A970" i="5"/>
  <c r="A906" i="5"/>
  <c r="A842" i="5"/>
  <c r="A778" i="5"/>
  <c r="A708" i="5"/>
  <c r="A645" i="5"/>
  <c r="A197" i="5"/>
  <c r="A132" i="5"/>
  <c r="A69" i="5"/>
  <c r="A1084" i="5"/>
  <c r="A781" i="5"/>
  <c r="A562" i="5"/>
  <c r="A498" i="5"/>
  <c r="A434" i="5"/>
  <c r="A289" i="5"/>
  <c r="A160" i="5"/>
  <c r="A33" i="5"/>
  <c r="A1031" i="5"/>
  <c r="A903" i="5"/>
  <c r="A30" i="5"/>
  <c r="A1094" i="5"/>
  <c r="A998" i="5"/>
  <c r="A934" i="5"/>
  <c r="A870" i="5"/>
  <c r="A806" i="5"/>
  <c r="A742" i="5"/>
  <c r="A673" i="5"/>
  <c r="A609" i="5"/>
  <c r="A209" i="5"/>
  <c r="A144" i="5"/>
  <c r="A81" i="5"/>
  <c r="A17" i="5"/>
  <c r="A500" i="5"/>
  <c r="A373" i="5"/>
  <c r="A981" i="5"/>
  <c r="A853" i="5"/>
  <c r="A850" i="5"/>
  <c r="A77" i="5"/>
  <c r="A497" i="5"/>
  <c r="A561" i="5"/>
  <c r="A658" i="6"/>
  <c r="A213" i="6"/>
  <c r="A182" i="6"/>
  <c r="A696" i="6"/>
  <c r="A779" i="6"/>
  <c r="A941" i="6"/>
  <c r="A915" i="6"/>
  <c r="A39" i="6"/>
  <c r="A1025" i="6"/>
  <c r="A940" i="6"/>
  <c r="A547" i="6"/>
  <c r="A1088" i="6"/>
  <c r="A592" i="6"/>
  <c r="A423" i="6"/>
  <c r="A435" i="6"/>
  <c r="A326" i="6"/>
  <c r="A270" i="5"/>
  <c r="A638" i="5"/>
  <c r="A602" i="6"/>
  <c r="A934" i="6"/>
  <c r="A998" i="6"/>
  <c r="A1027" i="6"/>
  <c r="A686" i="6"/>
  <c r="A918" i="6"/>
  <c r="A26" i="6"/>
  <c r="A376" i="5"/>
  <c r="A666" i="5"/>
  <c r="A678" i="5"/>
  <c r="A690" i="5"/>
  <c r="A1010" i="5"/>
  <c r="A882" i="5"/>
  <c r="A754" i="5"/>
  <c r="A621" i="5"/>
  <c r="A237" i="5"/>
  <c r="A108" i="5"/>
  <c r="A1036" i="5"/>
  <c r="A35" i="5"/>
  <c r="A1033" i="5"/>
  <c r="A969" i="5"/>
  <c r="A905" i="5"/>
  <c r="A841" i="5"/>
  <c r="A220" i="5"/>
  <c r="A608" i="5"/>
  <c r="A672" i="5"/>
  <c r="A739" i="5"/>
  <c r="A1090" i="5"/>
  <c r="A996" i="5"/>
  <c r="A932" i="5"/>
  <c r="A868" i="5"/>
  <c r="A804" i="5"/>
  <c r="A740" i="5"/>
  <c r="A675" i="5"/>
  <c r="A611" i="5"/>
  <c r="A223" i="5"/>
  <c r="A31" i="5"/>
  <c r="A10" i="5"/>
  <c r="A938" i="5"/>
  <c r="A810" i="5"/>
  <c r="A677" i="5"/>
  <c r="A594" i="5"/>
  <c r="A466" i="5"/>
  <c r="A321" i="5"/>
  <c r="A1063" i="5"/>
  <c r="A935" i="5"/>
  <c r="A966" i="5"/>
  <c r="A838" i="5"/>
  <c r="A704" i="5"/>
  <c r="A177" i="5"/>
  <c r="A49" i="5"/>
  <c r="A596" i="5"/>
  <c r="A468" i="5"/>
  <c r="A335" i="5"/>
  <c r="A1077" i="5"/>
  <c r="A949" i="5"/>
  <c r="A552" i="5"/>
  <c r="A425" i="5"/>
  <c r="A291" i="5"/>
  <c r="A162" i="5"/>
  <c r="A529" i="5"/>
  <c r="A1008" i="5"/>
  <c r="A880" i="5"/>
  <c r="A752" i="5"/>
  <c r="A607" i="5"/>
  <c r="A219" i="5"/>
  <c r="A807" i="5"/>
  <c r="A1023" i="6"/>
  <c r="A654" i="5"/>
  <c r="A682" i="5"/>
  <c r="A510" i="5"/>
  <c r="A383" i="5"/>
  <c r="A253" i="5"/>
  <c r="A987" i="5"/>
  <c r="A859" i="5"/>
  <c r="A1082" i="5"/>
  <c r="A928" i="5"/>
  <c r="A800" i="5"/>
  <c r="A655" i="5"/>
  <c r="A138" i="5"/>
  <c r="A11" i="5"/>
  <c r="A133" i="5"/>
  <c r="A648" i="5"/>
  <c r="A218" i="5"/>
  <c r="A680" i="5"/>
  <c r="A1050" i="5"/>
  <c r="A912" i="5"/>
  <c r="A784" i="5"/>
  <c r="A639" i="5"/>
  <c r="A122" i="5"/>
  <c r="A1080" i="5"/>
  <c r="A358" i="5"/>
  <c r="A82" i="5"/>
  <c r="A338" i="5"/>
  <c r="A501" i="5"/>
  <c r="A958" i="5"/>
  <c r="A830" i="5"/>
  <c r="A696" i="5"/>
  <c r="A185" i="5"/>
  <c r="A57" i="5"/>
  <c r="A476" i="5"/>
  <c r="A343" i="5"/>
  <c r="A87" i="5"/>
  <c r="A1085" i="5"/>
  <c r="A957" i="5"/>
  <c r="A829" i="5"/>
  <c r="A105" i="5"/>
  <c r="A232" i="5"/>
  <c r="A628" i="5"/>
  <c r="A789" i="5"/>
  <c r="A574" i="5"/>
  <c r="A446" i="5"/>
  <c r="A317" i="5"/>
  <c r="A1051" i="5"/>
  <c r="A923" i="5"/>
  <c r="A815" i="5"/>
  <c r="A20" i="5"/>
  <c r="A1016" i="5"/>
  <c r="A888" i="5"/>
  <c r="A760" i="5"/>
  <c r="A631" i="5"/>
  <c r="A243" i="5"/>
  <c r="A114" i="5"/>
  <c r="A1064" i="5"/>
  <c r="A530" i="5"/>
  <c r="A403" i="5"/>
  <c r="A257" i="5"/>
  <c r="A999" i="5"/>
  <c r="A871" i="5"/>
  <c r="A113" i="5"/>
  <c r="A240" i="5"/>
  <c r="A636" i="5"/>
  <c r="A566" i="5"/>
  <c r="A438" i="5"/>
  <c r="A309" i="5"/>
  <c r="A1043" i="5"/>
  <c r="A915" i="5"/>
  <c r="A676" i="5"/>
  <c r="A686" i="5"/>
  <c r="A384" i="5"/>
  <c r="A694" i="5"/>
  <c r="A793" i="5"/>
  <c r="A1024" i="5"/>
  <c r="A896" i="5"/>
  <c r="A768" i="5"/>
  <c r="A623" i="5"/>
  <c r="A235" i="5"/>
  <c r="A106" i="5"/>
  <c r="A1048" i="5"/>
  <c r="A564" i="5"/>
  <c r="A436" i="5"/>
  <c r="A303" i="5"/>
  <c r="A174" i="5"/>
  <c r="A1045" i="5"/>
  <c r="A917" i="5"/>
  <c r="A978" i="5"/>
  <c r="A716" i="5"/>
  <c r="A205" i="5"/>
  <c r="A976" i="5"/>
  <c r="A848" i="5"/>
  <c r="A702" i="5"/>
  <c r="A187" i="5"/>
  <c r="A59" i="5"/>
  <c r="A107" i="5"/>
  <c r="A234" i="5"/>
  <c r="A622" i="5"/>
  <c r="A342" i="5"/>
  <c r="A1022" i="5"/>
  <c r="A894" i="5"/>
  <c r="A766" i="5"/>
  <c r="A633" i="5"/>
  <c r="A120" i="5"/>
  <c r="A1076" i="5"/>
  <c r="A767" i="6"/>
  <c r="A641" i="6"/>
  <c r="A342" i="6"/>
  <c r="A159" i="5"/>
  <c r="A741" i="5"/>
  <c r="A753" i="5"/>
  <c r="A416" i="5"/>
  <c r="A727" i="5"/>
  <c r="A797" i="5"/>
  <c r="A404" i="5"/>
  <c r="A533" i="5"/>
  <c r="A1078" i="5"/>
  <c r="A926" i="5"/>
  <c r="A798" i="5"/>
  <c r="A665" i="5"/>
  <c r="A152" i="5"/>
  <c r="A25" i="5"/>
  <c r="A572" i="5"/>
  <c r="A444" i="5"/>
  <c r="A311" i="5"/>
  <c r="A1053" i="5"/>
  <c r="A925" i="5"/>
  <c r="A8" i="5"/>
  <c r="A137" i="5"/>
  <c r="A660" i="5"/>
  <c r="A542" i="5"/>
  <c r="A415" i="5"/>
  <c r="A285" i="5"/>
  <c r="A156" i="5"/>
  <c r="A1019" i="5"/>
  <c r="A891" i="5"/>
  <c r="A984" i="5"/>
  <c r="A856" i="5"/>
  <c r="A726" i="5"/>
  <c r="A211" i="5"/>
  <c r="A353" i="5"/>
  <c r="A97" i="5"/>
  <c r="A1095" i="5"/>
  <c r="A967" i="5"/>
  <c r="A839" i="5"/>
  <c r="A145" i="5"/>
  <c r="A668" i="5"/>
  <c r="A534" i="5"/>
  <c r="A407" i="5"/>
  <c r="A277" i="5"/>
  <c r="A1011" i="5"/>
  <c r="A883" i="5"/>
  <c r="A355" i="5"/>
  <c r="A99" i="5"/>
  <c r="A56" i="5"/>
  <c r="A184" i="5"/>
  <c r="A709" i="5"/>
  <c r="A101" i="5"/>
  <c r="A228" i="5"/>
  <c r="A616" i="5"/>
  <c r="A870" i="6"/>
  <c r="A34" i="6"/>
  <c r="A42" i="6"/>
  <c r="A775" i="6"/>
  <c r="A666" i="6"/>
  <c r="A549" i="6"/>
  <c r="A1039" i="6"/>
  <c r="A539" i="6"/>
  <c r="A360" i="6"/>
  <c r="A569" i="6"/>
  <c r="A286" i="5"/>
  <c r="A992" i="5"/>
  <c r="A864" i="5"/>
  <c r="A718" i="5"/>
  <c r="A203" i="5"/>
  <c r="A75" i="5"/>
  <c r="A618" i="5"/>
  <c r="A274" i="5"/>
  <c r="A437" i="5"/>
  <c r="A565" i="5"/>
  <c r="A540" i="5"/>
  <c r="A413" i="5"/>
  <c r="A279" i="5"/>
  <c r="A1021" i="5"/>
  <c r="A893" i="5"/>
  <c r="A692" i="5"/>
  <c r="A74" i="5"/>
  <c r="A202" i="5"/>
  <c r="A1002" i="5"/>
  <c r="A874" i="5"/>
  <c r="A746" i="5"/>
  <c r="A613" i="5"/>
  <c r="A229" i="5"/>
  <c r="A100" i="5"/>
  <c r="A952" i="5"/>
  <c r="A824" i="5"/>
  <c r="A695" i="5"/>
  <c r="A179" i="5"/>
  <c r="A51" i="5"/>
  <c r="A36" i="5"/>
  <c r="A1030" i="5"/>
  <c r="A902" i="5"/>
  <c r="A774" i="5"/>
  <c r="A641" i="5"/>
  <c r="A241" i="5"/>
  <c r="A112" i="5"/>
  <c r="A1060" i="5"/>
  <c r="A532" i="5"/>
  <c r="A405" i="5"/>
  <c r="A271" i="5"/>
  <c r="A1013" i="5"/>
  <c r="A885" i="5"/>
  <c r="A48" i="5"/>
  <c r="A176" i="5"/>
  <c r="A701" i="5"/>
  <c r="A502" i="5"/>
  <c r="A375" i="5"/>
  <c r="A979" i="5"/>
  <c r="A851" i="5"/>
  <c r="A914" i="5"/>
  <c r="A653" i="5"/>
  <c r="A140" i="5"/>
  <c r="A465" i="5"/>
  <c r="A593" i="5"/>
  <c r="A944" i="5"/>
  <c r="A816" i="5"/>
  <c r="A671" i="5"/>
  <c r="A27" i="5"/>
  <c r="A216" i="5"/>
  <c r="A612" i="5"/>
  <c r="A167" i="6"/>
  <c r="A665" i="6"/>
  <c r="A789" i="6"/>
  <c r="A581" i="6"/>
  <c r="A797" i="6"/>
  <c r="A139" i="5"/>
  <c r="A602" i="5"/>
  <c r="A531" i="6"/>
  <c r="A98" i="6"/>
  <c r="A969" i="6"/>
  <c r="A215" i="6"/>
  <c r="A859" i="6"/>
  <c r="A582" i="6"/>
  <c r="A590" i="6"/>
  <c r="A125" i="6"/>
  <c r="A695" i="6"/>
  <c r="A1093" i="6"/>
  <c r="A736" i="6"/>
  <c r="A957" i="6"/>
  <c r="A380" i="6"/>
  <c r="A87" i="6"/>
  <c r="A622" i="6"/>
  <c r="A591" i="6"/>
  <c r="A904" i="6"/>
  <c r="A144" i="6"/>
  <c r="A650" i="6"/>
  <c r="A99" i="6"/>
  <c r="A250" i="6"/>
  <c r="A799" i="6"/>
  <c r="A155" i="6"/>
  <c r="A805" i="6"/>
  <c r="A443" i="6"/>
  <c r="A985" i="6"/>
  <c r="A51" i="6"/>
  <c r="A853" i="6"/>
  <c r="A954" i="6"/>
  <c r="A337" i="6"/>
  <c r="A588" i="6"/>
  <c r="A979" i="6"/>
  <c r="A994" i="6"/>
  <c r="A878" i="6"/>
  <c r="A407" i="6"/>
  <c r="A426" i="6"/>
  <c r="A428" i="6"/>
  <c r="A140" i="6"/>
  <c r="A489" i="6"/>
  <c r="A883" i="6"/>
  <c r="A834" i="6"/>
  <c r="A320" i="6"/>
  <c r="A63" i="6"/>
  <c r="A758" i="6"/>
  <c r="A408" i="6"/>
  <c r="A235" i="6"/>
  <c r="A1069" i="6"/>
  <c r="A599" i="6"/>
  <c r="A522" i="6"/>
  <c r="A678" i="6"/>
  <c r="A362" i="6"/>
  <c r="A1074" i="6"/>
  <c r="A58" i="5"/>
  <c r="A186" i="5"/>
  <c r="A384" i="6"/>
  <c r="A323" i="6"/>
  <c r="A262" i="6"/>
  <c r="A632" i="6"/>
  <c r="A265" i="6"/>
  <c r="A971" i="6"/>
  <c r="A690" i="6"/>
  <c r="A445" i="6"/>
  <c r="A395" i="6"/>
  <c r="A1071" i="6"/>
  <c r="A772" i="6"/>
  <c r="A225" i="6"/>
  <c r="A567" i="6"/>
  <c r="A135" i="6"/>
  <c r="A761" i="6"/>
  <c r="A67" i="6"/>
  <c r="A656" i="6"/>
  <c r="A937" i="6"/>
  <c r="A668" i="6"/>
  <c r="A822" i="6"/>
  <c r="A400" i="6"/>
  <c r="A439" i="6"/>
  <c r="A889" i="6"/>
  <c r="A794" i="6"/>
  <c r="A441" i="6"/>
  <c r="A1015" i="6"/>
  <c r="A593" i="6"/>
  <c r="A484" i="6"/>
  <c r="A504" i="6"/>
  <c r="A216" i="6"/>
  <c r="A1059" i="6"/>
  <c r="A824" i="6"/>
  <c r="A256" i="6"/>
  <c r="A953" i="6"/>
  <c r="A846" i="6"/>
  <c r="A231" i="6"/>
  <c r="A478" i="6"/>
  <c r="A159" i="6"/>
  <c r="A486" i="6"/>
  <c r="A681" i="6"/>
  <c r="A625" i="6"/>
  <c r="A944" i="6"/>
  <c r="A817" i="6"/>
  <c r="A404" i="6"/>
  <c r="A285" i="6"/>
  <c r="A309" i="6"/>
  <c r="A68" i="6"/>
  <c r="A1070" i="6"/>
  <c r="A793" i="6"/>
  <c r="A910" i="6"/>
  <c r="A312" i="6"/>
  <c r="A881" i="6"/>
  <c r="A1054" i="6"/>
  <c r="A328" i="6"/>
  <c r="A27" i="6"/>
  <c r="A88" i="6"/>
  <c r="A401" i="6"/>
  <c r="A991" i="6"/>
  <c r="A519" i="6"/>
  <c r="A1068" i="6"/>
  <c r="A33" i="6"/>
  <c r="A307" i="6"/>
  <c r="A479" i="6"/>
  <c r="A212" i="6"/>
  <c r="A209" i="6"/>
  <c r="A324" i="6"/>
  <c r="A437" i="6"/>
  <c r="A1004" i="6"/>
  <c r="A473" i="6"/>
  <c r="A363" i="6"/>
  <c r="A903" i="6"/>
  <c r="A496" i="6"/>
  <c r="A620" i="6"/>
  <c r="A1052" i="6"/>
  <c r="A907" i="6"/>
  <c r="A203" i="6"/>
  <c r="A335" i="6"/>
  <c r="A988" i="6"/>
  <c r="A116" i="6"/>
  <c r="A34" i="5"/>
  <c r="A191" i="6"/>
  <c r="A655" i="6"/>
  <c r="A463" i="6"/>
  <c r="A390" i="6"/>
  <c r="A746" i="6"/>
  <c r="A202" i="6"/>
  <c r="A31" i="6"/>
  <c r="A399" i="6"/>
  <c r="A905" i="6"/>
  <c r="A223" i="6"/>
  <c r="A458" i="6"/>
  <c r="A809" i="6"/>
  <c r="A100" i="6"/>
  <c r="A65" i="6"/>
  <c r="A318" i="6"/>
  <c r="A298" i="6"/>
  <c r="A131" i="6"/>
  <c r="A525" i="6"/>
  <c r="A717" i="6"/>
  <c r="A702" i="6"/>
  <c r="A740" i="6"/>
  <c r="A749" i="6"/>
  <c r="A532" i="6"/>
  <c r="A764" i="6"/>
  <c r="A987" i="6"/>
  <c r="A177" i="6"/>
  <c r="A600" i="6"/>
  <c r="A648" i="6"/>
  <c r="A1022" i="6"/>
  <c r="A843" i="6"/>
  <c r="A580" i="6"/>
  <c r="A1030" i="6"/>
  <c r="A372" i="6"/>
  <c r="A899" i="6"/>
  <c r="A311" i="6"/>
  <c r="A537" i="6"/>
  <c r="A364" i="6"/>
  <c r="A1011" i="6"/>
  <c r="A801" i="6"/>
  <c r="A102" i="6"/>
  <c r="A46" i="6"/>
  <c r="A637" i="6"/>
  <c r="A615" i="6"/>
  <c r="A141" i="6"/>
  <c r="A518" i="6"/>
  <c r="A1065" i="6"/>
  <c r="A862" i="6"/>
  <c r="A186" i="6"/>
  <c r="A221" i="6"/>
  <c r="A498" i="6"/>
  <c r="A162" i="6"/>
  <c r="A589" i="6"/>
  <c r="A232" i="6"/>
  <c r="A459" i="6"/>
  <c r="A699" i="6"/>
  <c r="A503" i="6"/>
  <c r="A329" i="6"/>
  <c r="A70" i="6"/>
  <c r="A860" i="6"/>
  <c r="A1072" i="6"/>
  <c r="A218" i="6"/>
  <c r="A90" i="6"/>
  <c r="A920" i="6"/>
  <c r="A609" i="6"/>
  <c r="A652" i="6"/>
  <c r="A993" i="6"/>
  <c r="A55" i="6"/>
  <c r="A621" i="6"/>
  <c r="A718" i="6"/>
  <c r="A649" i="6"/>
  <c r="A867" i="6"/>
  <c r="A624" i="6"/>
  <c r="A376" i="6"/>
  <c r="A267" i="6"/>
  <c r="A123" i="6"/>
  <c r="A240" i="6"/>
  <c r="A906" i="6"/>
  <c r="A893" i="6"/>
  <c r="A452" i="6"/>
  <c r="A601" i="6"/>
  <c r="A879" i="6"/>
  <c r="A886" i="6"/>
  <c r="A471" i="6"/>
  <c r="A379" i="6"/>
  <c r="A760" i="6"/>
  <c r="A990" i="6"/>
  <c r="A492" i="6"/>
  <c r="A1061" i="6"/>
  <c r="A837" i="6"/>
  <c r="A781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84" i="6"/>
  <c r="A704" i="6"/>
  <c r="A926" i="6"/>
  <c r="A397" i="6"/>
  <c r="A917" i="6"/>
  <c r="A829" i="6"/>
  <c r="A343" i="6"/>
  <c r="A931" i="6"/>
  <c r="A721" i="6"/>
  <c r="A598" i="6"/>
  <c r="A1014" i="6"/>
  <c r="A527" i="6"/>
  <c r="A691" i="6"/>
  <c r="A40" i="6"/>
  <c r="A874" i="6"/>
  <c r="A770" i="6"/>
  <c r="A558" i="6"/>
  <c r="A438" i="6"/>
  <c r="A562" i="6"/>
  <c r="A214" i="6"/>
  <c r="A288" i="6"/>
  <c r="A468" i="6"/>
  <c r="A854" i="6"/>
  <c r="A812" i="6"/>
  <c r="A304" i="6"/>
  <c r="A516" i="6"/>
  <c r="A597" i="6"/>
  <c r="A49" i="6"/>
  <c r="A433" i="6"/>
  <c r="A50" i="6"/>
  <c r="A369" i="6"/>
  <c r="A584" i="6"/>
  <c r="A614" i="6"/>
  <c r="A447" i="6"/>
  <c r="A847" i="6"/>
  <c r="A32" i="6"/>
  <c r="A228" i="6"/>
  <c r="A1000" i="6"/>
  <c r="A284" i="6"/>
  <c r="A595" i="6"/>
  <c r="A572" i="6"/>
  <c r="A932" i="6"/>
  <c r="A91" i="6"/>
  <c r="A877" i="6"/>
  <c r="A1067" i="6"/>
  <c r="A613" i="6"/>
  <c r="A487" i="6"/>
  <c r="A587" i="6"/>
  <c r="A230" i="6"/>
  <c r="A975" i="6"/>
  <c r="A720" i="6"/>
  <c r="A552" i="6"/>
  <c r="A356" i="6"/>
  <c r="A229" i="6"/>
  <c r="A357" i="6"/>
  <c r="A1041" i="6"/>
  <c r="A405" i="6"/>
  <c r="A554" i="6"/>
  <c r="A292" i="6"/>
  <c r="A872" i="6"/>
  <c r="A561" i="6"/>
  <c r="A220" i="6"/>
  <c r="A1056" i="6"/>
  <c r="A196" i="6"/>
  <c r="A844" i="6"/>
  <c r="A402" i="6"/>
  <c r="A197" i="6"/>
  <c r="A1046" i="6"/>
  <c r="A1079" i="6"/>
  <c r="A838" i="6"/>
  <c r="A890" i="6"/>
  <c r="A545" i="6"/>
  <c r="A396" i="6"/>
  <c r="A274" i="6"/>
  <c r="A807" i="6"/>
  <c r="A66" i="6"/>
  <c r="A963" i="6"/>
  <c r="A278" i="6"/>
  <c r="A1017" i="6"/>
  <c r="A823" i="6"/>
  <c r="A544" i="6"/>
  <c r="A1006" i="6"/>
  <c r="A512" i="6"/>
  <c r="A671" i="6"/>
  <c r="A242" i="6"/>
  <c r="A69" i="6"/>
  <c r="A880" i="6"/>
  <c r="A974" i="6"/>
  <c r="A93" i="6"/>
  <c r="A596" i="6"/>
  <c r="A685" i="6"/>
  <c r="A174" i="6"/>
  <c r="A612" i="6"/>
  <c r="A816" i="6"/>
  <c r="A210" i="6"/>
  <c r="A112" i="6"/>
  <c r="A748" i="6"/>
  <c r="A608" i="6"/>
  <c r="A1045" i="6"/>
  <c r="A1084" i="6"/>
  <c r="A806" i="6"/>
  <c r="A340" i="6"/>
  <c r="A800" i="6"/>
  <c r="A683" i="6"/>
  <c r="A694" i="6"/>
  <c r="A137" i="6"/>
  <c r="A490" i="6"/>
  <c r="A645" i="6"/>
  <c r="A75" i="6"/>
  <c r="A1092" i="6"/>
  <c r="A385" i="6"/>
  <c r="A166" i="6"/>
  <c r="A1033" i="6"/>
  <c r="A178" i="6"/>
  <c r="A900" i="6"/>
  <c r="A565" i="6"/>
  <c r="A716" i="6"/>
  <c r="A28" i="6"/>
  <c r="A104" i="6"/>
  <c r="A526" i="6"/>
  <c r="A493" i="6"/>
  <c r="A310" i="6"/>
  <c r="A813" i="6"/>
  <c r="A398" i="6"/>
  <c r="A1087" i="6"/>
  <c r="A222" i="6"/>
  <c r="A111" i="6"/>
  <c r="A711" i="6"/>
  <c r="A863" i="6"/>
  <c r="A981" i="6"/>
  <c r="A346" i="6"/>
  <c r="A1003" i="6"/>
  <c r="A181" i="6"/>
  <c r="A744" i="6"/>
  <c r="A842" i="6"/>
  <c r="A59" i="6"/>
  <c r="A349" i="6"/>
  <c r="A1012" i="6"/>
  <c r="A276" i="6"/>
  <c r="A424" i="6"/>
  <c r="A1038" i="6"/>
  <c r="A897" i="6"/>
  <c r="A482" i="6"/>
  <c r="A714" i="6"/>
  <c r="A919" i="6"/>
  <c r="A86" i="6"/>
  <c r="A481" i="6"/>
  <c r="A768" i="6"/>
  <c r="A154" i="6"/>
  <c r="A119" i="6"/>
  <c r="A164" i="6"/>
  <c r="A726" i="6"/>
  <c r="A776" i="6"/>
  <c r="A457" i="6"/>
  <c r="A96" i="6"/>
  <c r="A1083" i="6"/>
  <c r="A29" i="6"/>
  <c r="A146" i="6"/>
  <c r="A679" i="6"/>
  <c r="A198" i="6"/>
  <c r="A604" i="6"/>
  <c r="A1044" i="6"/>
  <c r="A820" i="6"/>
  <c r="A327" i="6"/>
  <c r="A851" i="6"/>
  <c r="A869" i="6"/>
  <c r="A575" i="6"/>
  <c r="A914" i="6"/>
  <c r="A233" i="6"/>
  <c r="A646" i="6"/>
  <c r="A783" i="6"/>
  <c r="A682" i="6"/>
  <c r="A1010" i="6"/>
  <c r="A571" i="6"/>
  <c r="A982" i="6"/>
  <c r="A275" i="6"/>
  <c r="A659" i="6"/>
  <c r="A1085" i="6"/>
  <c r="A574" i="6"/>
  <c r="A436" i="6"/>
  <c r="A811" i="6"/>
  <c r="A184" i="6"/>
  <c r="A660" i="6"/>
  <c r="A606" i="6"/>
  <c r="A136" i="6"/>
  <c r="A72" i="6"/>
  <c r="A158" i="6"/>
  <c r="A201" i="6"/>
  <c r="A559" i="6"/>
  <c r="A986" i="6"/>
  <c r="A453" i="6"/>
  <c r="A286" i="6"/>
  <c r="A950" i="6"/>
  <c r="A534" i="6"/>
  <c r="A1049" i="6"/>
  <c r="A101" i="6"/>
  <c r="A1057" i="6"/>
  <c r="A421" i="6"/>
  <c r="A282" i="6"/>
  <c r="A314" i="6"/>
  <c r="A956" i="6"/>
  <c r="A1037" i="6"/>
  <c r="A466" i="6"/>
  <c r="A908" i="6"/>
  <c r="A984" i="6"/>
  <c r="A1029" i="6"/>
  <c r="A82" i="6"/>
  <c r="A935" i="6"/>
  <c r="A151" i="6"/>
  <c r="A992" i="6"/>
  <c r="A952" i="6"/>
  <c r="A41" i="6"/>
  <c r="A1021" i="6"/>
  <c r="A273" i="6"/>
  <c r="A708" i="6"/>
  <c r="A607" i="6"/>
  <c r="A245" i="6"/>
  <c r="A630" i="6"/>
  <c r="A192" i="6"/>
  <c r="A1034" i="6"/>
  <c r="A553" i="6"/>
  <c r="A1080" i="6"/>
  <c r="A52" i="6"/>
  <c r="A766" i="6"/>
  <c r="A334" i="6"/>
  <c r="A375" i="6"/>
  <c r="A864" i="6"/>
  <c r="A301" i="6"/>
  <c r="A723" i="6"/>
  <c r="A163" i="6"/>
  <c r="A664" i="6"/>
  <c r="A387" i="6"/>
  <c r="A319" i="6"/>
  <c r="A1048" i="6"/>
  <c r="A510" i="6"/>
  <c r="A938" i="6"/>
  <c r="A967" i="6"/>
  <c r="A887" i="6"/>
  <c r="A173" i="6"/>
  <c r="A476" i="6"/>
  <c r="A831" i="6"/>
  <c r="A782" i="6"/>
  <c r="A21" i="6"/>
  <c r="A127" i="6"/>
  <c r="A989" i="6"/>
  <c r="A411" i="6"/>
  <c r="A700" i="6"/>
  <c r="A654" i="6"/>
  <c r="A1051" i="6"/>
  <c r="A1073" i="6"/>
  <c r="A344" i="6"/>
  <c r="A138" i="6"/>
  <c r="A280" i="6"/>
  <c r="A1063" i="6"/>
  <c r="A352" i="6"/>
  <c r="A354" i="6"/>
  <c r="A246" i="6"/>
  <c r="A995" i="6"/>
  <c r="A206" i="6"/>
  <c r="A270" i="6"/>
  <c r="A145" i="6"/>
  <c r="A676" i="6"/>
  <c r="A728" i="6"/>
  <c r="A577" i="6"/>
  <c r="A160" i="6"/>
  <c r="A78" i="6"/>
  <c r="A1016" i="6"/>
  <c r="A406" i="6"/>
  <c r="A419" i="6"/>
  <c r="A1089" i="6"/>
  <c r="A616" i="6"/>
  <c r="A124" i="6"/>
  <c r="A207" i="6"/>
  <c r="A77" i="6"/>
  <c r="A44" i="6"/>
  <c r="A509" i="6"/>
  <c r="A706" i="6"/>
  <c r="A947" i="6"/>
  <c r="A295" i="6"/>
  <c r="A161" i="6"/>
  <c r="A741" i="6"/>
  <c r="A1095" i="6"/>
  <c r="A955" i="6"/>
  <c r="A330" i="6"/>
  <c r="A980" i="6"/>
  <c r="A701" i="6"/>
  <c r="A774" i="6"/>
  <c r="A226" i="6"/>
  <c r="A514" i="6"/>
  <c r="A339" i="6"/>
  <c r="A808" i="6"/>
  <c r="A698" i="6"/>
  <c r="A451" i="6"/>
  <c r="A755" i="6"/>
  <c r="A381" i="6"/>
  <c r="A94" i="6"/>
  <c r="A183" i="6"/>
  <c r="A611" i="6"/>
  <c r="A996" i="6"/>
  <c r="A358" i="6"/>
  <c r="A798" i="6"/>
  <c r="A550" i="6"/>
  <c r="A417" i="6"/>
  <c r="A148" i="6"/>
  <c r="A341" i="6"/>
  <c r="A460" i="6"/>
  <c r="A97" i="6"/>
  <c r="A361" i="6"/>
  <c r="A763" i="6"/>
  <c r="A965" i="6"/>
  <c r="A635" i="6"/>
  <c r="A403" i="6"/>
  <c r="A802" i="6"/>
  <c r="A647" i="6"/>
  <c r="A200" i="6"/>
  <c r="A1076" i="6"/>
  <c r="A804" i="6"/>
  <c r="A281" i="6"/>
  <c r="A434" i="6"/>
  <c r="A810" i="6"/>
  <c r="A373" i="6"/>
  <c r="A674" i="6"/>
  <c r="A429" i="6"/>
  <c r="A156" i="6"/>
  <c r="A765" i="6"/>
  <c r="A727" i="6"/>
  <c r="A790" i="6"/>
  <c r="A322" i="6"/>
  <c r="A898" i="6"/>
  <c r="A670" i="6"/>
  <c r="A946" i="6"/>
  <c r="A894" i="6"/>
  <c r="A243" i="6"/>
  <c r="A524" i="6"/>
  <c r="A566" i="6"/>
  <c r="A560" i="6"/>
  <c r="A1013" i="6"/>
  <c r="A30" i="6"/>
  <c r="A756" i="6"/>
  <c r="A541" i="6"/>
  <c r="A83" i="6"/>
  <c r="A378" i="6"/>
  <c r="A289" i="6"/>
  <c r="A325" i="6"/>
  <c r="A536" i="6"/>
  <c r="A548" i="6"/>
  <c r="A1062" i="6"/>
  <c r="A739" i="6"/>
  <c r="A506" i="6"/>
  <c r="A117" i="6"/>
  <c r="A321" i="6"/>
  <c r="A1096" i="6"/>
  <c r="A76" i="6"/>
  <c r="A224" i="6"/>
  <c r="A951" i="6"/>
  <c r="A485" i="6"/>
  <c r="A294" i="6"/>
  <c r="A477" i="6"/>
  <c r="A427" i="6"/>
  <c r="A118" i="6"/>
  <c r="A454" i="6"/>
  <c r="A71" i="6"/>
  <c r="A64" i="6"/>
  <c r="A1086" i="6"/>
  <c r="A391" i="6"/>
  <c r="A60" i="6"/>
  <c r="A108" i="6"/>
  <c r="A684" i="6"/>
  <c r="A169" i="6"/>
  <c r="A249" i="6"/>
  <c r="A386" i="6"/>
  <c r="A828" i="6"/>
  <c r="A876" i="6"/>
  <c r="A305" i="6"/>
  <c r="A271" i="6"/>
  <c r="A840" i="6"/>
  <c r="A530" i="6"/>
  <c r="A754" i="6"/>
  <c r="A827" i="6"/>
  <c r="A139" i="6"/>
  <c r="A84" i="6"/>
  <c r="A415" i="6"/>
  <c r="A586" i="6"/>
  <c r="A36" i="6"/>
  <c r="A147" i="6"/>
  <c r="A568" i="6"/>
  <c r="A1090" i="6"/>
  <c r="A848" i="6"/>
  <c r="A921" i="6"/>
  <c r="A422" i="6"/>
  <c r="A377" i="6"/>
  <c r="A703" i="6"/>
  <c r="A195" i="6"/>
  <c r="A564" i="6"/>
  <c r="A25" i="6"/>
  <c r="A383" i="6"/>
  <c r="A911" i="6"/>
  <c r="A778" i="6"/>
  <c r="A976" i="6"/>
  <c r="A713" i="6"/>
  <c r="A238" i="6"/>
  <c r="A742" i="6"/>
  <c r="A643" i="6"/>
  <c r="A47" i="6"/>
  <c r="A638" i="6"/>
  <c r="A795" i="6"/>
  <c r="A579" i="6"/>
  <c r="A446" i="6"/>
  <c r="A432" i="6"/>
  <c r="A1036" i="6"/>
  <c r="A803" i="6"/>
  <c r="A1009" i="6"/>
  <c r="A819" i="6"/>
  <c r="A22" i="6"/>
  <c r="A788" i="6"/>
  <c r="A20" i="6"/>
  <c r="A92" i="6"/>
  <c r="A845" i="6"/>
  <c r="A513" i="6"/>
  <c r="A277" i="6"/>
  <c r="A1020" i="6"/>
  <c r="A709" i="6"/>
  <c r="A165" i="6"/>
  <c r="A983" i="6"/>
  <c r="A508" i="6"/>
  <c r="A555" i="6"/>
  <c r="A521" i="6"/>
  <c r="A730" i="6"/>
  <c r="A556" i="6"/>
  <c r="A850" i="6"/>
  <c r="A347" i="6"/>
  <c r="A430" i="6"/>
  <c r="A180" i="6"/>
  <c r="A431" i="6"/>
  <c r="A113" i="6"/>
  <c r="A688" i="6"/>
  <c r="A759" i="6"/>
  <c r="A933" i="6"/>
  <c r="A368" i="6"/>
  <c r="A922" i="6"/>
  <c r="A796" i="6"/>
  <c r="A750" i="6"/>
  <c r="A856" i="6"/>
  <c r="A745" i="6"/>
  <c r="A871" i="6"/>
  <c r="A902" i="6"/>
  <c r="A722" i="6"/>
  <c r="A115" i="6"/>
  <c r="A542" i="6"/>
  <c r="A913" i="6"/>
  <c r="A959" i="6"/>
  <c r="A777" i="6"/>
  <c r="A978" i="6"/>
  <c r="A371" i="6"/>
  <c r="A533" i="6"/>
  <c r="A332" i="6"/>
  <c r="A966" i="6"/>
  <c r="A1018" i="6"/>
  <c r="A891" i="6"/>
  <c r="A925" i="6"/>
  <c r="A875" i="6"/>
  <c r="A168" i="6"/>
  <c r="A1055" i="6"/>
  <c r="A923" i="6"/>
  <c r="A302" i="6"/>
  <c r="A662" i="6"/>
  <c r="A300" i="6"/>
  <c r="A355" i="6"/>
  <c r="A594" i="6"/>
  <c r="A61" i="6"/>
  <c r="A540" i="6"/>
  <c r="A1005" i="6"/>
  <c r="A308" i="6"/>
  <c r="A888" i="6"/>
  <c r="A170" i="6"/>
  <c r="A724" i="6"/>
  <c r="A1082" i="6"/>
  <c r="A236" i="6"/>
  <c r="A653" i="6"/>
  <c r="A628" i="6"/>
  <c r="A425" i="6"/>
  <c r="A449" i="6"/>
  <c r="A23" i="6"/>
  <c r="A972" i="6"/>
  <c r="A388" i="6"/>
  <c r="A634" i="6"/>
  <c r="A488" i="6"/>
  <c r="A122" i="6"/>
  <c r="A896" i="6"/>
  <c r="A269" i="6"/>
  <c r="A107" i="6"/>
  <c r="A818" i="6"/>
  <c r="A529" i="6"/>
  <c r="A179" i="6"/>
  <c r="A199" i="6"/>
  <c r="A1091" i="6"/>
  <c r="A56" i="6"/>
  <c r="A37" i="6"/>
  <c r="A143" i="6"/>
  <c r="A392" i="6"/>
  <c r="A171" i="6"/>
  <c r="A1064" i="6"/>
  <c r="A35" i="6"/>
  <c r="A62" i="6"/>
  <c r="A710" i="6"/>
  <c r="A1050" i="6"/>
  <c r="A999" i="6"/>
  <c r="A448" i="6"/>
  <c r="A1040" i="6"/>
  <c r="A255" i="6"/>
  <c r="A142" i="6"/>
  <c r="A190" i="6"/>
  <c r="A283" i="6"/>
  <c r="A835" i="6"/>
  <c r="A814" i="6"/>
  <c r="A366" i="6"/>
  <c r="A873" i="6"/>
  <c r="A290" i="6"/>
  <c r="A464" i="6"/>
  <c r="A152" i="6"/>
  <c r="A172" i="6"/>
  <c r="A264" i="6"/>
  <c r="A791" i="6"/>
  <c r="A715" i="6"/>
  <c r="A927" i="6"/>
  <c r="A705" i="6"/>
  <c r="A747" i="6"/>
  <c r="A338" i="6"/>
  <c r="A573" i="6"/>
  <c r="A410" i="6"/>
  <c r="A505" i="6"/>
  <c r="A259" i="6"/>
  <c r="A707" i="6"/>
  <c r="A393" i="6"/>
  <c r="A306" i="6"/>
  <c r="A241" i="6"/>
  <c r="A1007" i="6"/>
  <c r="A1028" i="6"/>
  <c r="A841" i="6"/>
  <c r="A501" i="6"/>
  <c r="A299" i="6"/>
  <c r="A414" i="6"/>
  <c r="A640" i="6"/>
  <c r="A528" i="6"/>
  <c r="A731" i="6"/>
  <c r="A644" i="6"/>
  <c r="A687" i="6"/>
  <c r="A786" i="6"/>
  <c r="A603" i="6"/>
  <c r="A1035" i="6"/>
  <c r="A103" i="6"/>
  <c r="A557" i="6"/>
  <c r="A1075" i="6"/>
  <c r="A583" i="6"/>
  <c r="A440" i="6"/>
  <c r="A970" i="6"/>
  <c r="A105" i="6"/>
  <c r="A297" i="6"/>
  <c r="A1031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973" i="6"/>
  <c r="A1026" i="6"/>
  <c r="A732" i="6"/>
  <c r="A130" i="6"/>
  <c r="A515" i="6"/>
  <c r="A1019" i="6"/>
  <c r="A773" i="6"/>
  <c r="A291" i="6"/>
  <c r="A370" i="6"/>
  <c r="A929" i="6"/>
  <c r="A204" i="6"/>
  <c r="A752" i="6"/>
  <c r="A257" i="6"/>
  <c r="A500" i="6"/>
  <c r="A1047" i="6"/>
  <c r="A68" i="5"/>
  <c r="A196" i="5"/>
  <c r="A713" i="5"/>
  <c r="A123" i="5"/>
  <c r="A813" i="5"/>
  <c r="A821" i="5"/>
  <c r="A759" i="5"/>
  <c r="A757" i="5"/>
  <c r="A785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1073" i="5"/>
  <c r="A1009" i="5"/>
  <c r="A945" i="5"/>
  <c r="A881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779" i="5"/>
  <c r="A1020" i="5"/>
  <c r="A956" i="5"/>
  <c r="A892" i="5"/>
  <c r="A828" i="5"/>
  <c r="A764" i="5"/>
  <c r="A698" i="5"/>
  <c r="A635" i="5"/>
  <c r="A247" i="5"/>
  <c r="A183" i="5"/>
  <c r="A118" i="5"/>
  <c r="A55" i="5"/>
  <c r="A1072" i="5"/>
  <c r="A50" i="5"/>
  <c r="A115" i="5"/>
  <c r="A178" i="5"/>
  <c r="A242" i="5"/>
  <c r="A481" i="5"/>
  <c r="A767" i="5"/>
  <c r="A1026" i="5"/>
  <c r="A962" i="5"/>
  <c r="A898" i="5"/>
  <c r="A834" i="5"/>
  <c r="A770" i="5"/>
  <c r="A700" i="5"/>
  <c r="A637" i="5"/>
  <c r="A189" i="5"/>
  <c r="A124" i="5"/>
  <c r="A61" i="5"/>
  <c r="A1068" i="5"/>
  <c r="A600" i="5"/>
  <c r="A536" i="5"/>
  <c r="A472" i="5"/>
  <c r="A409" i="5"/>
  <c r="A339" i="5"/>
  <c r="A275" i="5"/>
  <c r="A83" i="5"/>
  <c r="A1081" i="5"/>
  <c r="A1017" i="5"/>
  <c r="A953" i="5"/>
  <c r="A889" i="5"/>
  <c r="A825" i="5"/>
  <c r="A109" i="5"/>
  <c r="A236" i="5"/>
  <c r="A624" i="5"/>
  <c r="A688" i="5"/>
  <c r="A765" i="5"/>
  <c r="A272" i="5"/>
  <c r="A336" i="5"/>
  <c r="A410" i="5"/>
  <c r="A475" i="5"/>
  <c r="A539" i="5"/>
  <c r="A538" i="5"/>
  <c r="A474" i="5"/>
  <c r="A411" i="5"/>
  <c r="A345" i="5"/>
  <c r="A281" i="5"/>
  <c r="A89" i="5"/>
  <c r="A1087" i="5"/>
  <c r="A1023" i="5"/>
  <c r="A959" i="5"/>
  <c r="A895" i="5"/>
  <c r="A831" i="5"/>
  <c r="A54" i="5"/>
  <c r="A119" i="5"/>
  <c r="A182" i="5"/>
  <c r="A246" i="5"/>
  <c r="A1046" i="5"/>
  <c r="A974" i="5"/>
  <c r="A910" i="5"/>
  <c r="A846" i="5"/>
  <c r="A782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1058" i="5"/>
  <c r="A980" i="5"/>
  <c r="A916" i="5"/>
  <c r="A852" i="5"/>
  <c r="A788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1035" i="5"/>
  <c r="A971" i="5"/>
  <c r="A907" i="5"/>
  <c r="A843" i="5"/>
  <c r="A26" i="5"/>
  <c r="A473" i="5"/>
  <c r="A537" i="5"/>
  <c r="A1070" i="5"/>
  <c r="A986" i="5"/>
  <c r="A922" i="5"/>
  <c r="A858" i="5"/>
  <c r="A794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1089" i="5"/>
  <c r="A1025" i="5"/>
  <c r="A961" i="5"/>
  <c r="A897" i="5"/>
  <c r="A833" i="5"/>
  <c r="A312" i="5"/>
  <c r="A386" i="5"/>
  <c r="A451" i="5"/>
  <c r="A515" i="5"/>
  <c r="A579" i="5"/>
  <c r="A819" i="5"/>
  <c r="A1000" i="5"/>
  <c r="A936" i="5"/>
  <c r="A872" i="5"/>
  <c r="A808" i="5"/>
  <c r="A744" i="5"/>
  <c r="A679" i="5"/>
  <c r="A615" i="5"/>
  <c r="A227" i="5"/>
  <c r="A1032" i="5"/>
  <c r="A578" i="5"/>
  <c r="A514" i="5"/>
  <c r="A450" i="5"/>
  <c r="A387" i="5"/>
  <c r="A305" i="5"/>
  <c r="A1047" i="5"/>
  <c r="A983" i="5"/>
  <c r="A919" i="5"/>
  <c r="A855" i="5"/>
  <c r="A14" i="5"/>
  <c r="A78" i="5"/>
  <c r="A143" i="5"/>
  <c r="A206" i="5"/>
  <c r="A250" i="5"/>
  <c r="A314" i="5"/>
  <c r="A380" i="5"/>
  <c r="A445" i="5"/>
  <c r="A509" i="5"/>
  <c r="A573" i="5"/>
  <c r="A1062" i="5"/>
  <c r="A982" i="5"/>
  <c r="A918" i="5"/>
  <c r="A854" i="5"/>
  <c r="A790" i="5"/>
  <c r="A720" i="5"/>
  <c r="A657" i="5"/>
  <c r="A193" i="5"/>
  <c r="A128" i="5"/>
  <c r="A65" i="5"/>
  <c r="A1092" i="5"/>
  <c r="A548" i="5"/>
  <c r="A484" i="5"/>
  <c r="A421" i="5"/>
  <c r="A351" i="5"/>
  <c r="A287" i="5"/>
  <c r="A158" i="5"/>
  <c r="A95" i="5"/>
  <c r="A1093" i="5"/>
  <c r="A1029" i="5"/>
  <c r="A965" i="5"/>
  <c r="A901" i="5"/>
  <c r="A837" i="5"/>
  <c r="A32" i="5"/>
  <c r="A224" i="5"/>
  <c r="A620" i="5"/>
  <c r="A684" i="5"/>
  <c r="A773" i="5"/>
  <c r="A260" i="5"/>
  <c r="A324" i="5"/>
  <c r="A390" i="5"/>
  <c r="A455" i="5"/>
  <c r="A519" i="5"/>
  <c r="A583" i="5"/>
  <c r="A811" i="5"/>
  <c r="A1004" i="5"/>
  <c r="A940" i="5"/>
  <c r="A876" i="5"/>
  <c r="A812" i="5"/>
  <c r="A748" i="5"/>
  <c r="A683" i="5"/>
  <c r="A619" i="5"/>
  <c r="A231" i="5"/>
  <c r="A102" i="5"/>
  <c r="A550" i="5"/>
  <c r="A486" i="5"/>
  <c r="A423" i="5"/>
  <c r="A357" i="5"/>
  <c r="A293" i="5"/>
  <c r="A164" i="5"/>
  <c r="A37" i="5"/>
  <c r="A1091" i="5"/>
  <c r="A1027" i="5"/>
  <c r="A963" i="5"/>
  <c r="A899" i="5"/>
  <c r="A835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041" i="5"/>
  <c r="A977" i="5"/>
  <c r="A913" i="5"/>
  <c r="A849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05" i="5"/>
  <c r="A84" i="5"/>
  <c r="A276" i="5"/>
  <c r="A340" i="5"/>
  <c r="A406" i="5"/>
  <c r="A471" i="5"/>
  <c r="A535" i="5"/>
  <c r="A599" i="5"/>
  <c r="A1074" i="5"/>
  <c r="A988" i="5"/>
  <c r="A924" i="5"/>
  <c r="A860" i="5"/>
  <c r="A796" i="5"/>
  <c r="A730" i="5"/>
  <c r="A667" i="5"/>
  <c r="A603" i="5"/>
  <c r="A215" i="5"/>
  <c r="A150" i="5"/>
  <c r="A23" i="5"/>
  <c r="A147" i="5"/>
  <c r="A210" i="5"/>
  <c r="A630" i="5"/>
  <c r="A545" i="5"/>
  <c r="A1086" i="5"/>
  <c r="A994" i="5"/>
  <c r="A930" i="5"/>
  <c r="A866" i="5"/>
  <c r="A802" i="5"/>
  <c r="A738" i="5"/>
  <c r="A669" i="5"/>
  <c r="A605" i="5"/>
  <c r="A221" i="5"/>
  <c r="A29" i="5"/>
  <c r="A568" i="5"/>
  <c r="A504" i="5"/>
  <c r="A440" i="5"/>
  <c r="A377" i="5"/>
  <c r="A307" i="5"/>
  <c r="A1049" i="5"/>
  <c r="A985" i="5"/>
  <c r="A921" i="5"/>
  <c r="A857" i="5"/>
  <c r="A76" i="5"/>
  <c r="A141" i="5"/>
  <c r="A204" i="5"/>
  <c r="A656" i="5"/>
  <c r="A721" i="5"/>
  <c r="A304" i="5"/>
  <c r="A378" i="5"/>
  <c r="A443" i="5"/>
  <c r="A507" i="5"/>
  <c r="A571" i="5"/>
  <c r="A803" i="5"/>
  <c r="A570" i="5"/>
  <c r="A506" i="5"/>
  <c r="A442" i="5"/>
  <c r="A379" i="5"/>
  <c r="A313" i="5"/>
  <c r="A249" i="5"/>
  <c r="A1055" i="5"/>
  <c r="A991" i="5"/>
  <c r="A927" i="5"/>
  <c r="A863" i="5"/>
  <c r="A151" i="5"/>
  <c r="A214" i="5"/>
  <c r="A1006" i="5"/>
  <c r="A942" i="5"/>
  <c r="A878" i="5"/>
  <c r="A814" i="5"/>
  <c r="A750" i="5"/>
  <c r="A681" i="5"/>
  <c r="A617" i="5"/>
  <c r="A233" i="5"/>
  <c r="A104" i="5"/>
  <c r="A1044" i="5"/>
  <c r="A24" i="5"/>
  <c r="A252" i="5"/>
  <c r="A316" i="5"/>
  <c r="A382" i="5"/>
  <c r="A447" i="5"/>
  <c r="A511" i="5"/>
  <c r="A575" i="5"/>
  <c r="A795" i="5"/>
  <c r="A1012" i="5"/>
  <c r="A948" i="5"/>
  <c r="A884" i="5"/>
  <c r="A820" i="5"/>
  <c r="A756" i="5"/>
  <c r="A691" i="5"/>
  <c r="A627" i="5"/>
  <c r="A239" i="5"/>
  <c r="A110" i="5"/>
  <c r="A47" i="5"/>
  <c r="A1056" i="5"/>
  <c r="A590" i="5"/>
  <c r="A526" i="5"/>
  <c r="A462" i="5"/>
  <c r="A399" i="5"/>
  <c r="A333" i="5"/>
  <c r="A269" i="5"/>
  <c r="A1067" i="5"/>
  <c r="A1003" i="5"/>
  <c r="A939" i="5"/>
  <c r="A875" i="5"/>
  <c r="A505" i="5"/>
  <c r="A569" i="5"/>
  <c r="A783" i="5"/>
  <c r="A1018" i="5"/>
  <c r="A954" i="5"/>
  <c r="A890" i="5"/>
  <c r="A826" i="5"/>
  <c r="A762" i="5"/>
  <c r="A693" i="5"/>
  <c r="A629" i="5"/>
  <c r="A245" i="5"/>
  <c r="A181" i="5"/>
  <c r="A116" i="5"/>
  <c r="A53" i="5"/>
  <c r="A1052" i="5"/>
  <c r="A576" i="5"/>
  <c r="A512" i="5"/>
  <c r="A448" i="5"/>
  <c r="A385" i="5"/>
  <c r="A315" i="5"/>
  <c r="A251" i="5"/>
  <c r="A1057" i="5"/>
  <c r="A993" i="5"/>
  <c r="A929" i="5"/>
  <c r="A865" i="5"/>
  <c r="A40" i="5"/>
  <c r="A88" i="5"/>
  <c r="A153" i="5"/>
  <c r="A280" i="5"/>
  <c r="A344" i="5"/>
  <c r="A418" i="5"/>
  <c r="A483" i="5"/>
  <c r="A547" i="5"/>
  <c r="A755" i="5"/>
  <c r="A1034" i="5"/>
  <c r="A968" i="5"/>
  <c r="A904" i="5"/>
  <c r="A840" i="5"/>
  <c r="A776" i="5"/>
  <c r="A710" i="5"/>
  <c r="A647" i="5"/>
  <c r="A195" i="5"/>
  <c r="A130" i="5"/>
  <c r="A67" i="5"/>
  <c r="A1096" i="5"/>
  <c r="A546" i="5"/>
  <c r="A482" i="5"/>
  <c r="A419" i="5"/>
  <c r="A337" i="5"/>
  <c r="A273" i="5"/>
  <c r="A1079" i="5"/>
  <c r="A1015" i="5"/>
  <c r="A951" i="5"/>
  <c r="A887" i="5"/>
  <c r="A46" i="5"/>
  <c r="A111" i="5"/>
  <c r="A238" i="5"/>
  <c r="A626" i="5"/>
  <c r="A90" i="5"/>
  <c r="A155" i="5"/>
  <c r="A282" i="5"/>
  <c r="A346" i="5"/>
  <c r="A412" i="5"/>
  <c r="A477" i="5"/>
  <c r="A541" i="5"/>
  <c r="A791" i="5"/>
  <c r="A1014" i="5"/>
  <c r="A950" i="5"/>
  <c r="A886" i="5"/>
  <c r="A822" i="5"/>
  <c r="A758" i="5"/>
  <c r="A689" i="5"/>
  <c r="A625" i="5"/>
  <c r="A225" i="5"/>
  <c r="A580" i="5"/>
  <c r="A516" i="5"/>
  <c r="A452" i="5"/>
  <c r="A389" i="5"/>
  <c r="A319" i="5"/>
  <c r="A255" i="5"/>
  <c r="A1061" i="5"/>
  <c r="A997" i="5"/>
  <c r="A933" i="5"/>
  <c r="A869" i="5"/>
  <c r="A64" i="5"/>
  <c r="A129" i="5"/>
  <c r="A192" i="5"/>
  <c r="A652" i="5"/>
  <c r="A717" i="5"/>
  <c r="A165" i="5"/>
  <c r="A292" i="5"/>
  <c r="A356" i="5"/>
  <c r="A422" i="5"/>
  <c r="A487" i="5"/>
  <c r="A551" i="5"/>
  <c r="A747" i="5"/>
  <c r="A1042" i="5"/>
  <c r="A972" i="5"/>
  <c r="A908" i="5"/>
  <c r="A844" i="5"/>
  <c r="A780" i="5"/>
  <c r="A714" i="5"/>
  <c r="A651" i="5"/>
  <c r="A199" i="5"/>
  <c r="A134" i="5"/>
  <c r="A71" i="5"/>
  <c r="A1040" i="5"/>
  <c r="A582" i="5"/>
  <c r="A518" i="5"/>
  <c r="A454" i="5"/>
  <c r="A391" i="5"/>
  <c r="A325" i="5"/>
  <c r="A261" i="5"/>
  <c r="A1059" i="5"/>
  <c r="A995" i="5"/>
  <c r="A931" i="5"/>
  <c r="A867" i="5"/>
  <c r="A44" i="5"/>
  <c r="A66" i="5"/>
  <c r="A131" i="5"/>
  <c r="A194" i="5"/>
  <c r="A823" i="5"/>
  <c r="A634" i="5"/>
</calcChain>
</file>

<file path=xl/sharedStrings.xml><?xml version="1.0" encoding="utf-8"?>
<sst xmlns="http://schemas.openxmlformats.org/spreadsheetml/2006/main" count="63" uniqueCount="39">
  <si>
    <t>Weerkundige waarnemingen Saba</t>
  </si>
  <si>
    <t>13.45</t>
  </si>
  <si>
    <t>19.45</t>
  </si>
  <si>
    <t>The Bottom</t>
  </si>
  <si>
    <t>Sint Johns</t>
  </si>
  <si>
    <t>Windwardside</t>
  </si>
  <si>
    <t>Datum</t>
  </si>
  <si>
    <t>07.45</t>
  </si>
  <si>
    <r>
      <t xml:space="preserve">Barometerstand </t>
    </r>
    <r>
      <rPr>
        <b/>
        <sz val="6"/>
        <color theme="1"/>
        <rFont val="Calibri"/>
        <family val="2"/>
        <scheme val="minor"/>
      </rPr>
      <t>(zonder correcties)</t>
    </r>
  </si>
  <si>
    <t>Thermometerstand [°C]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</si>
  <si>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</si>
  <si>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</si>
  <si>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</si>
  <si>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</si>
  <si>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</si>
  <si>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</si>
  <si>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</si>
  <si>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</si>
  <si>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</si>
  <si>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</si>
  <si>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</si>
  <si>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</si>
  <si>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</si>
  <si>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</si>
  <si>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</si>
  <si>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</si>
  <si>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</si>
  <si>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</si>
  <si>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</si>
  <si>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</si>
  <si>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</si>
  <si>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Barometerstand (zonder correcties)</t>
  </si>
  <si>
    <t>Kwaliteitskenmerken</t>
  </si>
  <si>
    <t>Parameters</t>
  </si>
  <si>
    <t>Notatie</t>
  </si>
  <si>
    <t>Barometer</t>
  </si>
  <si>
    <t>Instrument</t>
  </si>
  <si>
    <t>Thermometer</t>
  </si>
  <si>
    <t>Regenmeter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</si>
</sst>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_0_0_0_0_0;\-0_0_0_0_0_0;&quot;∙&quot;_,_0_0_0_0_0;@_0_0_0_0_0"/>
    <numFmt numFmtId="167" formatCode="000"/>
    <numFmt numFmtId="168" formatCode="0_0_0_0_("/>
    <numFmt numFmtId="169" formatCode="00_0_0_0"/>
    <numFmt numFmtId="170" formatCode="0_0_0_0;\-0_0_0_0;0_0_0_0;@_0_0_0"/>
    <numFmt numFmtId="171" formatCode="0.0_,_0"/>
    <numFmt numFmtId="172" formatCode="0.0_,_0_0_0_0;\-0.0_,_0_0_0_0;&quot;∙&quot;_,_0_0_0_0_0;@_0_0_0_0_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4" borderId="5" xfId="0" applyNumberFormat="1" applyFill="1" applyBorder="1" applyProtection="1">
      <protection locked="0"/>
    </xf>
    <xf numFmtId="165" fontId="0" fillId="4" borderId="0" xfId="0" applyNumberFormat="1" applyFill="1" applyBorder="1" applyProtection="1">
      <protection locked="0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166" fontId="0" fillId="5" borderId="5" xfId="0" applyNumberFormat="1" applyFill="1" applyBorder="1" applyProtection="1">
      <protection locked="0"/>
    </xf>
    <xf numFmtId="166" fontId="0" fillId="5" borderId="0" xfId="0" applyNumberFormat="1" applyFill="1" applyBorder="1" applyProtection="1">
      <protection locked="0"/>
    </xf>
    <xf numFmtId="166" fontId="0" fillId="5" borderId="8" xfId="0" applyNumberFormat="1" applyFill="1" applyBorder="1" applyProtection="1">
      <protection locked="0"/>
    </xf>
    <xf numFmtId="166" fontId="0" fillId="5" borderId="5" xfId="0" applyNumberFormat="1" applyFill="1" applyBorder="1" applyAlignment="1" applyProtection="1">
      <protection locked="0"/>
    </xf>
    <xf numFmtId="165" fontId="0" fillId="3" borderId="5" xfId="0" applyNumberFormat="1" applyFill="1" applyBorder="1" applyAlignment="1" applyProtection="1">
      <alignment horizontal="right"/>
      <protection locked="0"/>
    </xf>
    <xf numFmtId="166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168" fontId="0" fillId="0" borderId="0" xfId="0" applyNumberFormat="1"/>
    <xf numFmtId="0" fontId="0" fillId="0" borderId="9" xfId="0" applyBorder="1"/>
    <xf numFmtId="168" fontId="0" fillId="0" borderId="9" xfId="0" applyNumberFormat="1" applyBorder="1"/>
    <xf numFmtId="167" fontId="0" fillId="0" borderId="9" xfId="0" applyNumberFormat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170" fontId="0" fillId="0" borderId="0" xfId="0" applyNumberFormat="1" applyAlignment="1">
      <alignment horizontal="right"/>
    </xf>
    <xf numFmtId="169" fontId="0" fillId="0" borderId="0" xfId="0" applyNumberFormat="1" applyAlignment="1"/>
    <xf numFmtId="0" fontId="5" fillId="0" borderId="0" xfId="0" applyFont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71" fontId="0" fillId="4" borderId="5" xfId="0" applyNumberFormat="1" applyFill="1" applyBorder="1"/>
    <xf numFmtId="171" fontId="0" fillId="4" borderId="0" xfId="0" applyNumberFormat="1" applyFill="1" applyBorder="1"/>
    <xf numFmtId="171" fontId="0" fillId="3" borderId="5" xfId="0" applyNumberFormat="1" applyFill="1" applyBorder="1"/>
    <xf numFmtId="171" fontId="0" fillId="3" borderId="0" xfId="0" applyNumberFormat="1" applyFill="1" applyBorder="1"/>
    <xf numFmtId="172" fontId="0" fillId="5" borderId="5" xfId="0" applyNumberFormat="1" applyFill="1" applyBorder="1"/>
    <xf numFmtId="172" fontId="0" fillId="5" borderId="0" xfId="0" applyNumberFormat="1" applyFill="1" applyBorder="1"/>
    <xf numFmtId="172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9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3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1" xfId="0" applyFont="1" applyBorder="1" applyAlignment="1">
      <alignment vertical="center"/>
    </xf>
    <xf numFmtId="0" fontId="1" fillId="0" borderId="1" xfId="0" applyFont="1" applyBorder="1" applyAlignment="1">
      <alignment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J381"/>
  <sheetViews>
    <sheetView tabSelected="1" workbookViewId="0">
      <pane xSplit="1" ySplit="4" topLeftCell="B224" activePane="bottomRight" state="frozen"/>
      <selection pane="topRight" activeCell="B1" sqref="B1"/>
      <selection pane="bottomLeft" activeCell="A5" sqref="A5"/>
      <selection pane="bottomRight" activeCell="I226" sqref="I226"/>
    </sheetView>
  </sheetViews>
  <sheetFormatPr defaultRowHeight="15" x14ac:dyDescent="0.25"/>
  <cols>
    <col min="1" max="1" width="10.140625" customWidth="1"/>
    <col min="8" max="10" width="14.28515625" customWidth="1"/>
  </cols>
  <sheetData>
    <row r="1" spans="1:10" ht="20.25" x14ac:dyDescent="0.3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</row>
    <row r="3" spans="1:10" x14ac:dyDescent="0.25">
      <c r="A3" s="44" t="s">
        <v>6</v>
      </c>
      <c r="B3" s="41" t="s">
        <v>8</v>
      </c>
      <c r="C3" s="42"/>
      <c r="D3" s="42"/>
      <c r="E3" s="41" t="s">
        <v>9</v>
      </c>
      <c r="F3" s="42"/>
      <c r="G3" s="42"/>
      <c r="H3" s="41" t="s">
        <v>10</v>
      </c>
      <c r="I3" s="42"/>
      <c r="J3" s="43"/>
    </row>
    <row r="4" spans="1:10" x14ac:dyDescent="0.25">
      <c r="A4" s="45"/>
      <c r="B4" s="2" t="s">
        <v>7</v>
      </c>
      <c r="C4" s="3" t="s">
        <v>1</v>
      </c>
      <c r="D4" s="3" t="s">
        <v>2</v>
      </c>
      <c r="E4" s="2" t="s">
        <v>7</v>
      </c>
      <c r="F4" s="3" t="s">
        <v>1</v>
      </c>
      <c r="G4" s="3" t="s">
        <v>2</v>
      </c>
      <c r="H4" s="2" t="s">
        <v>3</v>
      </c>
      <c r="I4" s="3" t="s">
        <v>4</v>
      </c>
      <c r="J4" s="4" t="s">
        <v>5</v>
      </c>
    </row>
    <row r="5" spans="1:10" x14ac:dyDescent="0.25">
      <c r="A5" s="1">
        <f ca="1">DATE(VALUE(MID(CELL("bestandsnaam"),FIND(".",CELL("bestandsnaam"))-4,4)),1,1)</f>
        <v>15707</v>
      </c>
      <c r="B5" s="5"/>
      <c r="C5" s="6"/>
      <c r="D5" s="6"/>
      <c r="E5" s="7"/>
      <c r="F5" s="8"/>
      <c r="G5" s="8"/>
      <c r="H5" s="9"/>
      <c r="I5" s="10"/>
      <c r="J5" s="11"/>
    </row>
    <row r="6" spans="1:10" x14ac:dyDescent="0.25">
      <c r="A6" s="1">
        <f ca="1">IF(ISTEXT(A5),A4+1,IF(MONTH(A5+1)=MONTH(A5),A5+1,"Totaal"))</f>
        <v>15708</v>
      </c>
      <c r="B6" s="5"/>
      <c r="C6" s="6"/>
      <c r="D6" s="6"/>
      <c r="E6" s="7"/>
      <c r="F6" s="8"/>
      <c r="G6" s="8"/>
      <c r="H6" s="12"/>
      <c r="I6" s="10"/>
      <c r="J6" s="11"/>
    </row>
    <row r="7" spans="1:10" x14ac:dyDescent="0.25">
      <c r="A7" s="1">
        <f t="shared" ref="A7:A70" ca="1" si="0">IF(ISTEXT(A6),A5+1,IF(MONTH(A6+1)=MONTH(A6),A6+1,"Totaal"))</f>
        <v>15709</v>
      </c>
      <c r="B7" s="5"/>
      <c r="C7" s="6"/>
      <c r="D7" s="6"/>
      <c r="E7" s="13"/>
      <c r="F7" s="8"/>
      <c r="G7" s="8"/>
      <c r="H7" s="14"/>
      <c r="I7" s="10"/>
      <c r="J7" s="11"/>
    </row>
    <row r="8" spans="1:10" x14ac:dyDescent="0.25">
      <c r="A8" s="1">
        <f t="shared" ca="1" si="0"/>
        <v>15710</v>
      </c>
      <c r="B8" s="5"/>
      <c r="C8" s="6"/>
      <c r="D8" s="6"/>
      <c r="E8" s="7"/>
      <c r="F8" s="8"/>
      <c r="G8" s="8"/>
      <c r="H8" s="9"/>
      <c r="I8" s="10"/>
      <c r="J8" s="11"/>
    </row>
    <row r="9" spans="1:10" x14ac:dyDescent="0.25">
      <c r="A9" s="1">
        <f t="shared" ca="1" si="0"/>
        <v>15711</v>
      </c>
      <c r="B9" s="5"/>
      <c r="C9" s="6"/>
      <c r="D9" s="6"/>
      <c r="E9" s="7"/>
      <c r="F9" s="8"/>
      <c r="G9" s="8"/>
      <c r="H9" s="9"/>
      <c r="I9" s="10"/>
      <c r="J9" s="11"/>
    </row>
    <row r="10" spans="1:10" x14ac:dyDescent="0.25">
      <c r="A10" s="1">
        <f t="shared" ca="1" si="0"/>
        <v>15712</v>
      </c>
      <c r="B10" s="5"/>
      <c r="C10" s="6"/>
      <c r="D10" s="6"/>
      <c r="E10" s="7"/>
      <c r="F10" s="8"/>
      <c r="G10" s="8"/>
      <c r="H10" s="9"/>
      <c r="I10" s="10"/>
      <c r="J10" s="11"/>
    </row>
    <row r="11" spans="1:10" x14ac:dyDescent="0.25">
      <c r="A11" s="1">
        <f t="shared" ca="1" si="0"/>
        <v>15713</v>
      </c>
      <c r="B11" s="5"/>
      <c r="C11" s="6"/>
      <c r="D11" s="6"/>
      <c r="E11" s="7"/>
      <c r="F11" s="8"/>
      <c r="G11" s="8"/>
      <c r="H11" s="9"/>
      <c r="I11" s="10"/>
      <c r="J11" s="11"/>
    </row>
    <row r="12" spans="1:10" x14ac:dyDescent="0.25">
      <c r="A12" s="1">
        <f t="shared" ca="1" si="0"/>
        <v>15714</v>
      </c>
      <c r="B12" s="5"/>
      <c r="C12" s="6"/>
      <c r="D12" s="6"/>
      <c r="E12" s="7"/>
      <c r="F12" s="8"/>
      <c r="G12" s="8"/>
      <c r="H12" s="9"/>
      <c r="I12" s="10"/>
      <c r="J12" s="11"/>
    </row>
    <row r="13" spans="1:10" x14ac:dyDescent="0.25">
      <c r="A13" s="1">
        <f t="shared" ca="1" si="0"/>
        <v>15715</v>
      </c>
      <c r="B13" s="5"/>
      <c r="C13" s="6"/>
      <c r="D13" s="6"/>
      <c r="E13" s="7"/>
      <c r="F13" s="8"/>
      <c r="G13" s="8"/>
      <c r="H13" s="9"/>
      <c r="I13" s="10"/>
      <c r="J13" s="11"/>
    </row>
    <row r="14" spans="1:10" x14ac:dyDescent="0.25">
      <c r="A14" s="1">
        <f t="shared" ca="1" si="0"/>
        <v>15716</v>
      </c>
      <c r="B14" s="5"/>
      <c r="C14" s="6"/>
      <c r="D14" s="6"/>
      <c r="E14" s="7"/>
      <c r="F14" s="8"/>
      <c r="G14" s="8"/>
      <c r="H14" s="9"/>
      <c r="I14" s="10"/>
      <c r="J14" s="11"/>
    </row>
    <row r="15" spans="1:10" x14ac:dyDescent="0.25">
      <c r="A15" s="1">
        <f t="shared" ca="1" si="0"/>
        <v>15717</v>
      </c>
      <c r="B15" s="5"/>
      <c r="C15" s="6"/>
      <c r="D15" s="6"/>
      <c r="E15" s="7"/>
      <c r="F15" s="8"/>
      <c r="G15" s="8"/>
      <c r="H15" s="9"/>
      <c r="I15" s="10"/>
      <c r="J15" s="11"/>
    </row>
    <row r="16" spans="1:10" x14ac:dyDescent="0.25">
      <c r="A16" s="1">
        <f t="shared" ca="1" si="0"/>
        <v>15718</v>
      </c>
      <c r="B16" s="5"/>
      <c r="C16" s="6"/>
      <c r="D16" s="6"/>
      <c r="E16" s="7"/>
      <c r="F16" s="8"/>
      <c r="G16" s="8"/>
      <c r="H16" s="9"/>
      <c r="I16" s="10"/>
      <c r="J16" s="11"/>
    </row>
    <row r="17" spans="1:10" x14ac:dyDescent="0.25">
      <c r="A17" s="1">
        <f t="shared" ca="1" si="0"/>
        <v>15719</v>
      </c>
      <c r="B17" s="5"/>
      <c r="C17" s="6"/>
      <c r="D17" s="6"/>
      <c r="E17" s="7"/>
      <c r="F17" s="8"/>
      <c r="G17" s="8"/>
      <c r="H17" s="9"/>
      <c r="I17" s="10"/>
      <c r="J17" s="11"/>
    </row>
    <row r="18" spans="1:10" x14ac:dyDescent="0.25">
      <c r="A18" s="1">
        <f t="shared" ca="1" si="0"/>
        <v>15720</v>
      </c>
      <c r="B18" s="5"/>
      <c r="C18" s="6"/>
      <c r="D18" s="6"/>
      <c r="E18" s="7"/>
      <c r="F18" s="8"/>
      <c r="G18" s="8"/>
      <c r="H18" s="9"/>
      <c r="I18" s="10"/>
      <c r="J18" s="11"/>
    </row>
    <row r="19" spans="1:10" x14ac:dyDescent="0.25">
      <c r="A19" s="1">
        <f t="shared" ca="1" si="0"/>
        <v>15721</v>
      </c>
      <c r="B19" s="5"/>
      <c r="C19" s="6"/>
      <c r="D19" s="6"/>
      <c r="E19" s="7"/>
      <c r="F19" s="8"/>
      <c r="G19" s="8"/>
      <c r="H19" s="9"/>
      <c r="I19" s="10"/>
      <c r="J19" s="11"/>
    </row>
    <row r="20" spans="1:10" x14ac:dyDescent="0.25">
      <c r="A20" s="1">
        <f t="shared" ca="1" si="0"/>
        <v>15722</v>
      </c>
      <c r="B20" s="5"/>
      <c r="C20" s="6"/>
      <c r="D20" s="6"/>
      <c r="E20" s="7"/>
      <c r="F20" s="8"/>
      <c r="G20" s="8"/>
      <c r="H20" s="9"/>
      <c r="I20" s="10"/>
      <c r="J20" s="11"/>
    </row>
    <row r="21" spans="1:10" x14ac:dyDescent="0.25">
      <c r="A21" s="1">
        <f t="shared" ca="1" si="0"/>
        <v>15723</v>
      </c>
      <c r="B21" s="5"/>
      <c r="C21" s="6"/>
      <c r="D21" s="6"/>
      <c r="E21" s="7"/>
      <c r="F21" s="8"/>
      <c r="G21" s="8"/>
      <c r="H21" s="9"/>
      <c r="I21" s="10"/>
      <c r="J21" s="11"/>
    </row>
    <row r="22" spans="1:10" x14ac:dyDescent="0.25">
      <c r="A22" s="1">
        <f t="shared" ca="1" si="0"/>
        <v>15724</v>
      </c>
      <c r="B22" s="5"/>
      <c r="C22" s="6"/>
      <c r="D22" s="6"/>
      <c r="E22" s="7"/>
      <c r="F22" s="8"/>
      <c r="G22" s="8"/>
      <c r="H22" s="9"/>
      <c r="I22" s="10"/>
      <c r="J22" s="11"/>
    </row>
    <row r="23" spans="1:10" x14ac:dyDescent="0.25">
      <c r="A23" s="1">
        <f t="shared" ca="1" si="0"/>
        <v>15725</v>
      </c>
      <c r="B23" s="5"/>
      <c r="C23" s="6"/>
      <c r="D23" s="6"/>
      <c r="E23" s="7"/>
      <c r="F23" s="8"/>
      <c r="G23" s="8"/>
      <c r="H23" s="9"/>
      <c r="I23" s="10"/>
      <c r="J23" s="11"/>
    </row>
    <row r="24" spans="1:10" x14ac:dyDescent="0.25">
      <c r="A24" s="1">
        <f t="shared" ca="1" si="0"/>
        <v>15726</v>
      </c>
      <c r="B24" s="5"/>
      <c r="C24" s="6"/>
      <c r="D24" s="6"/>
      <c r="E24" s="7"/>
      <c r="F24" s="8"/>
      <c r="G24" s="8"/>
      <c r="H24" s="9"/>
      <c r="I24" s="10"/>
      <c r="J24" s="11"/>
    </row>
    <row r="25" spans="1:10" x14ac:dyDescent="0.25">
      <c r="A25" s="1">
        <f t="shared" ca="1" si="0"/>
        <v>15727</v>
      </c>
      <c r="B25" s="5"/>
      <c r="C25" s="6"/>
      <c r="D25" s="6"/>
      <c r="E25" s="7"/>
      <c r="F25" s="8"/>
      <c r="G25" s="8"/>
      <c r="H25" s="9"/>
      <c r="I25" s="10"/>
      <c r="J25" s="11"/>
    </row>
    <row r="26" spans="1:10" x14ac:dyDescent="0.25">
      <c r="A26" s="1">
        <f t="shared" ca="1" si="0"/>
        <v>15728</v>
      </c>
      <c r="B26" s="5"/>
      <c r="C26" s="6"/>
      <c r="D26" s="6"/>
      <c r="E26" s="7"/>
      <c r="F26" s="8"/>
      <c r="G26" s="8"/>
      <c r="H26" s="9"/>
      <c r="I26" s="10"/>
      <c r="J26" s="11"/>
    </row>
    <row r="27" spans="1:10" x14ac:dyDescent="0.25">
      <c r="A27" s="1">
        <f t="shared" ca="1" si="0"/>
        <v>15729</v>
      </c>
      <c r="B27" s="5"/>
      <c r="C27" s="6"/>
      <c r="D27" s="6"/>
      <c r="E27" s="7"/>
      <c r="F27" s="8"/>
      <c r="G27" s="8"/>
      <c r="H27" s="9"/>
      <c r="I27" s="10"/>
      <c r="J27" s="11"/>
    </row>
    <row r="28" spans="1:10" x14ac:dyDescent="0.25">
      <c r="A28" s="1">
        <f t="shared" ca="1" si="0"/>
        <v>15730</v>
      </c>
      <c r="B28" s="5"/>
      <c r="C28" s="6"/>
      <c r="D28" s="6"/>
      <c r="E28" s="7"/>
      <c r="F28" s="8"/>
      <c r="G28" s="8"/>
      <c r="H28" s="9"/>
      <c r="I28" s="10"/>
      <c r="J28" s="11"/>
    </row>
    <row r="29" spans="1:10" x14ac:dyDescent="0.25">
      <c r="A29" s="1">
        <f t="shared" ca="1" si="0"/>
        <v>15731</v>
      </c>
      <c r="B29" s="5"/>
      <c r="C29" s="6"/>
      <c r="D29" s="6"/>
      <c r="E29" s="7"/>
      <c r="F29" s="8"/>
      <c r="G29" s="8"/>
      <c r="H29" s="9"/>
      <c r="I29" s="10"/>
      <c r="J29" s="11"/>
    </row>
    <row r="30" spans="1:10" x14ac:dyDescent="0.25">
      <c r="A30" s="1">
        <f t="shared" ca="1" si="0"/>
        <v>15732</v>
      </c>
      <c r="B30" s="5"/>
      <c r="C30" s="6"/>
      <c r="D30" s="6"/>
      <c r="E30" s="7"/>
      <c r="F30" s="8"/>
      <c r="G30" s="8"/>
      <c r="H30" s="9"/>
      <c r="I30" s="10"/>
      <c r="J30" s="11"/>
    </row>
    <row r="31" spans="1:10" x14ac:dyDescent="0.25">
      <c r="A31" s="1">
        <f t="shared" ca="1" si="0"/>
        <v>15733</v>
      </c>
      <c r="B31" s="5"/>
      <c r="C31" s="6"/>
      <c r="D31" s="6"/>
      <c r="E31" s="7"/>
      <c r="F31" s="8"/>
      <c r="G31" s="8"/>
      <c r="H31" s="9"/>
      <c r="I31" s="10"/>
      <c r="J31" s="11"/>
    </row>
    <row r="32" spans="1:10" x14ac:dyDescent="0.25">
      <c r="A32" s="1">
        <f t="shared" ca="1" si="0"/>
        <v>15734</v>
      </c>
      <c r="B32" s="5"/>
      <c r="C32" s="6"/>
      <c r="D32" s="6"/>
      <c r="E32" s="7"/>
      <c r="F32" s="8"/>
      <c r="G32" s="8"/>
      <c r="H32" s="9"/>
      <c r="I32" s="10"/>
      <c r="J32" s="11"/>
    </row>
    <row r="33" spans="1:10" x14ac:dyDescent="0.25">
      <c r="A33" s="1">
        <f t="shared" ca="1" si="0"/>
        <v>15735</v>
      </c>
      <c r="B33" s="5"/>
      <c r="C33" s="6"/>
      <c r="D33" s="6"/>
      <c r="E33" s="7"/>
      <c r="F33" s="8"/>
      <c r="G33" s="8"/>
      <c r="H33" s="9"/>
      <c r="I33" s="10"/>
      <c r="J33" s="11"/>
    </row>
    <row r="34" spans="1:10" x14ac:dyDescent="0.25">
      <c r="A34" s="1">
        <f t="shared" ca="1" si="0"/>
        <v>15736</v>
      </c>
      <c r="B34" s="5"/>
      <c r="C34" s="6"/>
      <c r="D34" s="6"/>
      <c r="E34" s="7"/>
      <c r="F34" s="8"/>
      <c r="G34" s="8"/>
      <c r="H34" s="9"/>
      <c r="I34" s="10"/>
      <c r="J34" s="11"/>
    </row>
    <row r="35" spans="1:10" x14ac:dyDescent="0.25">
      <c r="A35" s="1">
        <f t="shared" ca="1" si="0"/>
        <v>15737</v>
      </c>
      <c r="B35" s="5"/>
      <c r="C35" s="6"/>
      <c r="D35" s="6"/>
      <c r="E35" s="7"/>
      <c r="F35" s="8"/>
      <c r="G35" s="8"/>
      <c r="H35" s="9"/>
      <c r="I35" s="10"/>
      <c r="J35" s="11"/>
    </row>
    <row r="36" spans="1:10" x14ac:dyDescent="0.25">
      <c r="A36" s="1" t="str">
        <f t="shared" ca="1" si="0"/>
        <v>Totaal</v>
      </c>
      <c r="B36" s="28" t="str">
        <f>IF(COUNT(B5:B35)&gt;0,AVERAGE(B5:B35),"")</f>
        <v/>
      </c>
      <c r="C36" s="29" t="str">
        <f t="shared" ref="C36:G36" si="1">IF(COUNT(C5:C35)&gt;0,AVERAGE(C5:C35),"")</f>
        <v/>
      </c>
      <c r="D36" s="29" t="str">
        <f t="shared" si="1"/>
        <v/>
      </c>
      <c r="E36" s="30" t="str">
        <f t="shared" si="1"/>
        <v/>
      </c>
      <c r="F36" s="31" t="str">
        <f t="shared" si="1"/>
        <v/>
      </c>
      <c r="G36" s="31" t="str">
        <f t="shared" si="1"/>
        <v/>
      </c>
      <c r="H36" s="32">
        <f>SUM(H5:H35)/10</f>
        <v>0</v>
      </c>
      <c r="I36" s="33">
        <f>SUM(I5:I35)/10</f>
        <v>0</v>
      </c>
      <c r="J36" s="34">
        <f>SUM(J5:J35)/10</f>
        <v>0</v>
      </c>
    </row>
    <row r="37" spans="1:10" x14ac:dyDescent="0.25">
      <c r="A37" s="1">
        <f t="shared" ca="1" si="0"/>
        <v>15738</v>
      </c>
      <c r="B37" s="5"/>
      <c r="C37" s="6"/>
      <c r="D37" s="6"/>
      <c r="E37" s="7"/>
      <c r="F37" s="8"/>
      <c r="G37" s="8"/>
      <c r="H37" s="9"/>
      <c r="I37" s="10"/>
      <c r="J37" s="11"/>
    </row>
    <row r="38" spans="1:10" x14ac:dyDescent="0.25">
      <c r="A38" s="1">
        <f t="shared" ca="1" si="0"/>
        <v>15739</v>
      </c>
      <c r="B38" s="5"/>
      <c r="C38" s="6"/>
      <c r="D38" s="6"/>
      <c r="E38" s="7"/>
      <c r="F38" s="8"/>
      <c r="G38" s="8"/>
      <c r="H38" s="9"/>
      <c r="I38" s="10"/>
      <c r="J38" s="11"/>
    </row>
    <row r="39" spans="1:10" x14ac:dyDescent="0.25">
      <c r="A39" s="1">
        <f t="shared" ca="1" si="0"/>
        <v>15740</v>
      </c>
      <c r="B39" s="5"/>
      <c r="C39" s="6"/>
      <c r="D39" s="6"/>
      <c r="E39" s="7"/>
      <c r="F39" s="8"/>
      <c r="G39" s="8"/>
      <c r="H39" s="9"/>
      <c r="I39" s="10"/>
      <c r="J39" s="11"/>
    </row>
    <row r="40" spans="1:10" x14ac:dyDescent="0.25">
      <c r="A40" s="1">
        <f t="shared" ca="1" si="0"/>
        <v>15741</v>
      </c>
      <c r="B40" s="5"/>
      <c r="C40" s="6"/>
      <c r="D40" s="6"/>
      <c r="E40" s="7"/>
      <c r="F40" s="8"/>
      <c r="G40" s="8"/>
      <c r="H40" s="9"/>
      <c r="I40" s="10"/>
      <c r="J40" s="11"/>
    </row>
    <row r="41" spans="1:10" x14ac:dyDescent="0.25">
      <c r="A41" s="1">
        <f t="shared" ca="1" si="0"/>
        <v>15742</v>
      </c>
      <c r="B41" s="5"/>
      <c r="C41" s="6"/>
      <c r="D41" s="6"/>
      <c r="E41" s="7"/>
      <c r="F41" s="8"/>
      <c r="G41" s="8"/>
      <c r="H41" s="9"/>
      <c r="I41" s="10"/>
      <c r="J41" s="11"/>
    </row>
    <row r="42" spans="1:10" x14ac:dyDescent="0.25">
      <c r="A42" s="1">
        <f t="shared" ca="1" si="0"/>
        <v>15743</v>
      </c>
      <c r="B42" s="5"/>
      <c r="C42" s="6"/>
      <c r="D42" s="6"/>
      <c r="E42" s="7"/>
      <c r="F42" s="8"/>
      <c r="G42" s="8"/>
      <c r="H42" s="9"/>
      <c r="I42" s="10"/>
      <c r="J42" s="11"/>
    </row>
    <row r="43" spans="1:10" x14ac:dyDescent="0.25">
      <c r="A43" s="1">
        <f t="shared" ca="1" si="0"/>
        <v>15744</v>
      </c>
      <c r="B43" s="5"/>
      <c r="C43" s="6"/>
      <c r="D43" s="6"/>
      <c r="E43" s="7"/>
      <c r="F43" s="8"/>
      <c r="G43" s="8"/>
      <c r="H43" s="9"/>
      <c r="I43" s="10"/>
      <c r="J43" s="11"/>
    </row>
    <row r="44" spans="1:10" x14ac:dyDescent="0.25">
      <c r="A44" s="1">
        <f t="shared" ca="1" si="0"/>
        <v>15745</v>
      </c>
      <c r="B44" s="5"/>
      <c r="C44" s="6"/>
      <c r="D44" s="6"/>
      <c r="E44" s="7"/>
      <c r="F44" s="8"/>
      <c r="G44" s="8"/>
      <c r="H44" s="9"/>
      <c r="I44" s="10"/>
      <c r="J44" s="11"/>
    </row>
    <row r="45" spans="1:10" x14ac:dyDescent="0.25">
      <c r="A45" s="1">
        <f t="shared" ca="1" si="0"/>
        <v>15746</v>
      </c>
      <c r="B45" s="5"/>
      <c r="C45" s="6"/>
      <c r="D45" s="6"/>
      <c r="E45" s="7"/>
      <c r="F45" s="8"/>
      <c r="G45" s="8"/>
      <c r="H45" s="9"/>
      <c r="I45" s="10"/>
      <c r="J45" s="11"/>
    </row>
    <row r="46" spans="1:10" x14ac:dyDescent="0.25">
      <c r="A46" s="1">
        <f t="shared" ca="1" si="0"/>
        <v>15747</v>
      </c>
      <c r="B46" s="5"/>
      <c r="C46" s="6"/>
      <c r="D46" s="6"/>
      <c r="E46" s="7"/>
      <c r="F46" s="8"/>
      <c r="G46" s="8"/>
      <c r="H46" s="9"/>
      <c r="I46" s="10"/>
      <c r="J46" s="11"/>
    </row>
    <row r="47" spans="1:10" x14ac:dyDescent="0.25">
      <c r="A47" s="1">
        <f t="shared" ca="1" si="0"/>
        <v>15748</v>
      </c>
      <c r="B47" s="5"/>
      <c r="C47" s="6"/>
      <c r="D47" s="6"/>
      <c r="E47" s="7"/>
      <c r="F47" s="8"/>
      <c r="G47" s="8"/>
      <c r="H47" s="9"/>
      <c r="I47" s="10"/>
      <c r="J47" s="11"/>
    </row>
    <row r="48" spans="1:10" x14ac:dyDescent="0.25">
      <c r="A48" s="1">
        <f t="shared" ca="1" si="0"/>
        <v>15749</v>
      </c>
      <c r="B48" s="5"/>
      <c r="C48" s="6"/>
      <c r="D48" s="6"/>
      <c r="E48" s="7"/>
      <c r="F48" s="8"/>
      <c r="G48" s="8"/>
      <c r="H48" s="9"/>
      <c r="I48" s="10"/>
      <c r="J48" s="11"/>
    </row>
    <row r="49" spans="1:10" x14ac:dyDescent="0.25">
      <c r="A49" s="1">
        <f t="shared" ca="1" si="0"/>
        <v>15750</v>
      </c>
      <c r="B49" s="5"/>
      <c r="C49" s="6"/>
      <c r="D49" s="6"/>
      <c r="E49" s="7"/>
      <c r="F49" s="8"/>
      <c r="G49" s="8"/>
      <c r="H49" s="9"/>
      <c r="I49" s="10"/>
      <c r="J49" s="11"/>
    </row>
    <row r="50" spans="1:10" x14ac:dyDescent="0.25">
      <c r="A50" s="1">
        <f t="shared" ca="1" si="0"/>
        <v>15751</v>
      </c>
      <c r="B50" s="5"/>
      <c r="C50" s="6"/>
      <c r="D50" s="6"/>
      <c r="E50" s="7"/>
      <c r="F50" s="8"/>
      <c r="G50" s="8"/>
      <c r="H50" s="9"/>
      <c r="I50" s="10"/>
      <c r="J50" s="11"/>
    </row>
    <row r="51" spans="1:10" x14ac:dyDescent="0.25">
      <c r="A51" s="1">
        <f t="shared" ca="1" si="0"/>
        <v>15752</v>
      </c>
      <c r="B51" s="5"/>
      <c r="C51" s="6"/>
      <c r="D51" s="6"/>
      <c r="E51" s="7"/>
      <c r="F51" s="8"/>
      <c r="G51" s="8"/>
      <c r="H51" s="9"/>
      <c r="I51" s="10"/>
      <c r="J51" s="11"/>
    </row>
    <row r="52" spans="1:10" x14ac:dyDescent="0.25">
      <c r="A52" s="1">
        <f t="shared" ca="1" si="0"/>
        <v>15753</v>
      </c>
      <c r="B52" s="5"/>
      <c r="C52" s="6"/>
      <c r="D52" s="6"/>
      <c r="E52" s="7"/>
      <c r="F52" s="8"/>
      <c r="G52" s="8"/>
      <c r="H52" s="9"/>
      <c r="I52" s="10"/>
      <c r="J52" s="11"/>
    </row>
    <row r="53" spans="1:10" x14ac:dyDescent="0.25">
      <c r="A53" s="1">
        <f t="shared" ca="1" si="0"/>
        <v>15754</v>
      </c>
      <c r="B53" s="5"/>
      <c r="C53" s="6"/>
      <c r="D53" s="6"/>
      <c r="E53" s="7"/>
      <c r="F53" s="8"/>
      <c r="G53" s="8"/>
      <c r="H53" s="9"/>
      <c r="I53" s="10"/>
      <c r="J53" s="11"/>
    </row>
    <row r="54" spans="1:10" x14ac:dyDescent="0.25">
      <c r="A54" s="1">
        <f t="shared" ca="1" si="0"/>
        <v>15755</v>
      </c>
      <c r="B54" s="5"/>
      <c r="C54" s="6"/>
      <c r="D54" s="6"/>
      <c r="E54" s="7"/>
      <c r="F54" s="8"/>
      <c r="G54" s="8"/>
      <c r="H54" s="9"/>
      <c r="I54" s="10"/>
      <c r="J54" s="11"/>
    </row>
    <row r="55" spans="1:10" x14ac:dyDescent="0.25">
      <c r="A55" s="1">
        <f t="shared" ca="1" si="0"/>
        <v>15756</v>
      </c>
      <c r="B55" s="5"/>
      <c r="C55" s="6"/>
      <c r="D55" s="6"/>
      <c r="E55" s="7"/>
      <c r="F55" s="8"/>
      <c r="G55" s="8"/>
      <c r="H55" s="9"/>
      <c r="I55" s="10"/>
      <c r="J55" s="11"/>
    </row>
    <row r="56" spans="1:10" x14ac:dyDescent="0.25">
      <c r="A56" s="1">
        <f t="shared" ca="1" si="0"/>
        <v>15757</v>
      </c>
      <c r="B56" s="5"/>
      <c r="C56" s="6"/>
      <c r="D56" s="6"/>
      <c r="E56" s="7"/>
      <c r="F56" s="8"/>
      <c r="G56" s="8"/>
      <c r="H56" s="9"/>
      <c r="I56" s="10"/>
      <c r="J56" s="11"/>
    </row>
    <row r="57" spans="1:10" x14ac:dyDescent="0.25">
      <c r="A57" s="1">
        <f t="shared" ca="1" si="0"/>
        <v>15758</v>
      </c>
      <c r="B57" s="5"/>
      <c r="C57" s="6"/>
      <c r="D57" s="6"/>
      <c r="E57" s="7"/>
      <c r="F57" s="8"/>
      <c r="G57" s="8"/>
      <c r="H57" s="9"/>
      <c r="I57" s="10"/>
      <c r="J57" s="11"/>
    </row>
    <row r="58" spans="1:10" x14ac:dyDescent="0.25">
      <c r="A58" s="1">
        <f t="shared" ca="1" si="0"/>
        <v>15759</v>
      </c>
      <c r="B58" s="5"/>
      <c r="C58" s="6"/>
      <c r="D58" s="6"/>
      <c r="E58" s="7"/>
      <c r="F58" s="8"/>
      <c r="G58" s="8"/>
      <c r="H58" s="9"/>
      <c r="I58" s="10"/>
      <c r="J58" s="11"/>
    </row>
    <row r="59" spans="1:10" x14ac:dyDescent="0.25">
      <c r="A59" s="1">
        <f t="shared" ca="1" si="0"/>
        <v>15760</v>
      </c>
      <c r="B59" s="5"/>
      <c r="C59" s="6"/>
      <c r="D59" s="6"/>
      <c r="E59" s="7"/>
      <c r="F59" s="8"/>
      <c r="G59" s="8"/>
      <c r="H59" s="9"/>
      <c r="I59" s="10"/>
      <c r="J59" s="11"/>
    </row>
    <row r="60" spans="1:10" x14ac:dyDescent="0.25">
      <c r="A60" s="1">
        <f t="shared" ca="1" si="0"/>
        <v>15761</v>
      </c>
      <c r="B60" s="5"/>
      <c r="C60" s="6"/>
      <c r="D60" s="6"/>
      <c r="E60" s="7"/>
      <c r="F60" s="8"/>
      <c r="G60" s="8"/>
      <c r="H60" s="9"/>
      <c r="I60" s="10"/>
      <c r="J60" s="11"/>
    </row>
    <row r="61" spans="1:10" x14ac:dyDescent="0.25">
      <c r="A61" s="1">
        <f t="shared" ca="1" si="0"/>
        <v>15762</v>
      </c>
      <c r="B61" s="5"/>
      <c r="C61" s="6"/>
      <c r="D61" s="6"/>
      <c r="E61" s="7"/>
      <c r="F61" s="8"/>
      <c r="G61" s="8"/>
      <c r="H61" s="9"/>
      <c r="I61" s="10"/>
      <c r="J61" s="11"/>
    </row>
    <row r="62" spans="1:10" x14ac:dyDescent="0.25">
      <c r="A62" s="1">
        <f t="shared" ca="1" si="0"/>
        <v>15763</v>
      </c>
      <c r="B62" s="5"/>
      <c r="C62" s="6"/>
      <c r="D62" s="6"/>
      <c r="E62" s="7"/>
      <c r="F62" s="8"/>
      <c r="G62" s="8"/>
      <c r="H62" s="9"/>
      <c r="I62" s="10"/>
      <c r="J62" s="11"/>
    </row>
    <row r="63" spans="1:10" x14ac:dyDescent="0.25">
      <c r="A63" s="1">
        <f t="shared" ca="1" si="0"/>
        <v>15764</v>
      </c>
      <c r="B63" s="5"/>
      <c r="C63" s="6"/>
      <c r="D63" s="6"/>
      <c r="E63" s="7"/>
      <c r="F63" s="8"/>
      <c r="G63" s="8"/>
      <c r="H63" s="9"/>
      <c r="I63" s="10"/>
      <c r="J63" s="11"/>
    </row>
    <row r="64" spans="1:10" x14ac:dyDescent="0.25">
      <c r="A64" s="1">
        <f t="shared" ca="1" si="0"/>
        <v>15765</v>
      </c>
      <c r="B64" s="5"/>
      <c r="C64" s="6"/>
      <c r="D64" s="6"/>
      <c r="E64" s="7"/>
      <c r="F64" s="8"/>
      <c r="G64" s="8"/>
      <c r="H64" s="9"/>
      <c r="I64" s="10"/>
      <c r="J64" s="11"/>
    </row>
    <row r="65" spans="1:10" x14ac:dyDescent="0.25">
      <c r="A65" s="1" t="str">
        <f t="shared" ca="1" si="0"/>
        <v>Totaal</v>
      </c>
      <c r="B65" s="28" t="str">
        <f t="shared" ref="B65:G65" si="2">IF(COUNT(B37:B64)&gt;0,AVERAGE(B37:B64),"")</f>
        <v/>
      </c>
      <c r="C65" s="29" t="str">
        <f t="shared" si="2"/>
        <v/>
      </c>
      <c r="D65" s="29" t="str">
        <f t="shared" si="2"/>
        <v/>
      </c>
      <c r="E65" s="30" t="str">
        <f t="shared" si="2"/>
        <v/>
      </c>
      <c r="F65" s="31" t="str">
        <f t="shared" si="2"/>
        <v/>
      </c>
      <c r="G65" s="31" t="str">
        <f t="shared" si="2"/>
        <v/>
      </c>
      <c r="H65" s="32">
        <f>SUM(H37:H64)/10</f>
        <v>0</v>
      </c>
      <c r="I65" s="33">
        <f>SUM(I37:I64)/10</f>
        <v>0</v>
      </c>
      <c r="J65" s="34">
        <f>SUM(J37:J64)/10</f>
        <v>0</v>
      </c>
    </row>
    <row r="66" spans="1:10" x14ac:dyDescent="0.25">
      <c r="A66" s="1">
        <f t="shared" ca="1" si="0"/>
        <v>15766</v>
      </c>
      <c r="B66" s="5"/>
      <c r="C66" s="6"/>
      <c r="D66" s="6"/>
      <c r="E66" s="7"/>
      <c r="F66" s="8"/>
      <c r="G66" s="8"/>
      <c r="H66" s="9"/>
      <c r="I66" s="10"/>
      <c r="J66" s="11"/>
    </row>
    <row r="67" spans="1:10" x14ac:dyDescent="0.25">
      <c r="A67" s="1">
        <f t="shared" ca="1" si="0"/>
        <v>15767</v>
      </c>
      <c r="B67" s="5"/>
      <c r="C67" s="6"/>
      <c r="D67" s="6"/>
      <c r="E67" s="7"/>
      <c r="F67" s="8"/>
      <c r="G67" s="8"/>
      <c r="H67" s="9"/>
      <c r="I67" s="10"/>
      <c r="J67" s="11"/>
    </row>
    <row r="68" spans="1:10" x14ac:dyDescent="0.25">
      <c r="A68" s="1">
        <f t="shared" ca="1" si="0"/>
        <v>15768</v>
      </c>
      <c r="B68" s="5"/>
      <c r="C68" s="6"/>
      <c r="D68" s="6"/>
      <c r="E68" s="7"/>
      <c r="F68" s="8"/>
      <c r="G68" s="8"/>
      <c r="H68" s="9"/>
      <c r="I68" s="10"/>
      <c r="J68" s="11"/>
    </row>
    <row r="69" spans="1:10" x14ac:dyDescent="0.25">
      <c r="A69" s="1">
        <f t="shared" ca="1" si="0"/>
        <v>15769</v>
      </c>
      <c r="B69" s="5"/>
      <c r="C69" s="6"/>
      <c r="D69" s="6"/>
      <c r="E69" s="7"/>
      <c r="F69" s="8"/>
      <c r="G69" s="8"/>
      <c r="H69" s="9"/>
      <c r="I69" s="10"/>
      <c r="J69" s="11"/>
    </row>
    <row r="70" spans="1:10" x14ac:dyDescent="0.25">
      <c r="A70" s="1">
        <f t="shared" ca="1" si="0"/>
        <v>15770</v>
      </c>
      <c r="B70" s="5"/>
      <c r="C70" s="6"/>
      <c r="D70" s="6"/>
      <c r="E70" s="7"/>
      <c r="F70" s="8"/>
      <c r="G70" s="8"/>
      <c r="H70" s="9"/>
      <c r="I70" s="10"/>
      <c r="J70" s="11"/>
    </row>
    <row r="71" spans="1:10" x14ac:dyDescent="0.25">
      <c r="A71" s="1">
        <f t="shared" ref="A71:A134" ca="1" si="3">IF(ISTEXT(A70),A69+1,IF(MONTH(A70+1)=MONTH(A70),A70+1,"Totaal"))</f>
        <v>15771</v>
      </c>
      <c r="B71" s="5"/>
      <c r="C71" s="6"/>
      <c r="D71" s="6"/>
      <c r="E71" s="7"/>
      <c r="F71" s="8"/>
      <c r="G71" s="8"/>
      <c r="H71" s="9"/>
      <c r="I71" s="10"/>
      <c r="J71" s="11"/>
    </row>
    <row r="72" spans="1:10" x14ac:dyDescent="0.25">
      <c r="A72" s="1">
        <f t="shared" ca="1" si="3"/>
        <v>15772</v>
      </c>
      <c r="B72" s="5"/>
      <c r="C72" s="6"/>
      <c r="D72" s="6"/>
      <c r="E72" s="7"/>
      <c r="F72" s="8"/>
      <c r="G72" s="8"/>
      <c r="H72" s="9"/>
      <c r="I72" s="10"/>
      <c r="J72" s="11"/>
    </row>
    <row r="73" spans="1:10" x14ac:dyDescent="0.25">
      <c r="A73" s="1">
        <f t="shared" ca="1" si="3"/>
        <v>15773</v>
      </c>
      <c r="B73" s="5"/>
      <c r="C73" s="6"/>
      <c r="D73" s="6"/>
      <c r="E73" s="7"/>
      <c r="F73" s="8"/>
      <c r="G73" s="8"/>
      <c r="H73" s="9"/>
      <c r="I73" s="10"/>
      <c r="J73" s="11"/>
    </row>
    <row r="74" spans="1:10" x14ac:dyDescent="0.25">
      <c r="A74" s="1">
        <f t="shared" ca="1" si="3"/>
        <v>15774</v>
      </c>
      <c r="B74" s="5"/>
      <c r="C74" s="6"/>
      <c r="D74" s="6"/>
      <c r="E74" s="7"/>
      <c r="F74" s="8"/>
      <c r="G74" s="8"/>
      <c r="H74" s="9"/>
      <c r="I74" s="10"/>
      <c r="J74" s="11"/>
    </row>
    <row r="75" spans="1:10" x14ac:dyDescent="0.25">
      <c r="A75" s="1">
        <f t="shared" ca="1" si="3"/>
        <v>15775</v>
      </c>
      <c r="B75" s="5"/>
      <c r="C75" s="6"/>
      <c r="D75" s="6"/>
      <c r="E75" s="7"/>
      <c r="F75" s="8"/>
      <c r="G75" s="8"/>
      <c r="H75" s="9"/>
      <c r="I75" s="10"/>
      <c r="J75" s="11"/>
    </row>
    <row r="76" spans="1:10" x14ac:dyDescent="0.25">
      <c r="A76" s="1">
        <f t="shared" ca="1" si="3"/>
        <v>15776</v>
      </c>
      <c r="B76" s="5"/>
      <c r="C76" s="6"/>
      <c r="D76" s="6"/>
      <c r="E76" s="7"/>
      <c r="F76" s="8"/>
      <c r="G76" s="8"/>
      <c r="H76" s="9"/>
      <c r="I76" s="10"/>
      <c r="J76" s="11"/>
    </row>
    <row r="77" spans="1:10" x14ac:dyDescent="0.25">
      <c r="A77" s="1">
        <f t="shared" ca="1" si="3"/>
        <v>15777</v>
      </c>
      <c r="B77" s="5"/>
      <c r="C77" s="6"/>
      <c r="D77" s="6"/>
      <c r="E77" s="7"/>
      <c r="F77" s="8"/>
      <c r="G77" s="8"/>
      <c r="H77" s="9"/>
      <c r="I77" s="10"/>
      <c r="J77" s="11"/>
    </row>
    <row r="78" spans="1:10" x14ac:dyDescent="0.25">
      <c r="A78" s="1">
        <f t="shared" ca="1" si="3"/>
        <v>15778</v>
      </c>
      <c r="B78" s="5"/>
      <c r="C78" s="6"/>
      <c r="D78" s="6"/>
      <c r="E78" s="7"/>
      <c r="F78" s="8"/>
      <c r="G78" s="8"/>
      <c r="H78" s="9"/>
      <c r="I78" s="10"/>
      <c r="J78" s="11"/>
    </row>
    <row r="79" spans="1:10" x14ac:dyDescent="0.25">
      <c r="A79" s="1">
        <f t="shared" ca="1" si="3"/>
        <v>15779</v>
      </c>
      <c r="B79" s="5"/>
      <c r="C79" s="6"/>
      <c r="D79" s="6"/>
      <c r="E79" s="7"/>
      <c r="F79" s="8"/>
      <c r="G79" s="8"/>
      <c r="H79" s="9"/>
      <c r="I79" s="10"/>
      <c r="J79" s="11"/>
    </row>
    <row r="80" spans="1:10" x14ac:dyDescent="0.25">
      <c r="A80" s="1">
        <f t="shared" ca="1" si="3"/>
        <v>15780</v>
      </c>
      <c r="B80" s="5"/>
      <c r="C80" s="6"/>
      <c r="D80" s="6"/>
      <c r="E80" s="7"/>
      <c r="F80" s="8"/>
      <c r="G80" s="8"/>
      <c r="H80" s="9"/>
      <c r="I80" s="10"/>
      <c r="J80" s="11"/>
    </row>
    <row r="81" spans="1:10" x14ac:dyDescent="0.25">
      <c r="A81" s="1">
        <f t="shared" ca="1" si="3"/>
        <v>15781</v>
      </c>
      <c r="B81" s="5"/>
      <c r="C81" s="6"/>
      <c r="D81" s="6"/>
      <c r="E81" s="7"/>
      <c r="F81" s="8"/>
      <c r="G81" s="8"/>
      <c r="H81" s="9"/>
      <c r="I81" s="10"/>
      <c r="J81" s="11"/>
    </row>
    <row r="82" spans="1:10" x14ac:dyDescent="0.25">
      <c r="A82" s="1">
        <f t="shared" ca="1" si="3"/>
        <v>15782</v>
      </c>
      <c r="B82" s="5"/>
      <c r="C82" s="6"/>
      <c r="D82" s="6"/>
      <c r="E82" s="7"/>
      <c r="F82" s="8"/>
      <c r="G82" s="8"/>
      <c r="H82" s="9"/>
      <c r="I82" s="10"/>
      <c r="J82" s="11"/>
    </row>
    <row r="83" spans="1:10" x14ac:dyDescent="0.25">
      <c r="A83" s="1">
        <f t="shared" ca="1" si="3"/>
        <v>15783</v>
      </c>
      <c r="B83" s="5"/>
      <c r="C83" s="6"/>
      <c r="D83" s="6"/>
      <c r="E83" s="7"/>
      <c r="F83" s="8"/>
      <c r="G83" s="8"/>
      <c r="H83" s="9"/>
      <c r="I83" s="10"/>
      <c r="J83" s="11"/>
    </row>
    <row r="84" spans="1:10" x14ac:dyDescent="0.25">
      <c r="A84" s="1">
        <f t="shared" ca="1" si="3"/>
        <v>15784</v>
      </c>
      <c r="B84" s="5"/>
      <c r="C84" s="6"/>
      <c r="D84" s="6"/>
      <c r="E84" s="7"/>
      <c r="F84" s="8"/>
      <c r="G84" s="8"/>
      <c r="H84" s="9"/>
      <c r="I84" s="10"/>
      <c r="J84" s="11"/>
    </row>
    <row r="85" spans="1:10" x14ac:dyDescent="0.25">
      <c r="A85" s="1">
        <f t="shared" ca="1" si="3"/>
        <v>15785</v>
      </c>
      <c r="B85" s="5"/>
      <c r="C85" s="6"/>
      <c r="D85" s="6"/>
      <c r="E85" s="7"/>
      <c r="F85" s="8"/>
      <c r="G85" s="8"/>
      <c r="H85" s="9"/>
      <c r="I85" s="10"/>
      <c r="J85" s="11"/>
    </row>
    <row r="86" spans="1:10" x14ac:dyDescent="0.25">
      <c r="A86" s="1">
        <f t="shared" ca="1" si="3"/>
        <v>15786</v>
      </c>
      <c r="B86" s="5"/>
      <c r="C86" s="6"/>
      <c r="D86" s="6"/>
      <c r="E86" s="7"/>
      <c r="F86" s="8"/>
      <c r="G86" s="8"/>
      <c r="H86" s="9"/>
      <c r="I86" s="10"/>
      <c r="J86" s="11"/>
    </row>
    <row r="87" spans="1:10" x14ac:dyDescent="0.25">
      <c r="A87" s="1">
        <f t="shared" ca="1" si="3"/>
        <v>15787</v>
      </c>
      <c r="B87" s="5"/>
      <c r="C87" s="6"/>
      <c r="D87" s="6"/>
      <c r="E87" s="7"/>
      <c r="F87" s="8"/>
      <c r="G87" s="8"/>
      <c r="H87" s="9"/>
      <c r="I87" s="10"/>
      <c r="J87" s="11"/>
    </row>
    <row r="88" spans="1:10" x14ac:dyDescent="0.25">
      <c r="A88" s="1">
        <f t="shared" ca="1" si="3"/>
        <v>15788</v>
      </c>
      <c r="B88" s="5"/>
      <c r="C88" s="6"/>
      <c r="D88" s="6"/>
      <c r="E88" s="7"/>
      <c r="F88" s="8"/>
      <c r="G88" s="8"/>
      <c r="H88" s="9"/>
      <c r="I88" s="10"/>
      <c r="J88" s="11"/>
    </row>
    <row r="89" spans="1:10" x14ac:dyDescent="0.25">
      <c r="A89" s="1">
        <f t="shared" ca="1" si="3"/>
        <v>15789</v>
      </c>
      <c r="B89" s="5"/>
      <c r="C89" s="6"/>
      <c r="D89" s="6"/>
      <c r="E89" s="7"/>
      <c r="F89" s="8"/>
      <c r="G89" s="8"/>
      <c r="H89" s="9"/>
      <c r="I89" s="10"/>
      <c r="J89" s="11"/>
    </row>
    <row r="90" spans="1:10" x14ac:dyDescent="0.25">
      <c r="A90" s="1">
        <f t="shared" ca="1" si="3"/>
        <v>15790</v>
      </c>
      <c r="B90" s="5"/>
      <c r="C90" s="6"/>
      <c r="D90" s="6"/>
      <c r="E90" s="7"/>
      <c r="F90" s="8"/>
      <c r="G90" s="8"/>
      <c r="H90" s="9"/>
      <c r="I90" s="10"/>
      <c r="J90" s="11"/>
    </row>
    <row r="91" spans="1:10" x14ac:dyDescent="0.25">
      <c r="A91" s="1">
        <f t="shared" ca="1" si="3"/>
        <v>15791</v>
      </c>
      <c r="B91" s="5"/>
      <c r="C91" s="6"/>
      <c r="D91" s="6"/>
      <c r="E91" s="7"/>
      <c r="F91" s="8"/>
      <c r="G91" s="8"/>
      <c r="H91" s="9"/>
      <c r="I91" s="10"/>
      <c r="J91" s="11"/>
    </row>
    <row r="92" spans="1:10" x14ac:dyDescent="0.25">
      <c r="A92" s="1">
        <f t="shared" ca="1" si="3"/>
        <v>15792</v>
      </c>
      <c r="B92" s="5"/>
      <c r="C92" s="6"/>
      <c r="D92" s="6"/>
      <c r="E92" s="7"/>
      <c r="F92" s="8"/>
      <c r="G92" s="8"/>
      <c r="H92" s="9"/>
      <c r="I92" s="10"/>
      <c r="J92" s="11"/>
    </row>
    <row r="93" spans="1:10" x14ac:dyDescent="0.25">
      <c r="A93" s="1">
        <f t="shared" ca="1" si="3"/>
        <v>15793</v>
      </c>
      <c r="B93" s="5"/>
      <c r="C93" s="6"/>
      <c r="D93" s="6"/>
      <c r="E93" s="7"/>
      <c r="F93" s="8"/>
      <c r="G93" s="8"/>
      <c r="H93" s="9"/>
      <c r="I93" s="10"/>
      <c r="J93" s="11"/>
    </row>
    <row r="94" spans="1:10" x14ac:dyDescent="0.25">
      <c r="A94" s="1">
        <f t="shared" ca="1" si="3"/>
        <v>15794</v>
      </c>
      <c r="B94" s="5"/>
      <c r="C94" s="6"/>
      <c r="D94" s="6"/>
      <c r="E94" s="7"/>
      <c r="F94" s="8"/>
      <c r="G94" s="8"/>
      <c r="H94" s="9"/>
      <c r="I94" s="10"/>
      <c r="J94" s="11"/>
    </row>
    <row r="95" spans="1:10" x14ac:dyDescent="0.25">
      <c r="A95" s="1">
        <f t="shared" ca="1" si="3"/>
        <v>15795</v>
      </c>
      <c r="B95" s="5"/>
      <c r="C95" s="6"/>
      <c r="D95" s="6"/>
      <c r="E95" s="7"/>
      <c r="F95" s="8"/>
      <c r="G95" s="8"/>
      <c r="H95" s="9"/>
      <c r="I95" s="10"/>
      <c r="J95" s="11"/>
    </row>
    <row r="96" spans="1:10" x14ac:dyDescent="0.25">
      <c r="A96" s="1">
        <f t="shared" ca="1" si="3"/>
        <v>15796</v>
      </c>
      <c r="B96" s="5"/>
      <c r="C96" s="6"/>
      <c r="D96" s="6"/>
      <c r="E96" s="7"/>
      <c r="F96" s="8"/>
      <c r="G96" s="8"/>
      <c r="H96" s="9"/>
      <c r="I96" s="10"/>
      <c r="J96" s="11"/>
    </row>
    <row r="97" spans="1:10" x14ac:dyDescent="0.25">
      <c r="A97" s="1" t="str">
        <f t="shared" ca="1" si="3"/>
        <v>Totaal</v>
      </c>
      <c r="B97" s="28" t="str">
        <f>IF(COUNT(B66:B96)&gt;0,AVERAGE(B66:B96),"")</f>
        <v/>
      </c>
      <c r="C97" s="29" t="str">
        <f t="shared" ref="C97" si="4">IF(COUNT(C66:C96)&gt;0,AVERAGE(C66:C96),"")</f>
        <v/>
      </c>
      <c r="D97" s="29" t="str">
        <f t="shared" ref="D97" si="5">IF(COUNT(D66:D96)&gt;0,AVERAGE(D66:D96),"")</f>
        <v/>
      </c>
      <c r="E97" s="30" t="str">
        <f t="shared" ref="E97" si="6">IF(COUNT(E66:E96)&gt;0,AVERAGE(E66:E96),"")</f>
        <v/>
      </c>
      <c r="F97" s="31" t="str">
        <f t="shared" ref="F97" si="7">IF(COUNT(F66:F96)&gt;0,AVERAGE(F66:F96),"")</f>
        <v/>
      </c>
      <c r="G97" s="31" t="str">
        <f t="shared" ref="G97" si="8">IF(COUNT(G66:G96)&gt;0,AVERAGE(G66:G96),"")</f>
        <v/>
      </c>
      <c r="H97" s="32">
        <f>SUM(H66:H96)/10</f>
        <v>0</v>
      </c>
      <c r="I97" s="33">
        <f>SUM(I66:I96)/10</f>
        <v>0</v>
      </c>
      <c r="J97" s="34">
        <f>SUM(J66:J96)/10</f>
        <v>0</v>
      </c>
    </row>
    <row r="98" spans="1:10" x14ac:dyDescent="0.25">
      <c r="A98" s="1">
        <f t="shared" ca="1" si="3"/>
        <v>15797</v>
      </c>
      <c r="B98" s="5">
        <v>751</v>
      </c>
      <c r="C98" s="6">
        <v>751</v>
      </c>
      <c r="D98" s="6">
        <v>751</v>
      </c>
      <c r="E98" s="7">
        <v>25</v>
      </c>
      <c r="F98" s="8">
        <v>25</v>
      </c>
      <c r="G98" s="8">
        <v>25</v>
      </c>
      <c r="H98" s="9">
        <v>0</v>
      </c>
      <c r="I98" s="10">
        <v>0</v>
      </c>
      <c r="J98" s="11">
        <v>0</v>
      </c>
    </row>
    <row r="99" spans="1:10" x14ac:dyDescent="0.25">
      <c r="A99" s="1">
        <f t="shared" ca="1" si="3"/>
        <v>15798</v>
      </c>
      <c r="B99" s="5">
        <v>750</v>
      </c>
      <c r="C99" s="6">
        <v>751</v>
      </c>
      <c r="D99" s="6">
        <v>751</v>
      </c>
      <c r="E99" s="7">
        <v>25</v>
      </c>
      <c r="F99" s="8">
        <v>25</v>
      </c>
      <c r="G99" s="8">
        <v>25</v>
      </c>
      <c r="H99" s="9">
        <v>0</v>
      </c>
      <c r="I99" s="10">
        <v>0</v>
      </c>
      <c r="J99" s="11">
        <v>0</v>
      </c>
    </row>
    <row r="100" spans="1:10" x14ac:dyDescent="0.25">
      <c r="A100" s="1">
        <f t="shared" ca="1" si="3"/>
        <v>15799</v>
      </c>
      <c r="B100" s="5">
        <v>751</v>
      </c>
      <c r="C100" s="6">
        <v>752</v>
      </c>
      <c r="D100" s="6">
        <v>751</v>
      </c>
      <c r="E100" s="7">
        <v>25</v>
      </c>
      <c r="F100" s="8">
        <v>25</v>
      </c>
      <c r="G100" s="8">
        <v>25</v>
      </c>
      <c r="H100" s="9">
        <v>0</v>
      </c>
      <c r="I100" s="10">
        <v>0</v>
      </c>
      <c r="J100" s="11">
        <v>0</v>
      </c>
    </row>
    <row r="101" spans="1:10" x14ac:dyDescent="0.25">
      <c r="A101" s="1">
        <f t="shared" ca="1" si="3"/>
        <v>15800</v>
      </c>
      <c r="B101" s="5">
        <v>750</v>
      </c>
      <c r="C101" s="6">
        <v>751</v>
      </c>
      <c r="D101" s="6">
        <v>751</v>
      </c>
      <c r="E101" s="7">
        <v>26</v>
      </c>
      <c r="F101" s="8">
        <v>26</v>
      </c>
      <c r="G101" s="8">
        <v>26</v>
      </c>
      <c r="H101" s="9">
        <v>0</v>
      </c>
      <c r="I101" s="10">
        <v>0</v>
      </c>
      <c r="J101" s="11">
        <v>0</v>
      </c>
    </row>
    <row r="102" spans="1:10" x14ac:dyDescent="0.25">
      <c r="A102" s="1">
        <f t="shared" ca="1" si="3"/>
        <v>15801</v>
      </c>
      <c r="B102" s="5">
        <v>751</v>
      </c>
      <c r="C102" s="6">
        <v>751</v>
      </c>
      <c r="D102" s="6">
        <v>751</v>
      </c>
      <c r="E102" s="7">
        <v>26</v>
      </c>
      <c r="F102" s="8">
        <v>26</v>
      </c>
      <c r="G102" s="8">
        <v>26</v>
      </c>
      <c r="H102" s="9">
        <v>0</v>
      </c>
      <c r="I102" s="10">
        <v>0</v>
      </c>
      <c r="J102" s="11">
        <v>0</v>
      </c>
    </row>
    <row r="103" spans="1:10" x14ac:dyDescent="0.25">
      <c r="A103" s="1">
        <f t="shared" ca="1" si="3"/>
        <v>15802</v>
      </c>
      <c r="B103" s="5">
        <v>751</v>
      </c>
      <c r="C103" s="6">
        <v>750</v>
      </c>
      <c r="D103" s="6">
        <v>750</v>
      </c>
      <c r="E103" s="7">
        <v>26</v>
      </c>
      <c r="F103" s="8">
        <v>26</v>
      </c>
      <c r="G103" s="8">
        <v>26</v>
      </c>
      <c r="H103" s="9">
        <v>0</v>
      </c>
      <c r="I103" s="10">
        <v>0</v>
      </c>
      <c r="J103" s="11">
        <v>0</v>
      </c>
    </row>
    <row r="104" spans="1:10" x14ac:dyDescent="0.25">
      <c r="A104" s="1">
        <f t="shared" ca="1" si="3"/>
        <v>15803</v>
      </c>
      <c r="B104" s="5">
        <v>749</v>
      </c>
      <c r="C104" s="6">
        <v>750</v>
      </c>
      <c r="D104" s="6">
        <v>749</v>
      </c>
      <c r="E104" s="7">
        <v>25</v>
      </c>
      <c r="F104" s="8">
        <v>26</v>
      </c>
      <c r="G104" s="8">
        <v>26</v>
      </c>
      <c r="H104" s="9">
        <v>0</v>
      </c>
      <c r="I104" s="10">
        <v>0</v>
      </c>
      <c r="J104" s="11">
        <v>0</v>
      </c>
    </row>
    <row r="105" spans="1:10" x14ac:dyDescent="0.25">
      <c r="A105" s="1">
        <f t="shared" ca="1" si="3"/>
        <v>15804</v>
      </c>
      <c r="B105" s="5">
        <v>750</v>
      </c>
      <c r="C105" s="6">
        <v>750</v>
      </c>
      <c r="D105" s="6">
        <v>750</v>
      </c>
      <c r="E105" s="7">
        <v>25</v>
      </c>
      <c r="F105" s="8">
        <v>25</v>
      </c>
      <c r="G105" s="8">
        <v>25</v>
      </c>
      <c r="H105" s="9">
        <v>0</v>
      </c>
      <c r="I105" s="10">
        <v>0</v>
      </c>
      <c r="J105" s="11">
        <v>0</v>
      </c>
    </row>
    <row r="106" spans="1:10" x14ac:dyDescent="0.25">
      <c r="A106" s="1">
        <f t="shared" ca="1" si="3"/>
        <v>15805</v>
      </c>
      <c r="B106" s="5">
        <v>751</v>
      </c>
      <c r="C106" s="6">
        <v>750</v>
      </c>
      <c r="D106" s="6">
        <v>750</v>
      </c>
      <c r="E106" s="7">
        <v>26</v>
      </c>
      <c r="F106" s="8">
        <v>26</v>
      </c>
      <c r="G106" s="8">
        <v>26</v>
      </c>
      <c r="H106" s="9">
        <v>0</v>
      </c>
      <c r="I106" s="10">
        <v>0</v>
      </c>
      <c r="J106" s="11">
        <v>0</v>
      </c>
    </row>
    <row r="107" spans="1:10" x14ac:dyDescent="0.25">
      <c r="A107" s="1">
        <f t="shared" ca="1" si="3"/>
        <v>15806</v>
      </c>
      <c r="B107" s="5">
        <v>750</v>
      </c>
      <c r="C107" s="6">
        <v>749</v>
      </c>
      <c r="D107" s="6">
        <v>750</v>
      </c>
      <c r="E107" s="7">
        <v>26</v>
      </c>
      <c r="F107" s="8">
        <v>26</v>
      </c>
      <c r="G107" s="8">
        <v>26</v>
      </c>
      <c r="H107" s="9">
        <v>0</v>
      </c>
      <c r="I107" s="10">
        <v>0</v>
      </c>
      <c r="J107" s="11">
        <v>0</v>
      </c>
    </row>
    <row r="108" spans="1:10" x14ac:dyDescent="0.25">
      <c r="A108" s="1">
        <f t="shared" ca="1" si="3"/>
        <v>15807</v>
      </c>
      <c r="B108" s="5">
        <v>749</v>
      </c>
      <c r="C108" s="6">
        <v>748</v>
      </c>
      <c r="D108" s="6">
        <v>748</v>
      </c>
      <c r="E108" s="7">
        <v>26</v>
      </c>
      <c r="F108" s="8">
        <v>26</v>
      </c>
      <c r="G108" s="8">
        <v>26</v>
      </c>
      <c r="H108" s="9">
        <v>0</v>
      </c>
      <c r="I108" s="10">
        <v>0</v>
      </c>
      <c r="J108" s="11">
        <v>0</v>
      </c>
    </row>
    <row r="109" spans="1:10" x14ac:dyDescent="0.25">
      <c r="A109" s="1">
        <f t="shared" ca="1" si="3"/>
        <v>15808</v>
      </c>
      <c r="B109" s="5">
        <v>748</v>
      </c>
      <c r="C109" s="6">
        <v>748</v>
      </c>
      <c r="D109" s="6">
        <v>748</v>
      </c>
      <c r="E109" s="7">
        <v>26</v>
      </c>
      <c r="F109" s="8">
        <v>26</v>
      </c>
      <c r="G109" s="8">
        <v>26</v>
      </c>
      <c r="H109" s="9">
        <v>225</v>
      </c>
      <c r="I109" s="10">
        <v>225</v>
      </c>
      <c r="J109" s="11">
        <v>225</v>
      </c>
    </row>
    <row r="110" spans="1:10" x14ac:dyDescent="0.25">
      <c r="A110" s="1">
        <f t="shared" ca="1" si="3"/>
        <v>15809</v>
      </c>
      <c r="B110" s="5">
        <v>750</v>
      </c>
      <c r="C110" s="6">
        <v>750</v>
      </c>
      <c r="D110" s="6">
        <v>751</v>
      </c>
      <c r="E110" s="7">
        <v>26</v>
      </c>
      <c r="F110" s="8">
        <v>26</v>
      </c>
      <c r="G110" s="8">
        <v>26</v>
      </c>
      <c r="H110" s="9">
        <v>0</v>
      </c>
      <c r="I110" s="10">
        <v>0</v>
      </c>
      <c r="J110" s="11">
        <v>0</v>
      </c>
    </row>
    <row r="111" spans="1:10" x14ac:dyDescent="0.25">
      <c r="A111" s="1">
        <f t="shared" ca="1" si="3"/>
        <v>15810</v>
      </c>
      <c r="B111" s="5">
        <v>751</v>
      </c>
      <c r="C111" s="6">
        <v>750</v>
      </c>
      <c r="D111" s="6">
        <v>750</v>
      </c>
      <c r="E111" s="7">
        <v>27</v>
      </c>
      <c r="F111" s="8">
        <v>27</v>
      </c>
      <c r="G111" s="8">
        <v>27</v>
      </c>
      <c r="H111" s="9">
        <v>0</v>
      </c>
      <c r="I111" s="10">
        <v>0</v>
      </c>
      <c r="J111" s="11">
        <v>0</v>
      </c>
    </row>
    <row r="112" spans="1:10" x14ac:dyDescent="0.25">
      <c r="A112" s="1">
        <f t="shared" ca="1" si="3"/>
        <v>15811</v>
      </c>
      <c r="B112" s="5">
        <v>750</v>
      </c>
      <c r="C112" s="6">
        <v>749</v>
      </c>
      <c r="D112" s="6">
        <v>750</v>
      </c>
      <c r="E112" s="7">
        <v>26</v>
      </c>
      <c r="F112" s="8">
        <v>26</v>
      </c>
      <c r="G112" s="8">
        <v>26</v>
      </c>
      <c r="H112" s="9">
        <v>0</v>
      </c>
      <c r="I112" s="10">
        <v>0</v>
      </c>
      <c r="J112" s="11">
        <v>0</v>
      </c>
    </row>
    <row r="113" spans="1:10" x14ac:dyDescent="0.25">
      <c r="A113" s="1">
        <f t="shared" ca="1" si="3"/>
        <v>15812</v>
      </c>
      <c r="B113" s="5">
        <v>750</v>
      </c>
      <c r="C113" s="6">
        <v>749</v>
      </c>
      <c r="D113" s="6">
        <v>750</v>
      </c>
      <c r="E113" s="7">
        <v>27</v>
      </c>
      <c r="F113" s="8">
        <v>27</v>
      </c>
      <c r="G113" s="8">
        <v>26</v>
      </c>
      <c r="H113" s="9">
        <v>0</v>
      </c>
      <c r="I113" s="10">
        <v>0</v>
      </c>
      <c r="J113" s="11">
        <v>0</v>
      </c>
    </row>
    <row r="114" spans="1:10" x14ac:dyDescent="0.25">
      <c r="A114" s="1">
        <f t="shared" ca="1" si="3"/>
        <v>15813</v>
      </c>
      <c r="B114" s="5">
        <v>750</v>
      </c>
      <c r="C114" s="6">
        <v>749</v>
      </c>
      <c r="D114" s="6">
        <v>750</v>
      </c>
      <c r="E114" s="7">
        <v>26</v>
      </c>
      <c r="F114" s="8">
        <v>26</v>
      </c>
      <c r="G114" s="8">
        <v>26</v>
      </c>
      <c r="H114" s="9">
        <v>0</v>
      </c>
      <c r="I114" s="10">
        <v>0</v>
      </c>
      <c r="J114" s="11">
        <v>0</v>
      </c>
    </row>
    <row r="115" spans="1:10" x14ac:dyDescent="0.25">
      <c r="A115" s="1">
        <f t="shared" ca="1" si="3"/>
        <v>15814</v>
      </c>
      <c r="B115" s="5">
        <v>750</v>
      </c>
      <c r="C115" s="6">
        <v>749</v>
      </c>
      <c r="D115" s="6">
        <v>750</v>
      </c>
      <c r="E115" s="7">
        <v>26</v>
      </c>
      <c r="F115" s="8">
        <v>26</v>
      </c>
      <c r="G115" s="8">
        <v>26</v>
      </c>
      <c r="H115" s="9">
        <v>0</v>
      </c>
      <c r="I115" s="10">
        <v>0</v>
      </c>
      <c r="J115" s="11">
        <v>0</v>
      </c>
    </row>
    <row r="116" spans="1:10" x14ac:dyDescent="0.25">
      <c r="A116" s="1">
        <f t="shared" ca="1" si="3"/>
        <v>15815</v>
      </c>
      <c r="B116" s="5">
        <v>750</v>
      </c>
      <c r="C116" s="6">
        <v>750</v>
      </c>
      <c r="D116" s="6">
        <v>751</v>
      </c>
      <c r="E116" s="7">
        <v>26</v>
      </c>
      <c r="F116" s="8">
        <v>26</v>
      </c>
      <c r="G116" s="8">
        <v>26</v>
      </c>
      <c r="H116" s="9">
        <v>160</v>
      </c>
      <c r="I116" s="10">
        <v>160</v>
      </c>
      <c r="J116" s="11">
        <v>160</v>
      </c>
    </row>
    <row r="117" spans="1:10" x14ac:dyDescent="0.25">
      <c r="A117" s="1">
        <f t="shared" ca="1" si="3"/>
        <v>15816</v>
      </c>
      <c r="B117" s="5">
        <v>752</v>
      </c>
      <c r="C117" s="6">
        <v>751</v>
      </c>
      <c r="D117" s="6">
        <v>752</v>
      </c>
      <c r="E117" s="7">
        <v>26</v>
      </c>
      <c r="F117" s="8">
        <v>26</v>
      </c>
      <c r="G117" s="8">
        <v>26</v>
      </c>
      <c r="H117" s="9">
        <v>0</v>
      </c>
      <c r="I117" s="10">
        <v>0</v>
      </c>
      <c r="J117" s="11">
        <v>0</v>
      </c>
    </row>
    <row r="118" spans="1:10" x14ac:dyDescent="0.25">
      <c r="A118" s="1">
        <f t="shared" ca="1" si="3"/>
        <v>15817</v>
      </c>
      <c r="B118" s="5">
        <v>753</v>
      </c>
      <c r="C118" s="6">
        <v>752</v>
      </c>
      <c r="D118" s="6">
        <v>752</v>
      </c>
      <c r="E118" s="7">
        <v>27</v>
      </c>
      <c r="F118" s="8">
        <v>26</v>
      </c>
      <c r="G118" s="8">
        <v>26</v>
      </c>
      <c r="H118" s="9">
        <v>0</v>
      </c>
      <c r="I118" s="10">
        <v>0</v>
      </c>
      <c r="J118" s="11">
        <v>0</v>
      </c>
    </row>
    <row r="119" spans="1:10" x14ac:dyDescent="0.25">
      <c r="A119" s="1">
        <f t="shared" ca="1" si="3"/>
        <v>15818</v>
      </c>
      <c r="B119" s="5">
        <v>752</v>
      </c>
      <c r="C119" s="6">
        <v>751</v>
      </c>
      <c r="D119" s="6">
        <v>752</v>
      </c>
      <c r="E119" s="7">
        <v>26</v>
      </c>
      <c r="F119" s="8">
        <v>27</v>
      </c>
      <c r="G119" s="8">
        <v>27</v>
      </c>
      <c r="H119" s="9">
        <v>0</v>
      </c>
      <c r="I119" s="10">
        <v>0</v>
      </c>
      <c r="J119" s="11">
        <v>0</v>
      </c>
    </row>
    <row r="120" spans="1:10" x14ac:dyDescent="0.25">
      <c r="A120" s="1">
        <f t="shared" ca="1" si="3"/>
        <v>15819</v>
      </c>
      <c r="B120" s="5">
        <v>752</v>
      </c>
      <c r="C120" s="6">
        <v>750</v>
      </c>
      <c r="D120" s="6">
        <v>750</v>
      </c>
      <c r="E120" s="7">
        <v>26</v>
      </c>
      <c r="F120" s="8">
        <v>26</v>
      </c>
      <c r="G120" s="8">
        <v>26</v>
      </c>
      <c r="H120" s="9">
        <v>0</v>
      </c>
      <c r="I120" s="10">
        <v>0</v>
      </c>
      <c r="J120" s="11">
        <v>0</v>
      </c>
    </row>
    <row r="121" spans="1:10" x14ac:dyDescent="0.25">
      <c r="A121" s="1">
        <f t="shared" ca="1" si="3"/>
        <v>15820</v>
      </c>
      <c r="B121" s="5">
        <v>750</v>
      </c>
      <c r="C121" s="6">
        <v>750</v>
      </c>
      <c r="D121" s="6">
        <v>750</v>
      </c>
      <c r="E121" s="7">
        <v>25</v>
      </c>
      <c r="F121" s="8">
        <v>25</v>
      </c>
      <c r="G121" s="8">
        <v>26</v>
      </c>
      <c r="H121" s="9">
        <v>0</v>
      </c>
      <c r="I121" s="10">
        <v>0</v>
      </c>
      <c r="J121" s="11">
        <v>0</v>
      </c>
    </row>
    <row r="122" spans="1:10" x14ac:dyDescent="0.25">
      <c r="A122" s="1">
        <f t="shared" ca="1" si="3"/>
        <v>15821</v>
      </c>
      <c r="B122" s="5">
        <v>750</v>
      </c>
      <c r="C122" s="6">
        <v>750</v>
      </c>
      <c r="D122" s="6">
        <v>750</v>
      </c>
      <c r="E122" s="7">
        <v>26</v>
      </c>
      <c r="F122" s="8">
        <v>26</v>
      </c>
      <c r="G122" s="8">
        <v>26</v>
      </c>
      <c r="H122" s="9">
        <v>0</v>
      </c>
      <c r="I122" s="10">
        <v>0</v>
      </c>
      <c r="J122" s="11">
        <v>0</v>
      </c>
    </row>
    <row r="123" spans="1:10" x14ac:dyDescent="0.25">
      <c r="A123" s="1">
        <f t="shared" ca="1" si="3"/>
        <v>15822</v>
      </c>
      <c r="B123" s="5">
        <v>750</v>
      </c>
      <c r="C123" s="6">
        <v>750</v>
      </c>
      <c r="D123" s="6">
        <v>750</v>
      </c>
      <c r="E123" s="7">
        <v>26</v>
      </c>
      <c r="F123" s="8">
        <v>26</v>
      </c>
      <c r="G123" s="8">
        <v>26</v>
      </c>
      <c r="H123" s="9">
        <v>0</v>
      </c>
      <c r="I123" s="10">
        <v>0</v>
      </c>
      <c r="J123" s="11">
        <v>0</v>
      </c>
    </row>
    <row r="124" spans="1:10" x14ac:dyDescent="0.25">
      <c r="A124" s="1">
        <f t="shared" ca="1" si="3"/>
        <v>15823</v>
      </c>
      <c r="B124" s="5">
        <v>750</v>
      </c>
      <c r="C124" s="6">
        <v>750</v>
      </c>
      <c r="D124" s="6">
        <v>749</v>
      </c>
      <c r="E124" s="7">
        <v>26</v>
      </c>
      <c r="F124" s="8">
        <v>26</v>
      </c>
      <c r="G124" s="8">
        <v>26</v>
      </c>
      <c r="H124" s="9">
        <v>0</v>
      </c>
      <c r="I124" s="10">
        <v>0</v>
      </c>
      <c r="J124" s="11">
        <v>0</v>
      </c>
    </row>
    <row r="125" spans="1:10" x14ac:dyDescent="0.25">
      <c r="A125" s="1">
        <f t="shared" ca="1" si="3"/>
        <v>15824</v>
      </c>
      <c r="B125" s="5">
        <v>750</v>
      </c>
      <c r="C125" s="6">
        <v>749</v>
      </c>
      <c r="D125" s="6">
        <v>750</v>
      </c>
      <c r="E125" s="7">
        <v>26</v>
      </c>
      <c r="F125" s="8">
        <v>26</v>
      </c>
      <c r="G125" s="8">
        <v>26</v>
      </c>
      <c r="H125" s="9">
        <v>0</v>
      </c>
      <c r="I125" s="10">
        <v>0</v>
      </c>
      <c r="J125" s="11">
        <v>0</v>
      </c>
    </row>
    <row r="126" spans="1:10" x14ac:dyDescent="0.25">
      <c r="A126" s="1">
        <f t="shared" ca="1" si="3"/>
        <v>15825</v>
      </c>
      <c r="B126" s="5">
        <v>749</v>
      </c>
      <c r="C126" s="6">
        <v>749</v>
      </c>
      <c r="D126" s="6">
        <v>750</v>
      </c>
      <c r="E126" s="7">
        <v>25</v>
      </c>
      <c r="F126" s="8">
        <v>26</v>
      </c>
      <c r="G126" s="8">
        <v>26</v>
      </c>
      <c r="H126" s="9">
        <v>0</v>
      </c>
      <c r="I126" s="10">
        <v>0</v>
      </c>
      <c r="J126" s="11">
        <v>0</v>
      </c>
    </row>
    <row r="127" spans="1:10" x14ac:dyDescent="0.25">
      <c r="A127" s="1">
        <f t="shared" ca="1" si="3"/>
        <v>15826</v>
      </c>
      <c r="B127" s="5">
        <v>749</v>
      </c>
      <c r="C127" s="6">
        <v>750</v>
      </c>
      <c r="D127" s="6">
        <v>750</v>
      </c>
      <c r="E127" s="7">
        <v>26</v>
      </c>
      <c r="F127" s="8">
        <v>26</v>
      </c>
      <c r="G127" s="8">
        <v>26</v>
      </c>
      <c r="H127" s="9">
        <v>0</v>
      </c>
      <c r="I127" s="10">
        <v>0</v>
      </c>
      <c r="J127" s="11">
        <v>0</v>
      </c>
    </row>
    <row r="128" spans="1:10" x14ac:dyDescent="0.25">
      <c r="A128" s="1" t="str">
        <f t="shared" ca="1" si="3"/>
        <v>Totaal</v>
      </c>
      <c r="B128" s="28">
        <f t="shared" ref="B128:G128" si="9">IF(COUNT(B98:B127)&gt;0,AVERAGE(B98:B127),"")</f>
        <v>750.3</v>
      </c>
      <c r="C128" s="29">
        <f t="shared" si="9"/>
        <v>749.9666666666667</v>
      </c>
      <c r="D128" s="29">
        <f t="shared" si="9"/>
        <v>750.23333333333335</v>
      </c>
      <c r="E128" s="30">
        <f t="shared" si="9"/>
        <v>25.866666666666667</v>
      </c>
      <c r="F128" s="31">
        <f t="shared" si="9"/>
        <v>25.933333333333334</v>
      </c>
      <c r="G128" s="31">
        <f t="shared" si="9"/>
        <v>25.933333333333334</v>
      </c>
      <c r="H128" s="32">
        <f>SUM(H98:H127)/10</f>
        <v>38.5</v>
      </c>
      <c r="I128" s="33">
        <f>SUM(I98:I127)/10</f>
        <v>38.5</v>
      </c>
      <c r="J128" s="34">
        <f>SUM(J98:J127)/10</f>
        <v>38.5</v>
      </c>
    </row>
    <row r="129" spans="1:10" x14ac:dyDescent="0.25">
      <c r="A129" s="1">
        <f t="shared" ca="1" si="3"/>
        <v>15827</v>
      </c>
      <c r="B129" s="5"/>
      <c r="C129" s="6"/>
      <c r="D129" s="6"/>
      <c r="E129" s="7"/>
      <c r="F129" s="8"/>
      <c r="G129" s="8"/>
      <c r="H129" s="9"/>
      <c r="I129" s="10"/>
      <c r="J129" s="11"/>
    </row>
    <row r="130" spans="1:10" x14ac:dyDescent="0.25">
      <c r="A130" s="1">
        <f t="shared" ca="1" si="3"/>
        <v>15828</v>
      </c>
      <c r="B130" s="5"/>
      <c r="C130" s="6"/>
      <c r="D130" s="6"/>
      <c r="E130" s="7"/>
      <c r="F130" s="8"/>
      <c r="G130" s="8"/>
      <c r="H130" s="9"/>
      <c r="I130" s="10"/>
      <c r="J130" s="11"/>
    </row>
    <row r="131" spans="1:10" x14ac:dyDescent="0.25">
      <c r="A131" s="1">
        <f t="shared" ca="1" si="3"/>
        <v>15829</v>
      </c>
      <c r="B131" s="5"/>
      <c r="C131" s="6"/>
      <c r="D131" s="6"/>
      <c r="E131" s="7"/>
      <c r="F131" s="8"/>
      <c r="G131" s="8"/>
      <c r="H131" s="9"/>
      <c r="I131" s="10"/>
      <c r="J131" s="11"/>
    </row>
    <row r="132" spans="1:10" x14ac:dyDescent="0.25">
      <c r="A132" s="1">
        <f t="shared" ca="1" si="3"/>
        <v>15830</v>
      </c>
      <c r="B132" s="5"/>
      <c r="C132" s="6"/>
      <c r="D132" s="6"/>
      <c r="E132" s="7"/>
      <c r="F132" s="8"/>
      <c r="G132" s="8"/>
      <c r="H132" s="9"/>
      <c r="I132" s="10"/>
      <c r="J132" s="11"/>
    </row>
    <row r="133" spans="1:10" x14ac:dyDescent="0.25">
      <c r="A133" s="1">
        <f t="shared" ca="1" si="3"/>
        <v>15831</v>
      </c>
      <c r="B133" s="5"/>
      <c r="C133" s="6"/>
      <c r="D133" s="6"/>
      <c r="E133" s="7"/>
      <c r="F133" s="8"/>
      <c r="G133" s="8"/>
      <c r="H133" s="9"/>
      <c r="I133" s="10"/>
      <c r="J133" s="11"/>
    </row>
    <row r="134" spans="1:10" x14ac:dyDescent="0.25">
      <c r="A134" s="1">
        <f t="shared" ca="1" si="3"/>
        <v>15832</v>
      </c>
      <c r="B134" s="5"/>
      <c r="C134" s="6"/>
      <c r="D134" s="6"/>
      <c r="E134" s="7"/>
      <c r="F134" s="8"/>
      <c r="G134" s="8"/>
      <c r="H134" s="9"/>
      <c r="I134" s="10"/>
      <c r="J134" s="11"/>
    </row>
    <row r="135" spans="1:10" x14ac:dyDescent="0.25">
      <c r="A135" s="1">
        <f t="shared" ref="A135:A198" ca="1" si="10">IF(ISTEXT(A134),A133+1,IF(MONTH(A134+1)=MONTH(A134),A134+1,"Totaal"))</f>
        <v>15833</v>
      </c>
      <c r="B135" s="5"/>
      <c r="C135" s="6"/>
      <c r="D135" s="6"/>
      <c r="E135" s="7"/>
      <c r="F135" s="8"/>
      <c r="G135" s="8"/>
      <c r="H135" s="9"/>
      <c r="I135" s="10"/>
      <c r="J135" s="11"/>
    </row>
    <row r="136" spans="1:10" x14ac:dyDescent="0.25">
      <c r="A136" s="1">
        <f t="shared" ca="1" si="10"/>
        <v>15834</v>
      </c>
      <c r="B136" s="5"/>
      <c r="C136" s="6"/>
      <c r="D136" s="6"/>
      <c r="E136" s="7"/>
      <c r="F136" s="8"/>
      <c r="G136" s="8"/>
      <c r="H136" s="9"/>
      <c r="I136" s="10"/>
      <c r="J136" s="11"/>
    </row>
    <row r="137" spans="1:10" x14ac:dyDescent="0.25">
      <c r="A137" s="1">
        <f t="shared" ca="1" si="10"/>
        <v>15835</v>
      </c>
      <c r="B137" s="5"/>
      <c r="C137" s="6"/>
      <c r="D137" s="6"/>
      <c r="E137" s="7"/>
      <c r="F137" s="8"/>
      <c r="G137" s="8"/>
      <c r="H137" s="9"/>
      <c r="I137" s="10"/>
      <c r="J137" s="11"/>
    </row>
    <row r="138" spans="1:10" x14ac:dyDescent="0.25">
      <c r="A138" s="1">
        <f t="shared" ca="1" si="10"/>
        <v>15836</v>
      </c>
      <c r="B138" s="5"/>
      <c r="C138" s="6"/>
      <c r="D138" s="6"/>
      <c r="E138" s="7"/>
      <c r="F138" s="8"/>
      <c r="G138" s="8"/>
      <c r="H138" s="9"/>
      <c r="I138" s="10"/>
      <c r="J138" s="11"/>
    </row>
    <row r="139" spans="1:10" x14ac:dyDescent="0.25">
      <c r="A139" s="1">
        <f t="shared" ca="1" si="10"/>
        <v>15837</v>
      </c>
      <c r="B139" s="5"/>
      <c r="C139" s="6"/>
      <c r="D139" s="6"/>
      <c r="E139" s="7"/>
      <c r="F139" s="8"/>
      <c r="G139" s="8"/>
      <c r="H139" s="9"/>
      <c r="I139" s="10"/>
      <c r="J139" s="11"/>
    </row>
    <row r="140" spans="1:10" x14ac:dyDescent="0.25">
      <c r="A140" s="1">
        <f t="shared" ca="1" si="10"/>
        <v>15838</v>
      </c>
      <c r="B140" s="5"/>
      <c r="C140" s="6"/>
      <c r="D140" s="6"/>
      <c r="E140" s="7"/>
      <c r="F140" s="8"/>
      <c r="G140" s="8"/>
      <c r="H140" s="9"/>
      <c r="I140" s="10"/>
      <c r="J140" s="11"/>
    </row>
    <row r="141" spans="1:10" x14ac:dyDescent="0.25">
      <c r="A141" s="1">
        <f t="shared" ca="1" si="10"/>
        <v>15839</v>
      </c>
      <c r="B141" s="5"/>
      <c r="C141" s="6"/>
      <c r="D141" s="6"/>
      <c r="E141" s="7"/>
      <c r="F141" s="8"/>
      <c r="G141" s="8"/>
      <c r="H141" s="9"/>
      <c r="I141" s="10"/>
      <c r="J141" s="11"/>
    </row>
    <row r="142" spans="1:10" x14ac:dyDescent="0.25">
      <c r="A142" s="1">
        <f t="shared" ca="1" si="10"/>
        <v>15840</v>
      </c>
      <c r="B142" s="5"/>
      <c r="C142" s="6"/>
      <c r="D142" s="6"/>
      <c r="E142" s="7"/>
      <c r="F142" s="8"/>
      <c r="G142" s="8"/>
      <c r="H142" s="9"/>
      <c r="I142" s="10"/>
      <c r="J142" s="11"/>
    </row>
    <row r="143" spans="1:10" x14ac:dyDescent="0.25">
      <c r="A143" s="1">
        <f t="shared" ca="1" si="10"/>
        <v>15841</v>
      </c>
      <c r="B143" s="5"/>
      <c r="C143" s="6"/>
      <c r="D143" s="6"/>
      <c r="E143" s="7"/>
      <c r="F143" s="8"/>
      <c r="G143" s="8"/>
      <c r="H143" s="9"/>
      <c r="I143" s="10"/>
      <c r="J143" s="11"/>
    </row>
    <row r="144" spans="1:10" x14ac:dyDescent="0.25">
      <c r="A144" s="1">
        <f t="shared" ca="1" si="10"/>
        <v>15842</v>
      </c>
      <c r="B144" s="5"/>
      <c r="C144" s="6"/>
      <c r="D144" s="6"/>
      <c r="E144" s="7"/>
      <c r="F144" s="8"/>
      <c r="G144" s="8"/>
      <c r="H144" s="9"/>
      <c r="I144" s="10"/>
      <c r="J144" s="11"/>
    </row>
    <row r="145" spans="1:10" x14ac:dyDescent="0.25">
      <c r="A145" s="1">
        <f t="shared" ca="1" si="10"/>
        <v>15843</v>
      </c>
      <c r="B145" s="5"/>
      <c r="C145" s="6"/>
      <c r="D145" s="6"/>
      <c r="E145" s="7"/>
      <c r="F145" s="8"/>
      <c r="G145" s="8"/>
      <c r="H145" s="9"/>
      <c r="I145" s="10"/>
      <c r="J145" s="11"/>
    </row>
    <row r="146" spans="1:10" x14ac:dyDescent="0.25">
      <c r="A146" s="1">
        <f t="shared" ca="1" si="10"/>
        <v>15844</v>
      </c>
      <c r="B146" s="5"/>
      <c r="C146" s="6"/>
      <c r="D146" s="6"/>
      <c r="E146" s="7"/>
      <c r="F146" s="8"/>
      <c r="G146" s="8"/>
      <c r="H146" s="9"/>
      <c r="I146" s="10"/>
      <c r="J146" s="11"/>
    </row>
    <row r="147" spans="1:10" x14ac:dyDescent="0.25">
      <c r="A147" s="1">
        <f t="shared" ca="1" si="10"/>
        <v>15845</v>
      </c>
      <c r="B147" s="5"/>
      <c r="C147" s="6"/>
      <c r="D147" s="6"/>
      <c r="E147" s="7"/>
      <c r="F147" s="8"/>
      <c r="G147" s="8"/>
      <c r="H147" s="9"/>
      <c r="I147" s="10"/>
      <c r="J147" s="11"/>
    </row>
    <row r="148" spans="1:10" x14ac:dyDescent="0.25">
      <c r="A148" s="1">
        <f t="shared" ca="1" si="10"/>
        <v>15846</v>
      </c>
      <c r="B148" s="5"/>
      <c r="C148" s="6"/>
      <c r="D148" s="6"/>
      <c r="E148" s="7"/>
      <c r="F148" s="8"/>
      <c r="G148" s="8"/>
      <c r="H148" s="9"/>
      <c r="I148" s="10"/>
      <c r="J148" s="11"/>
    </row>
    <row r="149" spans="1:10" x14ac:dyDescent="0.25">
      <c r="A149" s="1">
        <f t="shared" ca="1" si="10"/>
        <v>15847</v>
      </c>
      <c r="B149" s="5"/>
      <c r="C149" s="6"/>
      <c r="D149" s="6"/>
      <c r="E149" s="7"/>
      <c r="F149" s="8"/>
      <c r="G149" s="8"/>
      <c r="H149" s="9"/>
      <c r="I149" s="10"/>
      <c r="J149" s="11"/>
    </row>
    <row r="150" spans="1:10" x14ac:dyDescent="0.25">
      <c r="A150" s="1">
        <f t="shared" ca="1" si="10"/>
        <v>15848</v>
      </c>
      <c r="B150" s="5"/>
      <c r="C150" s="6"/>
      <c r="D150" s="6"/>
      <c r="E150" s="7"/>
      <c r="F150" s="8"/>
      <c r="G150" s="8"/>
      <c r="H150" s="9"/>
      <c r="I150" s="10"/>
      <c r="J150" s="11"/>
    </row>
    <row r="151" spans="1:10" x14ac:dyDescent="0.25">
      <c r="A151" s="1">
        <f t="shared" ca="1" si="10"/>
        <v>15849</v>
      </c>
      <c r="B151" s="5"/>
      <c r="C151" s="6"/>
      <c r="D151" s="6"/>
      <c r="E151" s="7"/>
      <c r="F151" s="8"/>
      <c r="G151" s="8"/>
      <c r="H151" s="9"/>
      <c r="I151" s="10"/>
      <c r="J151" s="11"/>
    </row>
    <row r="152" spans="1:10" x14ac:dyDescent="0.25">
      <c r="A152" s="1">
        <f t="shared" ca="1" si="10"/>
        <v>15850</v>
      </c>
      <c r="B152" s="5"/>
      <c r="C152" s="6"/>
      <c r="D152" s="6"/>
      <c r="E152" s="7"/>
      <c r="F152" s="8"/>
      <c r="G152" s="8"/>
      <c r="H152" s="9"/>
      <c r="I152" s="10"/>
      <c r="J152" s="11"/>
    </row>
    <row r="153" spans="1:10" x14ac:dyDescent="0.25">
      <c r="A153" s="1">
        <f t="shared" ca="1" si="10"/>
        <v>15851</v>
      </c>
      <c r="B153" s="5"/>
      <c r="C153" s="6"/>
      <c r="D153" s="6"/>
      <c r="E153" s="7"/>
      <c r="F153" s="8"/>
      <c r="G153" s="8"/>
      <c r="H153" s="9"/>
      <c r="I153" s="10"/>
      <c r="J153" s="11"/>
    </row>
    <row r="154" spans="1:10" x14ac:dyDescent="0.25">
      <c r="A154" s="1">
        <f t="shared" ca="1" si="10"/>
        <v>15852</v>
      </c>
      <c r="B154" s="5"/>
      <c r="C154" s="6"/>
      <c r="D154" s="6"/>
      <c r="E154" s="7"/>
      <c r="F154" s="8"/>
      <c r="G154" s="8"/>
      <c r="H154" s="9"/>
      <c r="I154" s="10"/>
      <c r="J154" s="11"/>
    </row>
    <row r="155" spans="1:10" x14ac:dyDescent="0.25">
      <c r="A155" s="1">
        <f t="shared" ca="1" si="10"/>
        <v>15853</v>
      </c>
      <c r="B155" s="5"/>
      <c r="C155" s="6"/>
      <c r="D155" s="6"/>
      <c r="E155" s="7"/>
      <c r="F155" s="8"/>
      <c r="G155" s="8"/>
      <c r="H155" s="9"/>
      <c r="I155" s="10"/>
      <c r="J155" s="11"/>
    </row>
    <row r="156" spans="1:10" x14ac:dyDescent="0.25">
      <c r="A156" s="1">
        <f t="shared" ca="1" si="10"/>
        <v>15854</v>
      </c>
      <c r="B156" s="5"/>
      <c r="C156" s="6"/>
      <c r="D156" s="6"/>
      <c r="E156" s="7"/>
      <c r="F156" s="8"/>
      <c r="G156" s="8"/>
      <c r="H156" s="9"/>
      <c r="I156" s="10"/>
      <c r="J156" s="11"/>
    </row>
    <row r="157" spans="1:10" x14ac:dyDescent="0.25">
      <c r="A157" s="1">
        <f t="shared" ca="1" si="10"/>
        <v>15855</v>
      </c>
      <c r="B157" s="5"/>
      <c r="C157" s="6"/>
      <c r="D157" s="6"/>
      <c r="E157" s="7"/>
      <c r="F157" s="8"/>
      <c r="G157" s="8"/>
      <c r="H157" s="9"/>
      <c r="I157" s="10"/>
      <c r="J157" s="11"/>
    </row>
    <row r="158" spans="1:10" x14ac:dyDescent="0.25">
      <c r="A158" s="1">
        <f t="shared" ca="1" si="10"/>
        <v>15856</v>
      </c>
      <c r="B158" s="5"/>
      <c r="C158" s="6"/>
      <c r="D158" s="6"/>
      <c r="E158" s="7"/>
      <c r="F158" s="8"/>
      <c r="G158" s="8"/>
      <c r="H158" s="9"/>
      <c r="I158" s="10"/>
      <c r="J158" s="11"/>
    </row>
    <row r="159" spans="1:10" x14ac:dyDescent="0.25">
      <c r="A159" s="1">
        <f t="shared" ca="1" si="10"/>
        <v>15857</v>
      </c>
      <c r="B159" s="5"/>
      <c r="C159" s="6"/>
      <c r="D159" s="6"/>
      <c r="E159" s="7"/>
      <c r="F159" s="8"/>
      <c r="G159" s="8"/>
      <c r="H159" s="9"/>
      <c r="I159" s="10"/>
      <c r="J159" s="11"/>
    </row>
    <row r="160" spans="1:10" x14ac:dyDescent="0.25">
      <c r="A160" s="1" t="str">
        <f t="shared" ca="1" si="10"/>
        <v>Totaal</v>
      </c>
      <c r="B160" s="28" t="str">
        <f>IF(COUNT(B129:B159)&gt;0,AVERAGE(B129:B159),"")</f>
        <v/>
      </c>
      <c r="C160" s="29" t="str">
        <f t="shared" ref="C160" si="11">IF(COUNT(C129:C159)&gt;0,AVERAGE(C129:C159),"")</f>
        <v/>
      </c>
      <c r="D160" s="29" t="str">
        <f t="shared" ref="D160" si="12">IF(COUNT(D129:D159)&gt;0,AVERAGE(D129:D159),"")</f>
        <v/>
      </c>
      <c r="E160" s="30" t="str">
        <f t="shared" ref="E160" si="13">IF(COUNT(E129:E159)&gt;0,AVERAGE(E129:E159),"")</f>
        <v/>
      </c>
      <c r="F160" s="31" t="str">
        <f t="shared" ref="F160" si="14">IF(COUNT(F129:F159)&gt;0,AVERAGE(F129:F159),"")</f>
        <v/>
      </c>
      <c r="G160" s="31" t="str">
        <f t="shared" ref="G160" si="15">IF(COUNT(G129:G159)&gt;0,AVERAGE(G129:G159),"")</f>
        <v/>
      </c>
      <c r="H160" s="32">
        <f>SUM(H129:H159)/10</f>
        <v>0</v>
      </c>
      <c r="I160" s="33">
        <f>SUM(I129:I159)/10</f>
        <v>0</v>
      </c>
      <c r="J160" s="34">
        <f>SUM(J129:J159)/10</f>
        <v>0</v>
      </c>
    </row>
    <row r="161" spans="1:10" x14ac:dyDescent="0.25">
      <c r="A161" s="1">
        <f t="shared" ca="1" si="10"/>
        <v>15858</v>
      </c>
      <c r="B161" s="5"/>
      <c r="C161" s="6"/>
      <c r="D161" s="6"/>
      <c r="E161" s="7"/>
      <c r="F161" s="8"/>
      <c r="G161" s="8"/>
      <c r="H161" s="9"/>
      <c r="I161" s="10"/>
      <c r="J161" s="11"/>
    </row>
    <row r="162" spans="1:10" x14ac:dyDescent="0.25">
      <c r="A162" s="1">
        <f t="shared" ca="1" si="10"/>
        <v>15859</v>
      </c>
      <c r="B162" s="5"/>
      <c r="C162" s="6"/>
      <c r="D162" s="6"/>
      <c r="E162" s="7"/>
      <c r="F162" s="8"/>
      <c r="G162" s="8"/>
      <c r="H162" s="9"/>
      <c r="I162" s="10"/>
      <c r="J162" s="11"/>
    </row>
    <row r="163" spans="1:10" x14ac:dyDescent="0.25">
      <c r="A163" s="1">
        <f t="shared" ca="1" si="10"/>
        <v>15860</v>
      </c>
      <c r="B163" s="5"/>
      <c r="C163" s="6"/>
      <c r="D163" s="6"/>
      <c r="E163" s="7"/>
      <c r="F163" s="8"/>
      <c r="G163" s="8"/>
      <c r="H163" s="9"/>
      <c r="I163" s="10"/>
      <c r="J163" s="11"/>
    </row>
    <row r="164" spans="1:10" x14ac:dyDescent="0.25">
      <c r="A164" s="1">
        <f t="shared" ca="1" si="10"/>
        <v>15861</v>
      </c>
      <c r="B164" s="5"/>
      <c r="C164" s="6"/>
      <c r="D164" s="6"/>
      <c r="E164" s="7"/>
      <c r="F164" s="8"/>
      <c r="G164" s="8"/>
      <c r="H164" s="9"/>
      <c r="I164" s="10"/>
      <c r="J164" s="11"/>
    </row>
    <row r="165" spans="1:10" x14ac:dyDescent="0.25">
      <c r="A165" s="1">
        <f t="shared" ca="1" si="10"/>
        <v>15862</v>
      </c>
      <c r="B165" s="5"/>
      <c r="C165" s="6"/>
      <c r="D165" s="6"/>
      <c r="E165" s="7"/>
      <c r="F165" s="8"/>
      <c r="G165" s="8"/>
      <c r="H165" s="9"/>
      <c r="I165" s="10"/>
      <c r="J165" s="11"/>
    </row>
    <row r="166" spans="1:10" x14ac:dyDescent="0.25">
      <c r="A166" s="1">
        <f t="shared" ca="1" si="10"/>
        <v>15863</v>
      </c>
      <c r="B166" s="5"/>
      <c r="C166" s="6"/>
      <c r="D166" s="6"/>
      <c r="E166" s="7"/>
      <c r="F166" s="8"/>
      <c r="G166" s="8"/>
      <c r="H166" s="9"/>
      <c r="I166" s="10"/>
      <c r="J166" s="11"/>
    </row>
    <row r="167" spans="1:10" x14ac:dyDescent="0.25">
      <c r="A167" s="1">
        <f t="shared" ca="1" si="10"/>
        <v>15864</v>
      </c>
      <c r="B167" s="5"/>
      <c r="C167" s="6"/>
      <c r="D167" s="6"/>
      <c r="E167" s="7"/>
      <c r="F167" s="8"/>
      <c r="G167" s="8"/>
      <c r="H167" s="9"/>
      <c r="I167" s="10"/>
      <c r="J167" s="11"/>
    </row>
    <row r="168" spans="1:10" x14ac:dyDescent="0.25">
      <c r="A168" s="1">
        <f t="shared" ca="1" si="10"/>
        <v>15865</v>
      </c>
      <c r="B168" s="5"/>
      <c r="C168" s="6"/>
      <c r="D168" s="6"/>
      <c r="E168" s="7"/>
      <c r="F168" s="8"/>
      <c r="G168" s="8"/>
      <c r="H168" s="9"/>
      <c r="I168" s="10"/>
      <c r="J168" s="11"/>
    </row>
    <row r="169" spans="1:10" x14ac:dyDescent="0.25">
      <c r="A169" s="1">
        <f t="shared" ca="1" si="10"/>
        <v>15866</v>
      </c>
      <c r="B169" s="5"/>
      <c r="C169" s="6"/>
      <c r="D169" s="6"/>
      <c r="E169" s="7"/>
      <c r="F169" s="8"/>
      <c r="G169" s="8"/>
      <c r="H169" s="9"/>
      <c r="I169" s="10"/>
      <c r="J169" s="11"/>
    </row>
    <row r="170" spans="1:10" x14ac:dyDescent="0.25">
      <c r="A170" s="1">
        <f t="shared" ca="1" si="10"/>
        <v>15867</v>
      </c>
      <c r="B170" s="5"/>
      <c r="C170" s="6"/>
      <c r="D170" s="6"/>
      <c r="E170" s="7"/>
      <c r="F170" s="8"/>
      <c r="G170" s="8"/>
      <c r="H170" s="9"/>
      <c r="I170" s="10"/>
      <c r="J170" s="11"/>
    </row>
    <row r="171" spans="1:10" x14ac:dyDescent="0.25">
      <c r="A171" s="1">
        <f t="shared" ca="1" si="10"/>
        <v>15868</v>
      </c>
      <c r="B171" s="5"/>
      <c r="C171" s="6"/>
      <c r="D171" s="6"/>
      <c r="E171" s="7"/>
      <c r="F171" s="8"/>
      <c r="G171" s="8"/>
      <c r="H171" s="9"/>
      <c r="I171" s="10"/>
      <c r="J171" s="11"/>
    </row>
    <row r="172" spans="1:10" x14ac:dyDescent="0.25">
      <c r="A172" s="1">
        <f t="shared" ca="1" si="10"/>
        <v>15869</v>
      </c>
      <c r="B172" s="5"/>
      <c r="C172" s="6"/>
      <c r="D172" s="6"/>
      <c r="E172" s="7"/>
      <c r="F172" s="8"/>
      <c r="G172" s="8"/>
      <c r="H172" s="9"/>
      <c r="I172" s="10"/>
      <c r="J172" s="11"/>
    </row>
    <row r="173" spans="1:10" x14ac:dyDescent="0.25">
      <c r="A173" s="1">
        <f t="shared" ca="1" si="10"/>
        <v>15870</v>
      </c>
      <c r="B173" s="5"/>
      <c r="C173" s="6"/>
      <c r="D173" s="6"/>
      <c r="E173" s="7"/>
      <c r="F173" s="8"/>
      <c r="G173" s="8"/>
      <c r="H173" s="9"/>
      <c r="I173" s="10"/>
      <c r="J173" s="11"/>
    </row>
    <row r="174" spans="1:10" x14ac:dyDescent="0.25">
      <c r="A174" s="1">
        <f t="shared" ca="1" si="10"/>
        <v>15871</v>
      </c>
      <c r="B174" s="5"/>
      <c r="C174" s="6"/>
      <c r="D174" s="6"/>
      <c r="E174" s="7"/>
      <c r="F174" s="8"/>
      <c r="G174" s="8"/>
      <c r="H174" s="9"/>
      <c r="I174" s="10"/>
      <c r="J174" s="11"/>
    </row>
    <row r="175" spans="1:10" x14ac:dyDescent="0.25">
      <c r="A175" s="1">
        <f t="shared" ca="1" si="10"/>
        <v>15872</v>
      </c>
      <c r="B175" s="5"/>
      <c r="C175" s="6"/>
      <c r="D175" s="6"/>
      <c r="E175" s="7"/>
      <c r="F175" s="8"/>
      <c r="G175" s="8"/>
      <c r="H175" s="9"/>
      <c r="I175" s="10"/>
      <c r="J175" s="11"/>
    </row>
    <row r="176" spans="1:10" x14ac:dyDescent="0.25">
      <c r="A176" s="1">
        <f t="shared" ca="1" si="10"/>
        <v>15873</v>
      </c>
      <c r="B176" s="5"/>
      <c r="C176" s="6"/>
      <c r="D176" s="6"/>
      <c r="E176" s="7"/>
      <c r="F176" s="8"/>
      <c r="G176" s="8"/>
      <c r="H176" s="9"/>
      <c r="I176" s="10"/>
      <c r="J176" s="11"/>
    </row>
    <row r="177" spans="1:10" x14ac:dyDescent="0.25">
      <c r="A177" s="1">
        <f t="shared" ca="1" si="10"/>
        <v>15874</v>
      </c>
      <c r="B177" s="5"/>
      <c r="C177" s="6"/>
      <c r="D177" s="6"/>
      <c r="E177" s="7"/>
      <c r="F177" s="8"/>
      <c r="G177" s="8"/>
      <c r="H177" s="9"/>
      <c r="I177" s="10"/>
      <c r="J177" s="11"/>
    </row>
    <row r="178" spans="1:10" x14ac:dyDescent="0.25">
      <c r="A178" s="1">
        <f t="shared" ca="1" si="10"/>
        <v>15875</v>
      </c>
      <c r="B178" s="5"/>
      <c r="C178" s="6"/>
      <c r="D178" s="6"/>
      <c r="E178" s="7"/>
      <c r="F178" s="8"/>
      <c r="G178" s="8"/>
      <c r="H178" s="9"/>
      <c r="I178" s="10"/>
      <c r="J178" s="11"/>
    </row>
    <row r="179" spans="1:10" x14ac:dyDescent="0.25">
      <c r="A179" s="1">
        <f t="shared" ca="1" si="10"/>
        <v>15876</v>
      </c>
      <c r="B179" s="5"/>
      <c r="C179" s="6"/>
      <c r="D179" s="6"/>
      <c r="E179" s="7"/>
      <c r="F179" s="8"/>
      <c r="G179" s="8"/>
      <c r="H179" s="9"/>
      <c r="I179" s="10"/>
      <c r="J179" s="11"/>
    </row>
    <row r="180" spans="1:10" x14ac:dyDescent="0.25">
      <c r="A180" s="1">
        <f t="shared" ca="1" si="10"/>
        <v>15877</v>
      </c>
      <c r="B180" s="5"/>
      <c r="C180" s="6"/>
      <c r="D180" s="6"/>
      <c r="E180" s="7"/>
      <c r="F180" s="8"/>
      <c r="G180" s="8"/>
      <c r="H180" s="9"/>
      <c r="I180" s="10"/>
      <c r="J180" s="11"/>
    </row>
    <row r="181" spans="1:10" x14ac:dyDescent="0.25">
      <c r="A181" s="1">
        <f t="shared" ca="1" si="10"/>
        <v>15878</v>
      </c>
      <c r="B181" s="5"/>
      <c r="C181" s="6"/>
      <c r="D181" s="6"/>
      <c r="E181" s="7"/>
      <c r="F181" s="8"/>
      <c r="G181" s="8"/>
      <c r="H181" s="9"/>
      <c r="I181" s="10"/>
      <c r="J181" s="11"/>
    </row>
    <row r="182" spans="1:10" x14ac:dyDescent="0.25">
      <c r="A182" s="1">
        <f t="shared" ca="1" si="10"/>
        <v>15879</v>
      </c>
      <c r="B182" s="5"/>
      <c r="C182" s="6"/>
      <c r="D182" s="6"/>
      <c r="E182" s="7"/>
      <c r="F182" s="8"/>
      <c r="G182" s="8"/>
      <c r="H182" s="9"/>
      <c r="I182" s="10"/>
      <c r="J182" s="11"/>
    </row>
    <row r="183" spans="1:10" x14ac:dyDescent="0.25">
      <c r="A183" s="1">
        <f t="shared" ca="1" si="10"/>
        <v>15880</v>
      </c>
      <c r="B183" s="5"/>
      <c r="C183" s="6"/>
      <c r="D183" s="6"/>
      <c r="E183" s="7"/>
      <c r="F183" s="8"/>
      <c r="G183" s="8"/>
      <c r="H183" s="9"/>
      <c r="I183" s="10"/>
      <c r="J183" s="11"/>
    </row>
    <row r="184" spans="1:10" x14ac:dyDescent="0.25">
      <c r="A184" s="1">
        <f t="shared" ca="1" si="10"/>
        <v>15881</v>
      </c>
      <c r="B184" s="5"/>
      <c r="C184" s="6"/>
      <c r="D184" s="6"/>
      <c r="E184" s="7"/>
      <c r="F184" s="8"/>
      <c r="G184" s="8"/>
      <c r="H184" s="9"/>
      <c r="I184" s="10"/>
      <c r="J184" s="11"/>
    </row>
    <row r="185" spans="1:10" x14ac:dyDescent="0.25">
      <c r="A185" s="1">
        <f t="shared" ca="1" si="10"/>
        <v>15882</v>
      </c>
      <c r="B185" s="5"/>
      <c r="C185" s="6"/>
      <c r="D185" s="6"/>
      <c r="E185" s="7"/>
      <c r="F185" s="8"/>
      <c r="G185" s="8"/>
      <c r="H185" s="9"/>
      <c r="I185" s="10"/>
      <c r="J185" s="11"/>
    </row>
    <row r="186" spans="1:10" x14ac:dyDescent="0.25">
      <c r="A186" s="1">
        <f t="shared" ca="1" si="10"/>
        <v>15883</v>
      </c>
      <c r="B186" s="5"/>
      <c r="C186" s="6"/>
      <c r="D186" s="6"/>
      <c r="E186" s="7"/>
      <c r="F186" s="8"/>
      <c r="G186" s="8"/>
      <c r="H186" s="9"/>
      <c r="I186" s="10"/>
      <c r="J186" s="11"/>
    </row>
    <row r="187" spans="1:10" x14ac:dyDescent="0.25">
      <c r="A187" s="1">
        <f t="shared" ca="1" si="10"/>
        <v>15884</v>
      </c>
      <c r="B187" s="5"/>
      <c r="C187" s="6"/>
      <c r="D187" s="6"/>
      <c r="E187" s="7"/>
      <c r="F187" s="8"/>
      <c r="G187" s="8"/>
      <c r="H187" s="9"/>
      <c r="I187" s="10"/>
      <c r="J187" s="11"/>
    </row>
    <row r="188" spans="1:10" x14ac:dyDescent="0.25">
      <c r="A188" s="1">
        <f t="shared" ca="1" si="10"/>
        <v>15885</v>
      </c>
      <c r="B188" s="5"/>
      <c r="C188" s="6"/>
      <c r="D188" s="6"/>
      <c r="E188" s="7"/>
      <c r="F188" s="8"/>
      <c r="G188" s="8"/>
      <c r="H188" s="9"/>
      <c r="I188" s="10"/>
      <c r="J188" s="11"/>
    </row>
    <row r="189" spans="1:10" x14ac:dyDescent="0.25">
      <c r="A189" s="1">
        <f t="shared" ca="1" si="10"/>
        <v>15886</v>
      </c>
      <c r="B189" s="5"/>
      <c r="C189" s="6"/>
      <c r="D189" s="6"/>
      <c r="E189" s="7"/>
      <c r="F189" s="8"/>
      <c r="G189" s="8"/>
      <c r="H189" s="9"/>
      <c r="I189" s="10"/>
      <c r="J189" s="11"/>
    </row>
    <row r="190" spans="1:10" x14ac:dyDescent="0.25">
      <c r="A190" s="1">
        <f t="shared" ca="1" si="10"/>
        <v>15887</v>
      </c>
      <c r="B190" s="5"/>
      <c r="C190" s="6"/>
      <c r="D190" s="6"/>
      <c r="E190" s="7"/>
      <c r="F190" s="8"/>
      <c r="G190" s="8"/>
      <c r="H190" s="9"/>
      <c r="I190" s="10"/>
      <c r="J190" s="11"/>
    </row>
    <row r="191" spans="1:10" x14ac:dyDescent="0.25">
      <c r="A191" s="1" t="str">
        <f t="shared" ca="1" si="10"/>
        <v>Totaal</v>
      </c>
      <c r="B191" s="28" t="str">
        <f t="shared" ref="B191:G191" si="16">IF(COUNT(B161:B190)&gt;0,AVERAGE(B161:B190),"")</f>
        <v/>
      </c>
      <c r="C191" s="29" t="str">
        <f t="shared" si="16"/>
        <v/>
      </c>
      <c r="D191" s="29" t="str">
        <f t="shared" si="16"/>
        <v/>
      </c>
      <c r="E191" s="30" t="str">
        <f t="shared" si="16"/>
        <v/>
      </c>
      <c r="F191" s="31" t="str">
        <f t="shared" si="16"/>
        <v/>
      </c>
      <c r="G191" s="31" t="str">
        <f t="shared" si="16"/>
        <v/>
      </c>
      <c r="H191" s="32">
        <f>SUM(H161:H190)/10</f>
        <v>0</v>
      </c>
      <c r="I191" s="33">
        <f>SUM(I161:I190)/10</f>
        <v>0</v>
      </c>
      <c r="J191" s="34">
        <f>SUM(J161:J190)/10</f>
        <v>0</v>
      </c>
    </row>
    <row r="192" spans="1:10" x14ac:dyDescent="0.25">
      <c r="A192" s="1">
        <f t="shared" ca="1" si="10"/>
        <v>15888</v>
      </c>
      <c r="B192" s="5"/>
      <c r="C192" s="6"/>
      <c r="D192" s="6"/>
      <c r="E192" s="7"/>
      <c r="F192" s="8"/>
      <c r="G192" s="8"/>
      <c r="H192" s="9"/>
      <c r="I192" s="10"/>
      <c r="J192" s="11"/>
    </row>
    <row r="193" spans="1:10" x14ac:dyDescent="0.25">
      <c r="A193" s="1">
        <f t="shared" ca="1" si="10"/>
        <v>15889</v>
      </c>
      <c r="B193" s="5"/>
      <c r="C193" s="6"/>
      <c r="D193" s="6"/>
      <c r="E193" s="7"/>
      <c r="F193" s="8"/>
      <c r="G193" s="8"/>
      <c r="H193" s="9"/>
      <c r="I193" s="10"/>
      <c r="J193" s="11"/>
    </row>
    <row r="194" spans="1:10" x14ac:dyDescent="0.25">
      <c r="A194" s="1">
        <f t="shared" ca="1" si="10"/>
        <v>15890</v>
      </c>
      <c r="B194" s="5"/>
      <c r="C194" s="6"/>
      <c r="D194" s="6"/>
      <c r="E194" s="7"/>
      <c r="F194" s="8"/>
      <c r="G194" s="8"/>
      <c r="H194" s="9"/>
      <c r="I194" s="10"/>
      <c r="J194" s="11"/>
    </row>
    <row r="195" spans="1:10" x14ac:dyDescent="0.25">
      <c r="A195" s="1">
        <f t="shared" ca="1" si="10"/>
        <v>15891</v>
      </c>
      <c r="B195" s="5"/>
      <c r="C195" s="6"/>
      <c r="D195" s="6"/>
      <c r="E195" s="7"/>
      <c r="F195" s="8"/>
      <c r="G195" s="8"/>
      <c r="H195" s="9"/>
      <c r="I195" s="10"/>
      <c r="J195" s="11"/>
    </row>
    <row r="196" spans="1:10" x14ac:dyDescent="0.25">
      <c r="A196" s="1">
        <f t="shared" ca="1" si="10"/>
        <v>15892</v>
      </c>
      <c r="B196" s="5"/>
      <c r="C196" s="6"/>
      <c r="D196" s="6"/>
      <c r="E196" s="7"/>
      <c r="F196" s="8"/>
      <c r="G196" s="8"/>
      <c r="H196" s="9"/>
      <c r="I196" s="10"/>
      <c r="J196" s="11"/>
    </row>
    <row r="197" spans="1:10" x14ac:dyDescent="0.25">
      <c r="A197" s="1">
        <f t="shared" ca="1" si="10"/>
        <v>15893</v>
      </c>
      <c r="B197" s="5"/>
      <c r="C197" s="6"/>
      <c r="D197" s="6"/>
      <c r="E197" s="7"/>
      <c r="F197" s="8"/>
      <c r="G197" s="8"/>
      <c r="H197" s="9"/>
      <c r="I197" s="10"/>
      <c r="J197" s="11"/>
    </row>
    <row r="198" spans="1:10" x14ac:dyDescent="0.25">
      <c r="A198" s="1">
        <f t="shared" ca="1" si="10"/>
        <v>15894</v>
      </c>
      <c r="B198" s="5"/>
      <c r="C198" s="6"/>
      <c r="D198" s="6"/>
      <c r="E198" s="7"/>
      <c r="F198" s="8"/>
      <c r="G198" s="8"/>
      <c r="H198" s="9"/>
      <c r="I198" s="10"/>
      <c r="J198" s="11"/>
    </row>
    <row r="199" spans="1:10" x14ac:dyDescent="0.25">
      <c r="A199" s="1">
        <f t="shared" ref="A199:A262" ca="1" si="17">IF(ISTEXT(A198),A197+1,IF(MONTH(A198+1)=MONTH(A198),A198+1,"Totaal"))</f>
        <v>15895</v>
      </c>
      <c r="B199" s="5"/>
      <c r="C199" s="6"/>
      <c r="D199" s="6"/>
      <c r="E199" s="7"/>
      <c r="F199" s="8"/>
      <c r="G199" s="8"/>
      <c r="H199" s="9"/>
      <c r="I199" s="10"/>
      <c r="J199" s="11"/>
    </row>
    <row r="200" spans="1:10" x14ac:dyDescent="0.25">
      <c r="A200" s="1">
        <f t="shared" ca="1" si="17"/>
        <v>15896</v>
      </c>
      <c r="B200" s="5"/>
      <c r="C200" s="6"/>
      <c r="D200" s="6"/>
      <c r="E200" s="7"/>
      <c r="F200" s="8"/>
      <c r="G200" s="8"/>
      <c r="H200" s="9"/>
      <c r="I200" s="10"/>
      <c r="J200" s="11"/>
    </row>
    <row r="201" spans="1:10" x14ac:dyDescent="0.25">
      <c r="A201" s="1">
        <f t="shared" ca="1" si="17"/>
        <v>15897</v>
      </c>
      <c r="B201" s="5"/>
      <c r="C201" s="6"/>
      <c r="D201" s="6"/>
      <c r="E201" s="7"/>
      <c r="F201" s="8"/>
      <c r="G201" s="8"/>
      <c r="H201" s="9"/>
      <c r="I201" s="10"/>
      <c r="J201" s="11"/>
    </row>
    <row r="202" spans="1:10" x14ac:dyDescent="0.25">
      <c r="A202" s="1">
        <f t="shared" ca="1" si="17"/>
        <v>15898</v>
      </c>
      <c r="B202" s="5"/>
      <c r="C202" s="6"/>
      <c r="D202" s="6"/>
      <c r="E202" s="7"/>
      <c r="F202" s="8"/>
      <c r="G202" s="8"/>
      <c r="H202" s="9"/>
      <c r="I202" s="10"/>
      <c r="J202" s="11"/>
    </row>
    <row r="203" spans="1:10" x14ac:dyDescent="0.25">
      <c r="A203" s="1">
        <f t="shared" ca="1" si="17"/>
        <v>15899</v>
      </c>
      <c r="B203" s="5"/>
      <c r="C203" s="6"/>
      <c r="D203" s="6"/>
      <c r="E203" s="7"/>
      <c r="F203" s="8"/>
      <c r="G203" s="8"/>
      <c r="H203" s="9"/>
      <c r="I203" s="10"/>
      <c r="J203" s="11"/>
    </row>
    <row r="204" spans="1:10" x14ac:dyDescent="0.25">
      <c r="A204" s="1">
        <f t="shared" ca="1" si="17"/>
        <v>15900</v>
      </c>
      <c r="B204" s="5"/>
      <c r="C204" s="6"/>
      <c r="D204" s="6"/>
      <c r="E204" s="7"/>
      <c r="F204" s="8"/>
      <c r="G204" s="8"/>
      <c r="H204" s="9"/>
      <c r="I204" s="10"/>
      <c r="J204" s="11"/>
    </row>
    <row r="205" spans="1:10" x14ac:dyDescent="0.25">
      <c r="A205" s="1">
        <f t="shared" ca="1" si="17"/>
        <v>15901</v>
      </c>
      <c r="B205" s="5"/>
      <c r="C205" s="6"/>
      <c r="D205" s="6"/>
      <c r="E205" s="7"/>
      <c r="F205" s="8"/>
      <c r="G205" s="8"/>
      <c r="H205" s="9"/>
      <c r="I205" s="10"/>
      <c r="J205" s="11"/>
    </row>
    <row r="206" spans="1:10" x14ac:dyDescent="0.25">
      <c r="A206" s="1">
        <f t="shared" ca="1" si="17"/>
        <v>15902</v>
      </c>
      <c r="B206" s="5"/>
      <c r="C206" s="6"/>
      <c r="D206" s="6"/>
      <c r="E206" s="7"/>
      <c r="F206" s="8"/>
      <c r="G206" s="8"/>
      <c r="H206" s="9"/>
      <c r="I206" s="10"/>
      <c r="J206" s="11"/>
    </row>
    <row r="207" spans="1:10" x14ac:dyDescent="0.25">
      <c r="A207" s="1">
        <f t="shared" ca="1" si="17"/>
        <v>15903</v>
      </c>
      <c r="B207" s="5"/>
      <c r="C207" s="6"/>
      <c r="D207" s="6"/>
      <c r="E207" s="7"/>
      <c r="F207" s="8"/>
      <c r="G207" s="8"/>
      <c r="H207" s="9"/>
      <c r="I207" s="10"/>
      <c r="J207" s="11"/>
    </row>
    <row r="208" spans="1:10" x14ac:dyDescent="0.25">
      <c r="A208" s="1">
        <f t="shared" ca="1" si="17"/>
        <v>15904</v>
      </c>
      <c r="B208" s="5"/>
      <c r="C208" s="6"/>
      <c r="D208" s="6"/>
      <c r="E208" s="7"/>
      <c r="F208" s="8"/>
      <c r="G208" s="8"/>
      <c r="H208" s="9"/>
      <c r="I208" s="10"/>
      <c r="J208" s="11"/>
    </row>
    <row r="209" spans="1:10" x14ac:dyDescent="0.25">
      <c r="A209" s="1">
        <f t="shared" ca="1" si="17"/>
        <v>15905</v>
      </c>
      <c r="B209" s="5"/>
      <c r="C209" s="6"/>
      <c r="D209" s="6"/>
      <c r="E209" s="7"/>
      <c r="F209" s="8"/>
      <c r="G209" s="8"/>
      <c r="H209" s="9"/>
      <c r="I209" s="10"/>
      <c r="J209" s="11"/>
    </row>
    <row r="210" spans="1:10" x14ac:dyDescent="0.25">
      <c r="A210" s="1">
        <f t="shared" ca="1" si="17"/>
        <v>15906</v>
      </c>
      <c r="B210" s="5"/>
      <c r="C210" s="6"/>
      <c r="D210" s="6"/>
      <c r="E210" s="7"/>
      <c r="F210" s="8"/>
      <c r="G210" s="8"/>
      <c r="H210" s="9"/>
      <c r="I210" s="10"/>
      <c r="J210" s="11"/>
    </row>
    <row r="211" spans="1:10" x14ac:dyDescent="0.25">
      <c r="A211" s="1">
        <f t="shared" ca="1" si="17"/>
        <v>15907</v>
      </c>
      <c r="B211" s="5"/>
      <c r="C211" s="6"/>
      <c r="D211" s="6"/>
      <c r="E211" s="7"/>
      <c r="F211" s="8"/>
      <c r="G211" s="8"/>
      <c r="H211" s="9"/>
      <c r="I211" s="10"/>
      <c r="J211" s="11"/>
    </row>
    <row r="212" spans="1:10" x14ac:dyDescent="0.25">
      <c r="A212" s="1">
        <f t="shared" ca="1" si="17"/>
        <v>15908</v>
      </c>
      <c r="B212" s="5"/>
      <c r="C212" s="6"/>
      <c r="D212" s="6"/>
      <c r="E212" s="7"/>
      <c r="F212" s="8"/>
      <c r="G212" s="8"/>
      <c r="H212" s="9"/>
      <c r="I212" s="10"/>
      <c r="J212" s="11"/>
    </row>
    <row r="213" spans="1:10" x14ac:dyDescent="0.25">
      <c r="A213" s="1">
        <f t="shared" ca="1" si="17"/>
        <v>15909</v>
      </c>
      <c r="B213" s="5"/>
      <c r="C213" s="6"/>
      <c r="D213" s="6"/>
      <c r="E213" s="7"/>
      <c r="F213" s="8"/>
      <c r="G213" s="8"/>
      <c r="H213" s="9"/>
      <c r="I213" s="10"/>
      <c r="J213" s="11"/>
    </row>
    <row r="214" spans="1:10" x14ac:dyDescent="0.25">
      <c r="A214" s="1">
        <f t="shared" ca="1" si="17"/>
        <v>15910</v>
      </c>
      <c r="B214" s="5"/>
      <c r="C214" s="6"/>
      <c r="D214" s="6"/>
      <c r="E214" s="7"/>
      <c r="F214" s="8"/>
      <c r="G214" s="8"/>
      <c r="H214" s="9"/>
      <c r="I214" s="10"/>
      <c r="J214" s="11"/>
    </row>
    <row r="215" spans="1:10" x14ac:dyDescent="0.25">
      <c r="A215" s="1">
        <f t="shared" ca="1" si="17"/>
        <v>15911</v>
      </c>
      <c r="B215" s="5"/>
      <c r="C215" s="6"/>
      <c r="D215" s="6"/>
      <c r="E215" s="7"/>
      <c r="F215" s="8"/>
      <c r="G215" s="8"/>
      <c r="H215" s="9"/>
      <c r="I215" s="10"/>
      <c r="J215" s="11"/>
    </row>
    <row r="216" spans="1:10" x14ac:dyDescent="0.25">
      <c r="A216" s="1">
        <f t="shared" ca="1" si="17"/>
        <v>15912</v>
      </c>
      <c r="B216" s="5"/>
      <c r="C216" s="6"/>
      <c r="D216" s="6"/>
      <c r="E216" s="7"/>
      <c r="F216" s="8"/>
      <c r="G216" s="8"/>
      <c r="H216" s="9"/>
      <c r="I216" s="10"/>
      <c r="J216" s="11"/>
    </row>
    <row r="217" spans="1:10" x14ac:dyDescent="0.25">
      <c r="A217" s="1">
        <f t="shared" ca="1" si="17"/>
        <v>15913</v>
      </c>
      <c r="B217" s="5"/>
      <c r="C217" s="6"/>
      <c r="D217" s="6"/>
      <c r="E217" s="7"/>
      <c r="F217" s="8"/>
      <c r="G217" s="8"/>
      <c r="H217" s="9"/>
      <c r="I217" s="10"/>
      <c r="J217" s="11"/>
    </row>
    <row r="218" spans="1:10" x14ac:dyDescent="0.25">
      <c r="A218" s="1">
        <f t="shared" ca="1" si="17"/>
        <v>15914</v>
      </c>
      <c r="B218" s="5"/>
      <c r="C218" s="6"/>
      <c r="D218" s="6"/>
      <c r="E218" s="7"/>
      <c r="F218" s="8"/>
      <c r="G218" s="8"/>
      <c r="H218" s="9"/>
      <c r="I218" s="10"/>
      <c r="J218" s="11"/>
    </row>
    <row r="219" spans="1:10" x14ac:dyDescent="0.25">
      <c r="A219" s="1">
        <f t="shared" ca="1" si="17"/>
        <v>15915</v>
      </c>
      <c r="B219" s="5"/>
      <c r="C219" s="6"/>
      <c r="D219" s="6"/>
      <c r="E219" s="7"/>
      <c r="F219" s="8"/>
      <c r="G219" s="8"/>
      <c r="H219" s="9"/>
      <c r="I219" s="10"/>
      <c r="J219" s="11"/>
    </row>
    <row r="220" spans="1:10" x14ac:dyDescent="0.25">
      <c r="A220" s="1">
        <f t="shared" ca="1" si="17"/>
        <v>15916</v>
      </c>
      <c r="B220" s="5"/>
      <c r="C220" s="6"/>
      <c r="D220" s="6"/>
      <c r="E220" s="7"/>
      <c r="F220" s="8"/>
      <c r="G220" s="8"/>
      <c r="H220" s="9"/>
      <c r="I220" s="10"/>
      <c r="J220" s="11"/>
    </row>
    <row r="221" spans="1:10" x14ac:dyDescent="0.25">
      <c r="A221" s="1">
        <f t="shared" ca="1" si="17"/>
        <v>15917</v>
      </c>
      <c r="B221" s="5"/>
      <c r="C221" s="6"/>
      <c r="D221" s="6"/>
      <c r="E221" s="7"/>
      <c r="F221" s="8"/>
      <c r="G221" s="8"/>
      <c r="H221" s="9"/>
      <c r="I221" s="10"/>
      <c r="J221" s="11"/>
    </row>
    <row r="222" spans="1:10" x14ac:dyDescent="0.25">
      <c r="A222" s="1">
        <f t="shared" ca="1" si="17"/>
        <v>15918</v>
      </c>
      <c r="B222" s="5"/>
      <c r="C222" s="6"/>
      <c r="D222" s="6"/>
      <c r="E222" s="7"/>
      <c r="F222" s="8"/>
      <c r="G222" s="8"/>
      <c r="H222" s="9"/>
      <c r="I222" s="10"/>
      <c r="J222" s="11"/>
    </row>
    <row r="223" spans="1:10" x14ac:dyDescent="0.25">
      <c r="A223" s="1" t="str">
        <f t="shared" ca="1" si="17"/>
        <v>Totaal</v>
      </c>
      <c r="B223" s="28" t="str">
        <f>IF(COUNT(B192:B222)&gt;0,AVERAGE(B192:B222),"")</f>
        <v/>
      </c>
      <c r="C223" s="29" t="str">
        <f t="shared" ref="C223" si="18">IF(COUNT(C192:C222)&gt;0,AVERAGE(C192:C222),"")</f>
        <v/>
      </c>
      <c r="D223" s="29" t="str">
        <f t="shared" ref="D223" si="19">IF(COUNT(D192:D222)&gt;0,AVERAGE(D192:D222),"")</f>
        <v/>
      </c>
      <c r="E223" s="30" t="str">
        <f t="shared" ref="E223" si="20">IF(COUNT(E192:E222)&gt;0,AVERAGE(E192:E222),"")</f>
        <v/>
      </c>
      <c r="F223" s="31" t="str">
        <f t="shared" ref="F223" si="21">IF(COUNT(F192:F222)&gt;0,AVERAGE(F192:F222),"")</f>
        <v/>
      </c>
      <c r="G223" s="31" t="str">
        <f t="shared" ref="G223" si="22">IF(COUNT(G192:G222)&gt;0,AVERAGE(G192:G222),"")</f>
        <v/>
      </c>
      <c r="H223" s="32">
        <f>SUM(H192:H222)/10</f>
        <v>0</v>
      </c>
      <c r="I223" s="33">
        <f>SUM(I192:I222)/10</f>
        <v>0</v>
      </c>
      <c r="J223" s="34">
        <f>SUM(J192:J222)/10</f>
        <v>0</v>
      </c>
    </row>
    <row r="224" spans="1:10" x14ac:dyDescent="0.25">
      <c r="A224" s="1">
        <f t="shared" ca="1" si="17"/>
        <v>15919</v>
      </c>
      <c r="B224" s="5">
        <v>753</v>
      </c>
      <c r="C224" s="6">
        <v>751</v>
      </c>
      <c r="D224" s="6">
        <v>752</v>
      </c>
      <c r="E224" s="7">
        <v>26</v>
      </c>
      <c r="F224" s="8">
        <v>26</v>
      </c>
      <c r="G224" s="8">
        <v>26</v>
      </c>
      <c r="H224" s="9">
        <v>0</v>
      </c>
      <c r="I224" s="10"/>
      <c r="J224" s="11"/>
    </row>
    <row r="225" spans="1:10" x14ac:dyDescent="0.25">
      <c r="A225" s="1">
        <f t="shared" ca="1" si="17"/>
        <v>15920</v>
      </c>
      <c r="B225" s="5">
        <v>752</v>
      </c>
      <c r="C225" s="6">
        <v>750</v>
      </c>
      <c r="D225" s="6">
        <v>750</v>
      </c>
      <c r="E225" s="7">
        <v>27</v>
      </c>
      <c r="F225" s="8">
        <v>27</v>
      </c>
      <c r="G225" s="8">
        <v>27</v>
      </c>
      <c r="H225" s="9">
        <v>0</v>
      </c>
      <c r="I225" s="10"/>
      <c r="J225" s="11"/>
    </row>
    <row r="226" spans="1:10" x14ac:dyDescent="0.25">
      <c r="A226" s="1">
        <f t="shared" ca="1" si="17"/>
        <v>15921</v>
      </c>
      <c r="B226" s="5">
        <v>750</v>
      </c>
      <c r="C226" s="6">
        <v>750</v>
      </c>
      <c r="D226" s="6">
        <v>750</v>
      </c>
      <c r="E226" s="7">
        <v>27</v>
      </c>
      <c r="F226" s="8">
        <v>27</v>
      </c>
      <c r="G226" s="8">
        <v>27</v>
      </c>
      <c r="H226" s="9">
        <v>105</v>
      </c>
      <c r="I226" s="10"/>
      <c r="J226" s="11"/>
    </row>
    <row r="227" spans="1:10" x14ac:dyDescent="0.25">
      <c r="A227" s="1">
        <f t="shared" ca="1" si="17"/>
        <v>15922</v>
      </c>
      <c r="B227" s="5">
        <v>750</v>
      </c>
      <c r="C227" s="6">
        <v>750</v>
      </c>
      <c r="D227" s="6">
        <v>750</v>
      </c>
      <c r="E227" s="7">
        <v>28</v>
      </c>
      <c r="F227" s="8">
        <v>28</v>
      </c>
      <c r="G227" s="8">
        <v>28</v>
      </c>
      <c r="H227" s="9">
        <v>0</v>
      </c>
      <c r="I227" s="10"/>
      <c r="J227" s="11"/>
    </row>
    <row r="228" spans="1:10" x14ac:dyDescent="0.25">
      <c r="A228" s="1">
        <f t="shared" ca="1" si="17"/>
        <v>15923</v>
      </c>
      <c r="B228" s="5">
        <v>750</v>
      </c>
      <c r="C228" s="6">
        <v>750</v>
      </c>
      <c r="D228" s="6">
        <v>750</v>
      </c>
      <c r="E228" s="7">
        <v>28</v>
      </c>
      <c r="F228" s="8">
        <v>28</v>
      </c>
      <c r="G228" s="8">
        <v>28</v>
      </c>
      <c r="H228" s="9">
        <v>230</v>
      </c>
      <c r="I228" s="10"/>
      <c r="J228" s="11"/>
    </row>
    <row r="229" spans="1:10" x14ac:dyDescent="0.25">
      <c r="A229" s="1">
        <f t="shared" ca="1" si="17"/>
        <v>15924</v>
      </c>
      <c r="B229" s="5">
        <v>751</v>
      </c>
      <c r="C229" s="6">
        <v>750</v>
      </c>
      <c r="D229" s="6">
        <v>751</v>
      </c>
      <c r="E229" s="7">
        <v>28</v>
      </c>
      <c r="F229" s="8">
        <v>28</v>
      </c>
      <c r="G229" s="8">
        <v>28</v>
      </c>
      <c r="H229" s="9">
        <v>0</v>
      </c>
      <c r="I229" s="10"/>
      <c r="J229" s="11"/>
    </row>
    <row r="230" spans="1:10" x14ac:dyDescent="0.25">
      <c r="A230" s="1">
        <f t="shared" ca="1" si="17"/>
        <v>15925</v>
      </c>
      <c r="B230" s="5">
        <v>750</v>
      </c>
      <c r="C230" s="6">
        <v>750</v>
      </c>
      <c r="D230" s="6">
        <v>750</v>
      </c>
      <c r="E230" s="7">
        <v>28</v>
      </c>
      <c r="F230" s="8">
        <v>28</v>
      </c>
      <c r="G230" s="8">
        <v>28</v>
      </c>
      <c r="H230" s="9">
        <v>0</v>
      </c>
      <c r="I230" s="10"/>
      <c r="J230" s="11"/>
    </row>
    <row r="231" spans="1:10" x14ac:dyDescent="0.25">
      <c r="A231" s="1">
        <f t="shared" ca="1" si="17"/>
        <v>15926</v>
      </c>
      <c r="B231" s="5">
        <v>749</v>
      </c>
      <c r="C231" s="6">
        <v>749</v>
      </c>
      <c r="D231" s="6">
        <v>749</v>
      </c>
      <c r="E231" s="7">
        <v>28</v>
      </c>
      <c r="F231" s="8">
        <v>27</v>
      </c>
      <c r="G231" s="8">
        <v>27</v>
      </c>
      <c r="H231" s="9">
        <v>0</v>
      </c>
      <c r="I231" s="10"/>
      <c r="J231" s="11"/>
    </row>
    <row r="232" spans="1:10" x14ac:dyDescent="0.25">
      <c r="A232" s="1">
        <f t="shared" ca="1" si="17"/>
        <v>15927</v>
      </c>
      <c r="B232" s="5">
        <v>751</v>
      </c>
      <c r="C232" s="6">
        <v>750</v>
      </c>
      <c r="D232" s="6">
        <v>751</v>
      </c>
      <c r="E232" s="7">
        <v>28</v>
      </c>
      <c r="F232" s="8">
        <v>28</v>
      </c>
      <c r="G232" s="8">
        <v>28</v>
      </c>
      <c r="H232" s="9">
        <v>0</v>
      </c>
      <c r="I232" s="10"/>
      <c r="J232" s="11"/>
    </row>
    <row r="233" spans="1:10" x14ac:dyDescent="0.25">
      <c r="A233" s="1">
        <f t="shared" ca="1" si="17"/>
        <v>15928</v>
      </c>
      <c r="B233" s="5">
        <v>751</v>
      </c>
      <c r="C233" s="6">
        <v>750</v>
      </c>
      <c r="D233" s="6">
        <v>751</v>
      </c>
      <c r="E233" s="7">
        <v>27</v>
      </c>
      <c r="F233" s="8">
        <v>27</v>
      </c>
      <c r="G233" s="8">
        <v>27</v>
      </c>
      <c r="H233" s="9">
        <v>0</v>
      </c>
      <c r="I233" s="10"/>
      <c r="J233" s="11"/>
    </row>
    <row r="234" spans="1:10" x14ac:dyDescent="0.25">
      <c r="A234" s="1">
        <f t="shared" ca="1" si="17"/>
        <v>15929</v>
      </c>
      <c r="B234" s="5">
        <v>751</v>
      </c>
      <c r="C234" s="6">
        <v>750</v>
      </c>
      <c r="D234" s="6">
        <v>751</v>
      </c>
      <c r="E234" s="7">
        <v>26</v>
      </c>
      <c r="F234" s="8">
        <v>31</v>
      </c>
      <c r="G234" s="8">
        <v>29</v>
      </c>
      <c r="H234" s="9">
        <v>0</v>
      </c>
      <c r="I234" s="10"/>
      <c r="J234" s="11"/>
    </row>
    <row r="235" spans="1:10" x14ac:dyDescent="0.25">
      <c r="A235" s="1">
        <f t="shared" ca="1" si="17"/>
        <v>15930</v>
      </c>
      <c r="B235" s="5">
        <v>751</v>
      </c>
      <c r="C235" s="6">
        <v>749</v>
      </c>
      <c r="D235" s="6">
        <v>749</v>
      </c>
      <c r="E235" s="7">
        <v>26.5</v>
      </c>
      <c r="F235" s="8">
        <v>27</v>
      </c>
      <c r="G235" s="8">
        <v>27</v>
      </c>
      <c r="H235" s="9">
        <v>0</v>
      </c>
      <c r="I235" s="10"/>
      <c r="J235" s="11"/>
    </row>
    <row r="236" spans="1:10" x14ac:dyDescent="0.25">
      <c r="A236" s="1">
        <f t="shared" ca="1" si="17"/>
        <v>15931</v>
      </c>
      <c r="B236" s="5">
        <v>748</v>
      </c>
      <c r="C236" s="6">
        <v>747</v>
      </c>
      <c r="D236" s="6">
        <v>746</v>
      </c>
      <c r="E236" s="7">
        <v>26</v>
      </c>
      <c r="F236" s="8">
        <v>26</v>
      </c>
      <c r="G236" s="8">
        <v>26</v>
      </c>
      <c r="H236" s="9">
        <v>0</v>
      </c>
      <c r="I236" s="10"/>
      <c r="J236" s="11"/>
    </row>
    <row r="237" spans="1:10" x14ac:dyDescent="0.25">
      <c r="A237" s="1">
        <f t="shared" ca="1" si="17"/>
        <v>15932</v>
      </c>
      <c r="B237" s="5">
        <v>748</v>
      </c>
      <c r="C237" s="6">
        <v>749</v>
      </c>
      <c r="D237" s="6">
        <v>749</v>
      </c>
      <c r="E237" s="7">
        <v>31</v>
      </c>
      <c r="F237" s="8">
        <v>28</v>
      </c>
      <c r="G237" s="8">
        <v>27</v>
      </c>
      <c r="H237" s="9">
        <v>0</v>
      </c>
      <c r="I237" s="10"/>
      <c r="J237" s="11"/>
    </row>
    <row r="238" spans="1:10" x14ac:dyDescent="0.25">
      <c r="A238" s="1">
        <f t="shared" ca="1" si="17"/>
        <v>15933</v>
      </c>
      <c r="B238" s="5">
        <v>750</v>
      </c>
      <c r="C238" s="6">
        <v>748</v>
      </c>
      <c r="D238" s="6">
        <v>748</v>
      </c>
      <c r="E238" s="7">
        <v>30.5</v>
      </c>
      <c r="F238" s="8">
        <v>28</v>
      </c>
      <c r="G238" s="8">
        <v>26</v>
      </c>
      <c r="H238" s="9">
        <v>200</v>
      </c>
      <c r="I238" s="10"/>
      <c r="J238" s="11"/>
    </row>
    <row r="239" spans="1:10" x14ac:dyDescent="0.25">
      <c r="A239" s="1">
        <f t="shared" ca="1" si="17"/>
        <v>15934</v>
      </c>
      <c r="B239" s="5">
        <v>747</v>
      </c>
      <c r="C239" s="6">
        <v>746</v>
      </c>
      <c r="D239" s="6">
        <v>747</v>
      </c>
      <c r="E239" s="7">
        <v>26</v>
      </c>
      <c r="F239" s="8">
        <v>27</v>
      </c>
      <c r="G239" s="8">
        <v>26</v>
      </c>
      <c r="H239" s="9">
        <v>0</v>
      </c>
      <c r="I239" s="10"/>
      <c r="J239" s="11"/>
    </row>
    <row r="240" spans="1:10" x14ac:dyDescent="0.25">
      <c r="A240" s="1">
        <f t="shared" ca="1" si="17"/>
        <v>15935</v>
      </c>
      <c r="B240" s="5">
        <v>749</v>
      </c>
      <c r="C240" s="6">
        <v>748</v>
      </c>
      <c r="D240" s="6">
        <v>750</v>
      </c>
      <c r="E240" s="7">
        <v>26.5</v>
      </c>
      <c r="F240" s="8">
        <v>30</v>
      </c>
      <c r="G240" s="8">
        <v>28</v>
      </c>
      <c r="H240" s="9">
        <v>260</v>
      </c>
      <c r="I240" s="10"/>
      <c r="J240" s="11"/>
    </row>
    <row r="241" spans="1:10" x14ac:dyDescent="0.25">
      <c r="A241" s="1">
        <f t="shared" ca="1" si="17"/>
        <v>15936</v>
      </c>
      <c r="B241" s="5">
        <v>750</v>
      </c>
      <c r="C241" s="6">
        <v>748</v>
      </c>
      <c r="D241" s="6">
        <v>748</v>
      </c>
      <c r="E241" s="7">
        <v>26.5</v>
      </c>
      <c r="F241" s="8">
        <v>29</v>
      </c>
      <c r="G241" s="8">
        <v>28</v>
      </c>
      <c r="H241" s="9">
        <v>0</v>
      </c>
      <c r="I241" s="10"/>
      <c r="J241" s="11"/>
    </row>
    <row r="242" spans="1:10" x14ac:dyDescent="0.25">
      <c r="A242" s="1">
        <f t="shared" ca="1" si="17"/>
        <v>15937</v>
      </c>
      <c r="B242" s="5">
        <v>748</v>
      </c>
      <c r="C242" s="6">
        <v>747</v>
      </c>
      <c r="D242" s="6">
        <v>747</v>
      </c>
      <c r="E242" s="7">
        <v>26</v>
      </c>
      <c r="F242" s="8">
        <v>28</v>
      </c>
      <c r="G242" s="8">
        <v>28</v>
      </c>
      <c r="H242" s="9">
        <v>0</v>
      </c>
      <c r="I242" s="10"/>
      <c r="J242" s="11"/>
    </row>
    <row r="243" spans="1:10" x14ac:dyDescent="0.25">
      <c r="A243" s="1">
        <f t="shared" ca="1" si="17"/>
        <v>15938</v>
      </c>
      <c r="B243" s="5">
        <v>746</v>
      </c>
      <c r="C243" s="6">
        <v>745</v>
      </c>
      <c r="D243" s="6">
        <v>745</v>
      </c>
      <c r="E243" s="7">
        <v>26.5</v>
      </c>
      <c r="F243" s="8">
        <v>28.5</v>
      </c>
      <c r="G243" s="8">
        <v>27.5</v>
      </c>
      <c r="H243" s="9">
        <v>0</v>
      </c>
      <c r="I243" s="10"/>
      <c r="J243" s="11"/>
    </row>
    <row r="244" spans="1:10" x14ac:dyDescent="0.25">
      <c r="A244" s="1">
        <f t="shared" ca="1" si="17"/>
        <v>15939</v>
      </c>
      <c r="B244" s="5">
        <v>745</v>
      </c>
      <c r="C244" s="6">
        <v>745</v>
      </c>
      <c r="D244" s="6">
        <v>746</v>
      </c>
      <c r="E244" s="7">
        <v>26</v>
      </c>
      <c r="F244" s="8">
        <v>26</v>
      </c>
      <c r="G244" s="8">
        <v>26</v>
      </c>
      <c r="H244" s="9">
        <v>0</v>
      </c>
      <c r="I244" s="10"/>
      <c r="J244" s="11"/>
    </row>
    <row r="245" spans="1:10" x14ac:dyDescent="0.25">
      <c r="A245" s="1">
        <f t="shared" ca="1" si="17"/>
        <v>15940</v>
      </c>
      <c r="B245" s="5">
        <v>745</v>
      </c>
      <c r="C245" s="6">
        <v>747</v>
      </c>
      <c r="D245" s="6">
        <v>748</v>
      </c>
      <c r="E245" s="7">
        <v>27</v>
      </c>
      <c r="F245" s="8">
        <v>31</v>
      </c>
      <c r="G245" s="8">
        <v>29</v>
      </c>
      <c r="H245" s="9">
        <v>0</v>
      </c>
      <c r="I245" s="10"/>
      <c r="J245" s="11"/>
    </row>
    <row r="246" spans="1:10" x14ac:dyDescent="0.25">
      <c r="A246" s="1">
        <f t="shared" ca="1" si="17"/>
        <v>15941</v>
      </c>
      <c r="B246" s="5">
        <v>749</v>
      </c>
      <c r="C246" s="6">
        <v>748</v>
      </c>
      <c r="D246" s="6">
        <v>749</v>
      </c>
      <c r="E246" s="7">
        <v>27</v>
      </c>
      <c r="F246" s="8">
        <v>31</v>
      </c>
      <c r="G246" s="8">
        <v>29</v>
      </c>
      <c r="H246" s="9">
        <v>0</v>
      </c>
      <c r="I246" s="10"/>
      <c r="J246" s="11"/>
    </row>
    <row r="247" spans="1:10" x14ac:dyDescent="0.25">
      <c r="A247" s="1">
        <f t="shared" ca="1" si="17"/>
        <v>15942</v>
      </c>
      <c r="B247" s="5">
        <v>750</v>
      </c>
      <c r="C247" s="6">
        <v>749</v>
      </c>
      <c r="D247" s="6">
        <v>750</v>
      </c>
      <c r="E247" s="7">
        <v>28</v>
      </c>
      <c r="F247" s="8">
        <v>33</v>
      </c>
      <c r="G247" s="8">
        <v>29</v>
      </c>
      <c r="H247" s="9">
        <v>0</v>
      </c>
      <c r="I247" s="10"/>
      <c r="J247" s="11"/>
    </row>
    <row r="248" spans="1:10" x14ac:dyDescent="0.25">
      <c r="A248" s="1">
        <f t="shared" ca="1" si="17"/>
        <v>15943</v>
      </c>
      <c r="B248" s="5">
        <v>750</v>
      </c>
      <c r="C248" s="6">
        <v>750</v>
      </c>
      <c r="D248" s="6">
        <v>750</v>
      </c>
      <c r="E248" s="7">
        <v>27.5</v>
      </c>
      <c r="F248" s="8">
        <v>32</v>
      </c>
      <c r="G248" s="8">
        <v>28.5</v>
      </c>
      <c r="H248" s="9">
        <v>0</v>
      </c>
      <c r="I248" s="10"/>
      <c r="J248" s="11"/>
    </row>
    <row r="249" spans="1:10" x14ac:dyDescent="0.25">
      <c r="A249" s="1">
        <f t="shared" ca="1" si="17"/>
        <v>15944</v>
      </c>
      <c r="B249" s="5">
        <v>751</v>
      </c>
      <c r="C249" s="6">
        <v>750</v>
      </c>
      <c r="D249" s="6">
        <v>751</v>
      </c>
      <c r="E249" s="7">
        <v>26</v>
      </c>
      <c r="F249" s="8">
        <v>29</v>
      </c>
      <c r="G249" s="8">
        <v>26.5</v>
      </c>
      <c r="H249" s="9">
        <v>145</v>
      </c>
      <c r="I249" s="10"/>
      <c r="J249" s="11"/>
    </row>
    <row r="250" spans="1:10" x14ac:dyDescent="0.25">
      <c r="A250" s="1">
        <f t="shared" ca="1" si="17"/>
        <v>15945</v>
      </c>
      <c r="B250" s="5">
        <v>751</v>
      </c>
      <c r="C250" s="6">
        <v>751</v>
      </c>
      <c r="D250" s="6">
        <v>751</v>
      </c>
      <c r="E250" s="7">
        <v>26</v>
      </c>
      <c r="F250" s="8">
        <v>31</v>
      </c>
      <c r="G250" s="8">
        <v>28</v>
      </c>
      <c r="H250" s="9">
        <v>0</v>
      </c>
      <c r="I250" s="10"/>
      <c r="J250" s="11"/>
    </row>
    <row r="251" spans="1:10" x14ac:dyDescent="0.25">
      <c r="A251" s="1">
        <f t="shared" ca="1" si="17"/>
        <v>15946</v>
      </c>
      <c r="B251" s="5">
        <v>751</v>
      </c>
      <c r="C251" s="6">
        <v>751</v>
      </c>
      <c r="D251" s="6">
        <v>751</v>
      </c>
      <c r="E251" s="7">
        <v>26.5</v>
      </c>
      <c r="F251" s="8">
        <v>31.5</v>
      </c>
      <c r="G251" s="8">
        <v>27</v>
      </c>
      <c r="H251" s="9">
        <v>0</v>
      </c>
      <c r="I251" s="10"/>
      <c r="J251" s="11"/>
    </row>
    <row r="252" spans="1:10" x14ac:dyDescent="0.25">
      <c r="A252" s="1">
        <f t="shared" ca="1" si="17"/>
        <v>15947</v>
      </c>
      <c r="B252" s="5">
        <v>751</v>
      </c>
      <c r="C252" s="6">
        <v>752</v>
      </c>
      <c r="D252" s="6">
        <v>751</v>
      </c>
      <c r="E252" s="7">
        <v>27</v>
      </c>
      <c r="F252" s="8">
        <v>31</v>
      </c>
      <c r="G252" s="8">
        <v>29</v>
      </c>
      <c r="H252" s="9">
        <v>0</v>
      </c>
      <c r="I252" s="10"/>
      <c r="J252" s="11"/>
    </row>
    <row r="253" spans="1:10" x14ac:dyDescent="0.25">
      <c r="A253" s="1">
        <f t="shared" ca="1" si="17"/>
        <v>15948</v>
      </c>
      <c r="B253" s="5"/>
      <c r="C253" s="6"/>
      <c r="D253" s="6"/>
      <c r="E253" s="7">
        <v>26.5</v>
      </c>
      <c r="F253" s="8">
        <v>31</v>
      </c>
      <c r="G253" s="8">
        <v>29.5</v>
      </c>
      <c r="H253" s="9">
        <v>0</v>
      </c>
      <c r="I253" s="10"/>
      <c r="J253" s="11"/>
    </row>
    <row r="254" spans="1:10" x14ac:dyDescent="0.25">
      <c r="A254" s="1">
        <f t="shared" ca="1" si="17"/>
        <v>15949</v>
      </c>
      <c r="B254" s="5"/>
      <c r="C254" s="6"/>
      <c r="D254" s="6"/>
      <c r="E254" s="7">
        <v>27</v>
      </c>
      <c r="F254" s="8">
        <v>31.5</v>
      </c>
      <c r="G254" s="8">
        <v>29</v>
      </c>
      <c r="H254" s="9">
        <v>0</v>
      </c>
      <c r="I254" s="10"/>
      <c r="J254" s="11"/>
    </row>
    <row r="255" spans="1:10" x14ac:dyDescent="0.25">
      <c r="A255" s="1" t="str">
        <f t="shared" ca="1" si="17"/>
        <v>Totaal</v>
      </c>
      <c r="B255" s="28">
        <f>IF(COUNT(B224:B254)&gt;0,AVERAGE(B224:B254),"")</f>
        <v>749.58620689655174</v>
      </c>
      <c r="C255" s="29">
        <f t="shared" ref="C255" si="23">IF(COUNT(C224:C254)&gt;0,AVERAGE(C224:C254),"")</f>
        <v>748.9655172413793</v>
      </c>
      <c r="D255" s="29">
        <f t="shared" ref="D255" si="24">IF(COUNT(D224:D254)&gt;0,AVERAGE(D224:D254),"")</f>
        <v>749.34482758620686</v>
      </c>
      <c r="E255" s="30">
        <f t="shared" ref="E255" si="25">IF(COUNT(E224:E254)&gt;0,AVERAGE(E224:E254),"")</f>
        <v>27.129032258064516</v>
      </c>
      <c r="F255" s="31">
        <f t="shared" ref="F255" si="26">IF(COUNT(F224:F254)&gt;0,AVERAGE(F224:F254),"")</f>
        <v>28.85483870967742</v>
      </c>
      <c r="G255" s="31">
        <f t="shared" ref="G255" si="27">IF(COUNT(G224:G254)&gt;0,AVERAGE(G224:G254),"")</f>
        <v>27.64516129032258</v>
      </c>
      <c r="H255" s="32">
        <f>SUM(H224:H254)/10</f>
        <v>94</v>
      </c>
      <c r="I255" s="33">
        <f>SUM(I224:I254)/10</f>
        <v>0</v>
      </c>
      <c r="J255" s="34">
        <f>SUM(J224:J254)/10</f>
        <v>0</v>
      </c>
    </row>
    <row r="256" spans="1:10" x14ac:dyDescent="0.25">
      <c r="A256" s="1">
        <f t="shared" ca="1" si="17"/>
        <v>15950</v>
      </c>
      <c r="B256" s="5"/>
      <c r="C256" s="6"/>
      <c r="D256" s="6"/>
      <c r="E256" s="7"/>
      <c r="F256" s="8"/>
      <c r="G256" s="8"/>
      <c r="H256" s="9"/>
      <c r="I256" s="10"/>
      <c r="J256" s="11"/>
    </row>
    <row r="257" spans="1:10" x14ac:dyDescent="0.25">
      <c r="A257" s="1">
        <f t="shared" ca="1" si="17"/>
        <v>15951</v>
      </c>
      <c r="B257" s="5"/>
      <c r="C257" s="6"/>
      <c r="D257" s="6"/>
      <c r="E257" s="7"/>
      <c r="F257" s="8"/>
      <c r="G257" s="8"/>
      <c r="H257" s="9"/>
      <c r="I257" s="10"/>
      <c r="J257" s="11"/>
    </row>
    <row r="258" spans="1:10" x14ac:dyDescent="0.25">
      <c r="A258" s="1">
        <f t="shared" ca="1" si="17"/>
        <v>15952</v>
      </c>
      <c r="B258" s="5"/>
      <c r="C258" s="6"/>
      <c r="D258" s="6"/>
      <c r="E258" s="7"/>
      <c r="F258" s="8"/>
      <c r="G258" s="8"/>
      <c r="H258" s="9"/>
      <c r="I258" s="10"/>
      <c r="J258" s="11"/>
    </row>
    <row r="259" spans="1:10" x14ac:dyDescent="0.25">
      <c r="A259" s="1">
        <f t="shared" ca="1" si="17"/>
        <v>15953</v>
      </c>
      <c r="B259" s="5"/>
      <c r="C259" s="6"/>
      <c r="D259" s="6"/>
      <c r="E259" s="7"/>
      <c r="F259" s="8"/>
      <c r="G259" s="8"/>
      <c r="H259" s="9"/>
      <c r="I259" s="10"/>
      <c r="J259" s="11"/>
    </row>
    <row r="260" spans="1:10" x14ac:dyDescent="0.25">
      <c r="A260" s="1">
        <f t="shared" ca="1" si="17"/>
        <v>15954</v>
      </c>
      <c r="B260" s="5"/>
      <c r="C260" s="6"/>
      <c r="D260" s="6"/>
      <c r="E260" s="7"/>
      <c r="F260" s="8"/>
      <c r="G260" s="8"/>
      <c r="H260" s="9"/>
      <c r="I260" s="10"/>
      <c r="J260" s="11"/>
    </row>
    <row r="261" spans="1:10" x14ac:dyDescent="0.25">
      <c r="A261" s="1">
        <f t="shared" ca="1" si="17"/>
        <v>15955</v>
      </c>
      <c r="B261" s="5"/>
      <c r="C261" s="6"/>
      <c r="D261" s="6"/>
      <c r="E261" s="7"/>
      <c r="F261" s="8"/>
      <c r="G261" s="8"/>
      <c r="H261" s="9"/>
      <c r="I261" s="10"/>
      <c r="J261" s="11"/>
    </row>
    <row r="262" spans="1:10" x14ac:dyDescent="0.25">
      <c r="A262" s="1">
        <f t="shared" ca="1" si="17"/>
        <v>15956</v>
      </c>
      <c r="B262" s="5"/>
      <c r="C262" s="6"/>
      <c r="D262" s="6"/>
      <c r="E262" s="7"/>
      <c r="F262" s="8"/>
      <c r="G262" s="8"/>
      <c r="H262" s="9"/>
      <c r="I262" s="10"/>
      <c r="J262" s="11"/>
    </row>
    <row r="263" spans="1:10" x14ac:dyDescent="0.25">
      <c r="A263" s="1">
        <f t="shared" ref="A263:A326" ca="1" si="28">IF(ISTEXT(A262),A261+1,IF(MONTH(A262+1)=MONTH(A262),A262+1,"Totaal"))</f>
        <v>15957</v>
      </c>
      <c r="B263" s="5"/>
      <c r="C263" s="6"/>
      <c r="D263" s="6"/>
      <c r="E263" s="7"/>
      <c r="F263" s="8"/>
      <c r="G263" s="8"/>
      <c r="H263" s="9"/>
      <c r="I263" s="10"/>
      <c r="J263" s="11"/>
    </row>
    <row r="264" spans="1:10" x14ac:dyDescent="0.25">
      <c r="A264" s="1">
        <f t="shared" ca="1" si="28"/>
        <v>15958</v>
      </c>
      <c r="B264" s="5"/>
      <c r="C264" s="6"/>
      <c r="D264" s="6"/>
      <c r="E264" s="7"/>
      <c r="F264" s="8"/>
      <c r="G264" s="8"/>
      <c r="H264" s="9"/>
      <c r="I264" s="10"/>
      <c r="J264" s="11"/>
    </row>
    <row r="265" spans="1:10" x14ac:dyDescent="0.25">
      <c r="A265" s="1">
        <f t="shared" ca="1" si="28"/>
        <v>15959</v>
      </c>
      <c r="B265" s="5"/>
      <c r="C265" s="6"/>
      <c r="D265" s="6"/>
      <c r="E265" s="7"/>
      <c r="F265" s="8"/>
      <c r="G265" s="8"/>
      <c r="H265" s="9"/>
      <c r="I265" s="10"/>
      <c r="J265" s="11"/>
    </row>
    <row r="266" spans="1:10" x14ac:dyDescent="0.25">
      <c r="A266" s="1">
        <f t="shared" ca="1" si="28"/>
        <v>15960</v>
      </c>
      <c r="B266" s="5"/>
      <c r="C266" s="6"/>
      <c r="D266" s="6"/>
      <c r="E266" s="7"/>
      <c r="F266" s="8"/>
      <c r="G266" s="8"/>
      <c r="H266" s="9"/>
      <c r="I266" s="10"/>
      <c r="J266" s="11"/>
    </row>
    <row r="267" spans="1:10" x14ac:dyDescent="0.25">
      <c r="A267" s="1">
        <f t="shared" ca="1" si="28"/>
        <v>15961</v>
      </c>
      <c r="B267" s="5"/>
      <c r="C267" s="6"/>
      <c r="D267" s="6"/>
      <c r="E267" s="7"/>
      <c r="F267" s="8"/>
      <c r="G267" s="8"/>
      <c r="H267" s="9"/>
      <c r="I267" s="10"/>
      <c r="J267" s="11"/>
    </row>
    <row r="268" spans="1:10" x14ac:dyDescent="0.25">
      <c r="A268" s="1">
        <f t="shared" ca="1" si="28"/>
        <v>15962</v>
      </c>
      <c r="B268" s="5"/>
      <c r="C268" s="6"/>
      <c r="D268" s="6"/>
      <c r="E268" s="7"/>
      <c r="F268" s="8"/>
      <c r="G268" s="8"/>
      <c r="H268" s="9"/>
      <c r="I268" s="10"/>
      <c r="J268" s="11"/>
    </row>
    <row r="269" spans="1:10" x14ac:dyDescent="0.25">
      <c r="A269" s="1">
        <f t="shared" ca="1" si="28"/>
        <v>15963</v>
      </c>
      <c r="B269" s="5"/>
      <c r="C269" s="6"/>
      <c r="D269" s="6"/>
      <c r="E269" s="7"/>
      <c r="F269" s="8"/>
      <c r="G269" s="8"/>
      <c r="H269" s="9"/>
      <c r="I269" s="10"/>
      <c r="J269" s="11"/>
    </row>
    <row r="270" spans="1:10" x14ac:dyDescent="0.25">
      <c r="A270" s="1">
        <f t="shared" ca="1" si="28"/>
        <v>15964</v>
      </c>
      <c r="B270" s="5"/>
      <c r="C270" s="6"/>
      <c r="D270" s="6"/>
      <c r="E270" s="7"/>
      <c r="F270" s="8"/>
      <c r="G270" s="8"/>
      <c r="H270" s="9"/>
      <c r="I270" s="10"/>
      <c r="J270" s="11"/>
    </row>
    <row r="271" spans="1:10" x14ac:dyDescent="0.25">
      <c r="A271" s="1">
        <f t="shared" ca="1" si="28"/>
        <v>15965</v>
      </c>
      <c r="B271" s="5"/>
      <c r="C271" s="6"/>
      <c r="D271" s="6"/>
      <c r="E271" s="7"/>
      <c r="F271" s="8"/>
      <c r="G271" s="8"/>
      <c r="H271" s="9"/>
      <c r="I271" s="10"/>
      <c r="J271" s="11"/>
    </row>
    <row r="272" spans="1:10" x14ac:dyDescent="0.25">
      <c r="A272" s="1">
        <f t="shared" ca="1" si="28"/>
        <v>15966</v>
      </c>
      <c r="B272" s="5"/>
      <c r="C272" s="6"/>
      <c r="D272" s="6"/>
      <c r="E272" s="7"/>
      <c r="F272" s="8"/>
      <c r="G272" s="8"/>
      <c r="H272" s="9"/>
      <c r="I272" s="10"/>
      <c r="J272" s="11"/>
    </row>
    <row r="273" spans="1:10" x14ac:dyDescent="0.25">
      <c r="A273" s="1">
        <f t="shared" ca="1" si="28"/>
        <v>15967</v>
      </c>
      <c r="B273" s="5"/>
      <c r="C273" s="6"/>
      <c r="D273" s="6"/>
      <c r="E273" s="7"/>
      <c r="F273" s="8"/>
      <c r="G273" s="8"/>
      <c r="H273" s="9"/>
      <c r="I273" s="10"/>
      <c r="J273" s="11"/>
    </row>
    <row r="274" spans="1:10" x14ac:dyDescent="0.25">
      <c r="A274" s="1">
        <f t="shared" ca="1" si="28"/>
        <v>15968</v>
      </c>
      <c r="B274" s="5"/>
      <c r="C274" s="6"/>
      <c r="D274" s="6"/>
      <c r="E274" s="7"/>
      <c r="F274" s="8"/>
      <c r="G274" s="8"/>
      <c r="H274" s="9"/>
      <c r="I274" s="10"/>
      <c r="J274" s="11"/>
    </row>
    <row r="275" spans="1:10" x14ac:dyDescent="0.25">
      <c r="A275" s="1">
        <f t="shared" ca="1" si="28"/>
        <v>15969</v>
      </c>
      <c r="B275" s="5"/>
      <c r="C275" s="6"/>
      <c r="D275" s="6"/>
      <c r="E275" s="7"/>
      <c r="F275" s="8"/>
      <c r="G275" s="8"/>
      <c r="H275" s="9"/>
      <c r="I275" s="10"/>
      <c r="J275" s="11"/>
    </row>
    <row r="276" spans="1:10" x14ac:dyDescent="0.25">
      <c r="A276" s="1">
        <f t="shared" ca="1" si="28"/>
        <v>15970</v>
      </c>
      <c r="B276" s="5"/>
      <c r="C276" s="6"/>
      <c r="D276" s="6"/>
      <c r="E276" s="7"/>
      <c r="F276" s="8"/>
      <c r="G276" s="8"/>
      <c r="H276" s="9"/>
      <c r="I276" s="10"/>
      <c r="J276" s="11"/>
    </row>
    <row r="277" spans="1:10" x14ac:dyDescent="0.25">
      <c r="A277" s="1">
        <f t="shared" ca="1" si="28"/>
        <v>15971</v>
      </c>
      <c r="B277" s="5"/>
      <c r="C277" s="6"/>
      <c r="D277" s="6"/>
      <c r="E277" s="7"/>
      <c r="F277" s="8"/>
      <c r="G277" s="8"/>
      <c r="H277" s="9"/>
      <c r="I277" s="10"/>
      <c r="J277" s="11"/>
    </row>
    <row r="278" spans="1:10" x14ac:dyDescent="0.25">
      <c r="A278" s="1">
        <f t="shared" ca="1" si="28"/>
        <v>15972</v>
      </c>
      <c r="B278" s="5"/>
      <c r="C278" s="6"/>
      <c r="D278" s="6"/>
      <c r="E278" s="7"/>
      <c r="F278" s="8"/>
      <c r="G278" s="8"/>
      <c r="H278" s="9"/>
      <c r="I278" s="10"/>
      <c r="J278" s="11"/>
    </row>
    <row r="279" spans="1:10" x14ac:dyDescent="0.25">
      <c r="A279" s="1">
        <f t="shared" ca="1" si="28"/>
        <v>15973</v>
      </c>
      <c r="B279" s="5"/>
      <c r="C279" s="6"/>
      <c r="D279" s="6"/>
      <c r="E279" s="7"/>
      <c r="F279" s="8"/>
      <c r="G279" s="8"/>
      <c r="H279" s="9"/>
      <c r="I279" s="10"/>
      <c r="J279" s="11"/>
    </row>
    <row r="280" spans="1:10" x14ac:dyDescent="0.25">
      <c r="A280" s="1">
        <f t="shared" ca="1" si="28"/>
        <v>15974</v>
      </c>
      <c r="B280" s="5"/>
      <c r="C280" s="6"/>
      <c r="D280" s="6"/>
      <c r="E280" s="7"/>
      <c r="F280" s="8"/>
      <c r="G280" s="8"/>
      <c r="H280" s="9"/>
      <c r="I280" s="10"/>
      <c r="J280" s="11"/>
    </row>
    <row r="281" spans="1:10" x14ac:dyDescent="0.25">
      <c r="A281" s="1">
        <f t="shared" ca="1" si="28"/>
        <v>15975</v>
      </c>
      <c r="B281" s="5"/>
      <c r="C281" s="6"/>
      <c r="D281" s="6"/>
      <c r="E281" s="7"/>
      <c r="F281" s="8"/>
      <c r="G281" s="8"/>
      <c r="H281" s="9"/>
      <c r="I281" s="10"/>
      <c r="J281" s="11"/>
    </row>
    <row r="282" spans="1:10" x14ac:dyDescent="0.25">
      <c r="A282" s="1">
        <f t="shared" ca="1" si="28"/>
        <v>15976</v>
      </c>
      <c r="B282" s="5"/>
      <c r="C282" s="6"/>
      <c r="D282" s="6"/>
      <c r="E282" s="7"/>
      <c r="F282" s="8"/>
      <c r="G282" s="8"/>
      <c r="H282" s="9"/>
      <c r="I282" s="10"/>
      <c r="J282" s="11"/>
    </row>
    <row r="283" spans="1:10" x14ac:dyDescent="0.25">
      <c r="A283" s="1">
        <f t="shared" ca="1" si="28"/>
        <v>15977</v>
      </c>
      <c r="B283" s="5"/>
      <c r="C283" s="6"/>
      <c r="D283" s="6"/>
      <c r="E283" s="7"/>
      <c r="F283" s="8"/>
      <c r="G283" s="8"/>
      <c r="H283" s="9"/>
      <c r="I283" s="10"/>
      <c r="J283" s="11"/>
    </row>
    <row r="284" spans="1:10" x14ac:dyDescent="0.25">
      <c r="A284" s="1">
        <f t="shared" ca="1" si="28"/>
        <v>15978</v>
      </c>
      <c r="B284" s="5"/>
      <c r="C284" s="6"/>
      <c r="D284" s="6"/>
      <c r="E284" s="7"/>
      <c r="F284" s="8"/>
      <c r="G284" s="8"/>
      <c r="H284" s="9"/>
      <c r="I284" s="10"/>
      <c r="J284" s="11"/>
    </row>
    <row r="285" spans="1:10" x14ac:dyDescent="0.25">
      <c r="A285" s="1">
        <f t="shared" ca="1" si="28"/>
        <v>15979</v>
      </c>
      <c r="B285" s="5"/>
      <c r="C285" s="6"/>
      <c r="D285" s="6"/>
      <c r="E285" s="7"/>
      <c r="F285" s="8"/>
      <c r="G285" s="8"/>
      <c r="H285" s="9"/>
      <c r="I285" s="10"/>
      <c r="J285" s="11"/>
    </row>
    <row r="286" spans="1:10" x14ac:dyDescent="0.25">
      <c r="A286" s="1" t="str">
        <f t="shared" ca="1" si="28"/>
        <v>Totaal</v>
      </c>
      <c r="B286" s="28" t="str">
        <f t="shared" ref="B286:G286" si="29">IF(COUNT(B256:B285)&gt;0,AVERAGE(B256:B285),"")</f>
        <v/>
      </c>
      <c r="C286" s="29" t="str">
        <f t="shared" si="29"/>
        <v/>
      </c>
      <c r="D286" s="29" t="str">
        <f t="shared" si="29"/>
        <v/>
      </c>
      <c r="E286" s="30" t="str">
        <f t="shared" si="29"/>
        <v/>
      </c>
      <c r="F286" s="31" t="str">
        <f t="shared" si="29"/>
        <v/>
      </c>
      <c r="G286" s="31" t="str">
        <f t="shared" si="29"/>
        <v/>
      </c>
      <c r="H286" s="32">
        <f>SUM(H256:H285)/10</f>
        <v>0</v>
      </c>
      <c r="I286" s="33">
        <f>SUM(I256:I285)/10</f>
        <v>0</v>
      </c>
      <c r="J286" s="34">
        <f>SUM(J256:J285)/10</f>
        <v>0</v>
      </c>
    </row>
    <row r="287" spans="1:10" x14ac:dyDescent="0.25">
      <c r="A287" s="1">
        <f t="shared" ca="1" si="28"/>
        <v>15980</v>
      </c>
      <c r="B287" s="5"/>
      <c r="C287" s="6"/>
      <c r="D287" s="6"/>
      <c r="E287" s="7"/>
      <c r="F287" s="8"/>
      <c r="G287" s="8"/>
      <c r="H287" s="9"/>
      <c r="I287" s="10"/>
      <c r="J287" s="11"/>
    </row>
    <row r="288" spans="1:10" x14ac:dyDescent="0.25">
      <c r="A288" s="1">
        <f t="shared" ca="1" si="28"/>
        <v>15981</v>
      </c>
      <c r="B288" s="5"/>
      <c r="C288" s="6"/>
      <c r="D288" s="6"/>
      <c r="E288" s="7"/>
      <c r="F288" s="8"/>
      <c r="G288" s="8"/>
      <c r="H288" s="9"/>
      <c r="I288" s="10"/>
      <c r="J288" s="11"/>
    </row>
    <row r="289" spans="1:10" x14ac:dyDescent="0.25">
      <c r="A289" s="1">
        <f t="shared" ca="1" si="28"/>
        <v>15982</v>
      </c>
      <c r="B289" s="5"/>
      <c r="C289" s="6"/>
      <c r="D289" s="6"/>
      <c r="E289" s="7"/>
      <c r="F289" s="8"/>
      <c r="G289" s="8"/>
      <c r="H289" s="9"/>
      <c r="I289" s="10"/>
      <c r="J289" s="11"/>
    </row>
    <row r="290" spans="1:10" x14ac:dyDescent="0.25">
      <c r="A290" s="1">
        <f t="shared" ca="1" si="28"/>
        <v>15983</v>
      </c>
      <c r="B290" s="5"/>
      <c r="C290" s="6"/>
      <c r="D290" s="6"/>
      <c r="E290" s="7"/>
      <c r="F290" s="8"/>
      <c r="G290" s="8"/>
      <c r="H290" s="9"/>
      <c r="I290" s="10"/>
      <c r="J290" s="11"/>
    </row>
    <row r="291" spans="1:10" x14ac:dyDescent="0.25">
      <c r="A291" s="1">
        <f t="shared" ca="1" si="28"/>
        <v>15984</v>
      </c>
      <c r="B291" s="5"/>
      <c r="C291" s="6"/>
      <c r="D291" s="6"/>
      <c r="E291" s="7"/>
      <c r="F291" s="8"/>
      <c r="G291" s="8"/>
      <c r="H291" s="9"/>
      <c r="I291" s="10"/>
      <c r="J291" s="11"/>
    </row>
    <row r="292" spans="1:10" x14ac:dyDescent="0.25">
      <c r="A292" s="1">
        <f t="shared" ca="1" si="28"/>
        <v>15985</v>
      </c>
      <c r="B292" s="5"/>
      <c r="C292" s="6"/>
      <c r="D292" s="6"/>
      <c r="E292" s="7"/>
      <c r="F292" s="8"/>
      <c r="G292" s="8"/>
      <c r="H292" s="9"/>
      <c r="I292" s="10"/>
      <c r="J292" s="11"/>
    </row>
    <row r="293" spans="1:10" x14ac:dyDescent="0.25">
      <c r="A293" s="1">
        <f t="shared" ca="1" si="28"/>
        <v>15986</v>
      </c>
      <c r="B293" s="5"/>
      <c r="C293" s="6"/>
      <c r="D293" s="6"/>
      <c r="E293" s="7"/>
      <c r="F293" s="8"/>
      <c r="G293" s="8"/>
      <c r="H293" s="9"/>
      <c r="I293" s="10"/>
      <c r="J293" s="11"/>
    </row>
    <row r="294" spans="1:10" x14ac:dyDescent="0.25">
      <c r="A294" s="1">
        <f t="shared" ca="1" si="28"/>
        <v>15987</v>
      </c>
      <c r="B294" s="5"/>
      <c r="C294" s="6"/>
      <c r="D294" s="6"/>
      <c r="E294" s="7"/>
      <c r="F294" s="8"/>
      <c r="G294" s="8"/>
      <c r="H294" s="9"/>
      <c r="I294" s="10"/>
      <c r="J294" s="11"/>
    </row>
    <row r="295" spans="1:10" x14ac:dyDescent="0.25">
      <c r="A295" s="1">
        <f t="shared" ca="1" si="28"/>
        <v>15988</v>
      </c>
      <c r="B295" s="5"/>
      <c r="C295" s="6"/>
      <c r="D295" s="6"/>
      <c r="E295" s="7"/>
      <c r="F295" s="8"/>
      <c r="G295" s="8"/>
      <c r="H295" s="9"/>
      <c r="I295" s="10"/>
      <c r="J295" s="11"/>
    </row>
    <row r="296" spans="1:10" x14ac:dyDescent="0.25">
      <c r="A296" s="1">
        <f t="shared" ca="1" si="28"/>
        <v>15989</v>
      </c>
      <c r="B296" s="5"/>
      <c r="C296" s="6"/>
      <c r="D296" s="6"/>
      <c r="E296" s="7"/>
      <c r="F296" s="8"/>
      <c r="G296" s="8"/>
      <c r="H296" s="9"/>
      <c r="I296" s="10"/>
      <c r="J296" s="11"/>
    </row>
    <row r="297" spans="1:10" x14ac:dyDescent="0.25">
      <c r="A297" s="1">
        <f t="shared" ca="1" si="28"/>
        <v>15990</v>
      </c>
      <c r="B297" s="5"/>
      <c r="C297" s="6"/>
      <c r="D297" s="6"/>
      <c r="E297" s="7"/>
      <c r="F297" s="8"/>
      <c r="G297" s="8"/>
      <c r="H297" s="9"/>
      <c r="I297" s="10"/>
      <c r="J297" s="11"/>
    </row>
    <row r="298" spans="1:10" x14ac:dyDescent="0.25">
      <c r="A298" s="1">
        <f t="shared" ca="1" si="28"/>
        <v>15991</v>
      </c>
      <c r="B298" s="5"/>
      <c r="C298" s="6"/>
      <c r="D298" s="6"/>
      <c r="E298" s="7"/>
      <c r="F298" s="8"/>
      <c r="G298" s="8"/>
      <c r="H298" s="9"/>
      <c r="I298" s="10"/>
      <c r="J298" s="11"/>
    </row>
    <row r="299" spans="1:10" x14ac:dyDescent="0.25">
      <c r="A299" s="1">
        <f t="shared" ca="1" si="28"/>
        <v>15992</v>
      </c>
      <c r="B299" s="5"/>
      <c r="C299" s="6"/>
      <c r="D299" s="6"/>
      <c r="E299" s="7"/>
      <c r="F299" s="8"/>
      <c r="G299" s="8"/>
      <c r="H299" s="9"/>
      <c r="I299" s="10"/>
      <c r="J299" s="11"/>
    </row>
    <row r="300" spans="1:10" x14ac:dyDescent="0.25">
      <c r="A300" s="1">
        <f t="shared" ca="1" si="28"/>
        <v>15993</v>
      </c>
      <c r="B300" s="5"/>
      <c r="C300" s="6"/>
      <c r="D300" s="6"/>
      <c r="E300" s="7"/>
      <c r="F300" s="8"/>
      <c r="G300" s="8"/>
      <c r="H300" s="9"/>
      <c r="I300" s="10"/>
      <c r="J300" s="11"/>
    </row>
    <row r="301" spans="1:10" x14ac:dyDescent="0.25">
      <c r="A301" s="1">
        <f t="shared" ca="1" si="28"/>
        <v>15994</v>
      </c>
      <c r="B301" s="5"/>
      <c r="C301" s="6"/>
      <c r="D301" s="6"/>
      <c r="E301" s="7"/>
      <c r="F301" s="8"/>
      <c r="G301" s="8"/>
      <c r="H301" s="9"/>
      <c r="I301" s="10"/>
      <c r="J301" s="11"/>
    </row>
    <row r="302" spans="1:10" x14ac:dyDescent="0.25">
      <c r="A302" s="1">
        <f t="shared" ca="1" si="28"/>
        <v>15995</v>
      </c>
      <c r="B302" s="5"/>
      <c r="C302" s="6"/>
      <c r="D302" s="6"/>
      <c r="E302" s="7"/>
      <c r="F302" s="8"/>
      <c r="G302" s="8"/>
      <c r="H302" s="9"/>
      <c r="I302" s="10"/>
      <c r="J302" s="11"/>
    </row>
    <row r="303" spans="1:10" x14ac:dyDescent="0.25">
      <c r="A303" s="1">
        <f t="shared" ca="1" si="28"/>
        <v>15996</v>
      </c>
      <c r="B303" s="5"/>
      <c r="C303" s="6"/>
      <c r="D303" s="6"/>
      <c r="E303" s="7"/>
      <c r="F303" s="8"/>
      <c r="G303" s="8"/>
      <c r="H303" s="9"/>
      <c r="I303" s="10"/>
      <c r="J303" s="11"/>
    </row>
    <row r="304" spans="1:10" x14ac:dyDescent="0.25">
      <c r="A304" s="1">
        <f t="shared" ca="1" si="28"/>
        <v>15997</v>
      </c>
      <c r="B304" s="5"/>
      <c r="C304" s="6"/>
      <c r="D304" s="6"/>
      <c r="E304" s="7"/>
      <c r="F304" s="8"/>
      <c r="G304" s="8"/>
      <c r="H304" s="9"/>
      <c r="I304" s="10"/>
      <c r="J304" s="11"/>
    </row>
    <row r="305" spans="1:10" x14ac:dyDescent="0.25">
      <c r="A305" s="1">
        <f t="shared" ca="1" si="28"/>
        <v>15998</v>
      </c>
      <c r="B305" s="5"/>
      <c r="C305" s="6"/>
      <c r="D305" s="6"/>
      <c r="E305" s="7"/>
      <c r="F305" s="8"/>
      <c r="G305" s="8"/>
      <c r="H305" s="9"/>
      <c r="I305" s="10"/>
      <c r="J305" s="11"/>
    </row>
    <row r="306" spans="1:10" x14ac:dyDescent="0.25">
      <c r="A306" s="1">
        <f t="shared" ca="1" si="28"/>
        <v>15999</v>
      </c>
      <c r="B306" s="5"/>
      <c r="C306" s="6"/>
      <c r="D306" s="6"/>
      <c r="E306" s="7"/>
      <c r="F306" s="8"/>
      <c r="G306" s="8"/>
      <c r="H306" s="9"/>
      <c r="I306" s="10"/>
      <c r="J306" s="11"/>
    </row>
    <row r="307" spans="1:10" x14ac:dyDescent="0.25">
      <c r="A307" s="1">
        <f t="shared" ca="1" si="28"/>
        <v>16000</v>
      </c>
      <c r="B307" s="5"/>
      <c r="C307" s="6"/>
      <c r="D307" s="6"/>
      <c r="E307" s="7"/>
      <c r="F307" s="8"/>
      <c r="G307" s="8"/>
      <c r="H307" s="9"/>
      <c r="I307" s="10"/>
      <c r="J307" s="11"/>
    </row>
    <row r="308" spans="1:10" x14ac:dyDescent="0.25">
      <c r="A308" s="1">
        <f t="shared" ca="1" si="28"/>
        <v>16001</v>
      </c>
      <c r="B308" s="5"/>
      <c r="C308" s="6"/>
      <c r="D308" s="6"/>
      <c r="E308" s="7"/>
      <c r="F308" s="8"/>
      <c r="G308" s="8"/>
      <c r="H308" s="9"/>
      <c r="I308" s="10"/>
      <c r="J308" s="11"/>
    </row>
    <row r="309" spans="1:10" x14ac:dyDescent="0.25">
      <c r="A309" s="1">
        <f t="shared" ca="1" si="28"/>
        <v>16002</v>
      </c>
      <c r="B309" s="5"/>
      <c r="C309" s="6"/>
      <c r="D309" s="6"/>
      <c r="E309" s="7"/>
      <c r="F309" s="8"/>
      <c r="G309" s="8"/>
      <c r="H309" s="9"/>
      <c r="I309" s="10"/>
      <c r="J309" s="11"/>
    </row>
    <row r="310" spans="1:10" x14ac:dyDescent="0.25">
      <c r="A310" s="1">
        <f t="shared" ca="1" si="28"/>
        <v>16003</v>
      </c>
      <c r="B310" s="5"/>
      <c r="C310" s="6"/>
      <c r="D310" s="6"/>
      <c r="E310" s="7"/>
      <c r="F310" s="8"/>
      <c r="G310" s="8"/>
      <c r="H310" s="9"/>
      <c r="I310" s="10"/>
      <c r="J310" s="11"/>
    </row>
    <row r="311" spans="1:10" x14ac:dyDescent="0.25">
      <c r="A311" s="1">
        <f t="shared" ca="1" si="28"/>
        <v>16004</v>
      </c>
      <c r="B311" s="5"/>
      <c r="C311" s="6"/>
      <c r="D311" s="6"/>
      <c r="E311" s="7"/>
      <c r="F311" s="8"/>
      <c r="G311" s="8"/>
      <c r="H311" s="9"/>
      <c r="I311" s="10"/>
      <c r="J311" s="11"/>
    </row>
    <row r="312" spans="1:10" x14ac:dyDescent="0.25">
      <c r="A312" s="1">
        <f t="shared" ca="1" si="28"/>
        <v>16005</v>
      </c>
      <c r="B312" s="5"/>
      <c r="C312" s="6"/>
      <c r="D312" s="6"/>
      <c r="E312" s="7"/>
      <c r="F312" s="8"/>
      <c r="G312" s="8"/>
      <c r="H312" s="9"/>
      <c r="I312" s="10"/>
      <c r="J312" s="11"/>
    </row>
    <row r="313" spans="1:10" x14ac:dyDescent="0.25">
      <c r="A313" s="1">
        <f t="shared" ca="1" si="28"/>
        <v>16006</v>
      </c>
      <c r="B313" s="5"/>
      <c r="C313" s="6"/>
      <c r="D313" s="6"/>
      <c r="E313" s="7"/>
      <c r="F313" s="8"/>
      <c r="G313" s="8"/>
      <c r="H313" s="9"/>
      <c r="I313" s="10"/>
      <c r="J313" s="11"/>
    </row>
    <row r="314" spans="1:10" x14ac:dyDescent="0.25">
      <c r="A314" s="1">
        <f t="shared" ca="1" si="28"/>
        <v>16007</v>
      </c>
      <c r="B314" s="5"/>
      <c r="C314" s="6"/>
      <c r="D314" s="6"/>
      <c r="E314" s="7"/>
      <c r="F314" s="8"/>
      <c r="G314" s="8"/>
      <c r="H314" s="9"/>
      <c r="I314" s="10"/>
      <c r="J314" s="11"/>
    </row>
    <row r="315" spans="1:10" x14ac:dyDescent="0.25">
      <c r="A315" s="1">
        <f t="shared" ca="1" si="28"/>
        <v>16008</v>
      </c>
      <c r="B315" s="5"/>
      <c r="C315" s="6"/>
      <c r="D315" s="6"/>
      <c r="E315" s="7"/>
      <c r="F315" s="8"/>
      <c r="G315" s="8"/>
      <c r="H315" s="9"/>
      <c r="I315" s="10"/>
      <c r="J315" s="11"/>
    </row>
    <row r="316" spans="1:10" x14ac:dyDescent="0.25">
      <c r="A316" s="1">
        <f t="shared" ca="1" si="28"/>
        <v>16009</v>
      </c>
      <c r="B316" s="5"/>
      <c r="C316" s="6"/>
      <c r="D316" s="6"/>
      <c r="E316" s="7"/>
      <c r="F316" s="8"/>
      <c r="G316" s="8"/>
      <c r="H316" s="9"/>
      <c r="I316" s="10"/>
      <c r="J316" s="11"/>
    </row>
    <row r="317" spans="1:10" x14ac:dyDescent="0.25">
      <c r="A317" s="1">
        <f t="shared" ca="1" si="28"/>
        <v>16010</v>
      </c>
      <c r="B317" s="5"/>
      <c r="C317" s="6"/>
      <c r="D317" s="6"/>
      <c r="E317" s="7"/>
      <c r="F317" s="8"/>
      <c r="G317" s="8"/>
      <c r="H317" s="9"/>
      <c r="I317" s="10"/>
      <c r="J317" s="11"/>
    </row>
    <row r="318" spans="1:10" x14ac:dyDescent="0.25">
      <c r="A318" s="1" t="str">
        <f t="shared" ca="1" si="28"/>
        <v>Totaal</v>
      </c>
      <c r="B318" s="28" t="str">
        <f>IF(COUNT(B287:B317)&gt;0,AVERAGE(B287:B317),"")</f>
        <v/>
      </c>
      <c r="C318" s="29" t="str">
        <f t="shared" ref="C318" si="30">IF(COUNT(C287:C317)&gt;0,AVERAGE(C287:C317),"")</f>
        <v/>
      </c>
      <c r="D318" s="29" t="str">
        <f t="shared" ref="D318" si="31">IF(COUNT(D287:D317)&gt;0,AVERAGE(D287:D317),"")</f>
        <v/>
      </c>
      <c r="E318" s="30" t="str">
        <f t="shared" ref="E318" si="32">IF(COUNT(E287:E317)&gt;0,AVERAGE(E287:E317),"")</f>
        <v/>
      </c>
      <c r="F318" s="31" t="str">
        <f t="shared" ref="F318" si="33">IF(COUNT(F287:F317)&gt;0,AVERAGE(F287:F317),"")</f>
        <v/>
      </c>
      <c r="G318" s="31" t="str">
        <f t="shared" ref="G318" si="34">IF(COUNT(G287:G317)&gt;0,AVERAGE(G287:G317),"")</f>
        <v/>
      </c>
      <c r="H318" s="32">
        <f>SUM(H287:H317)/10</f>
        <v>0</v>
      </c>
      <c r="I318" s="33">
        <f>SUM(I287:I317)/10</f>
        <v>0</v>
      </c>
      <c r="J318" s="34">
        <f>SUM(J287:J317)/10</f>
        <v>0</v>
      </c>
    </row>
    <row r="319" spans="1:10" x14ac:dyDescent="0.25">
      <c r="A319" s="1">
        <f t="shared" ca="1" si="28"/>
        <v>16011</v>
      </c>
      <c r="B319" s="5"/>
      <c r="C319" s="6"/>
      <c r="D319" s="6"/>
      <c r="E319" s="7"/>
      <c r="F319" s="8"/>
      <c r="G319" s="8"/>
      <c r="H319" s="9"/>
      <c r="I319" s="10"/>
      <c r="J319" s="11"/>
    </row>
    <row r="320" spans="1:10" x14ac:dyDescent="0.25">
      <c r="A320" s="1">
        <f t="shared" ca="1" si="28"/>
        <v>16012</v>
      </c>
      <c r="B320" s="5"/>
      <c r="C320" s="6"/>
      <c r="D320" s="6"/>
      <c r="E320" s="7"/>
      <c r="F320" s="8"/>
      <c r="G320" s="8"/>
      <c r="H320" s="9"/>
      <c r="I320" s="10"/>
      <c r="J320" s="11"/>
    </row>
    <row r="321" spans="1:10" x14ac:dyDescent="0.25">
      <c r="A321" s="1">
        <f t="shared" ca="1" si="28"/>
        <v>16013</v>
      </c>
      <c r="B321" s="5"/>
      <c r="C321" s="6"/>
      <c r="D321" s="6"/>
      <c r="E321" s="7"/>
      <c r="F321" s="8"/>
      <c r="G321" s="8"/>
      <c r="H321" s="9"/>
      <c r="I321" s="10"/>
      <c r="J321" s="11"/>
    </row>
    <row r="322" spans="1:10" x14ac:dyDescent="0.25">
      <c r="A322" s="1">
        <f t="shared" ca="1" si="28"/>
        <v>16014</v>
      </c>
      <c r="B322" s="5"/>
      <c r="C322" s="6"/>
      <c r="D322" s="6"/>
      <c r="E322" s="7"/>
      <c r="F322" s="8"/>
      <c r="G322" s="8"/>
      <c r="H322" s="9"/>
      <c r="I322" s="10"/>
      <c r="J322" s="11"/>
    </row>
    <row r="323" spans="1:10" x14ac:dyDescent="0.25">
      <c r="A323" s="1">
        <f t="shared" ca="1" si="28"/>
        <v>16015</v>
      </c>
      <c r="B323" s="5"/>
      <c r="C323" s="6"/>
      <c r="D323" s="6"/>
      <c r="E323" s="7"/>
      <c r="F323" s="8"/>
      <c r="G323" s="8"/>
      <c r="H323" s="9"/>
      <c r="I323" s="10"/>
      <c r="J323" s="11"/>
    </row>
    <row r="324" spans="1:10" x14ac:dyDescent="0.25">
      <c r="A324" s="1">
        <f t="shared" ca="1" si="28"/>
        <v>16016</v>
      </c>
      <c r="B324" s="5"/>
      <c r="C324" s="6"/>
      <c r="D324" s="6"/>
      <c r="E324" s="7"/>
      <c r="F324" s="8"/>
      <c r="G324" s="8"/>
      <c r="H324" s="9"/>
      <c r="I324" s="10"/>
      <c r="J324" s="11"/>
    </row>
    <row r="325" spans="1:10" x14ac:dyDescent="0.25">
      <c r="A325" s="1">
        <f t="shared" ca="1" si="28"/>
        <v>16017</v>
      </c>
      <c r="B325" s="5"/>
      <c r="C325" s="6"/>
      <c r="D325" s="6"/>
      <c r="E325" s="7"/>
      <c r="F325" s="8"/>
      <c r="G325" s="8"/>
      <c r="H325" s="9"/>
      <c r="I325" s="10"/>
      <c r="J325" s="11"/>
    </row>
    <row r="326" spans="1:10" x14ac:dyDescent="0.25">
      <c r="A326" s="1">
        <f t="shared" ca="1" si="28"/>
        <v>16018</v>
      </c>
      <c r="B326" s="5"/>
      <c r="C326" s="6"/>
      <c r="D326" s="6"/>
      <c r="E326" s="7"/>
      <c r="F326" s="8"/>
      <c r="G326" s="8"/>
      <c r="H326" s="9"/>
      <c r="I326" s="10"/>
      <c r="J326" s="11"/>
    </row>
    <row r="327" spans="1:10" x14ac:dyDescent="0.25">
      <c r="A327" s="1">
        <f t="shared" ref="A327:A381" ca="1" si="35">IF(ISTEXT(A326),A325+1,IF(MONTH(A326+1)=MONTH(A326),A326+1,"Totaal"))</f>
        <v>16019</v>
      </c>
      <c r="B327" s="5"/>
      <c r="C327" s="6"/>
      <c r="D327" s="6"/>
      <c r="E327" s="7"/>
      <c r="F327" s="8"/>
      <c r="G327" s="8"/>
      <c r="H327" s="9"/>
      <c r="I327" s="10"/>
      <c r="J327" s="11"/>
    </row>
    <row r="328" spans="1:10" x14ac:dyDescent="0.25">
      <c r="A328" s="1">
        <f t="shared" ca="1" si="35"/>
        <v>16020</v>
      </c>
      <c r="B328" s="5"/>
      <c r="C328" s="6"/>
      <c r="D328" s="6"/>
      <c r="E328" s="7"/>
      <c r="F328" s="8"/>
      <c r="G328" s="8"/>
      <c r="H328" s="9"/>
      <c r="I328" s="10"/>
      <c r="J328" s="11"/>
    </row>
    <row r="329" spans="1:10" x14ac:dyDescent="0.25">
      <c r="A329" s="1">
        <f t="shared" ca="1" si="35"/>
        <v>16021</v>
      </c>
      <c r="B329" s="5"/>
      <c r="C329" s="6"/>
      <c r="D329" s="6"/>
      <c r="E329" s="7"/>
      <c r="F329" s="8"/>
      <c r="G329" s="8"/>
      <c r="H329" s="9"/>
      <c r="I329" s="10"/>
      <c r="J329" s="11"/>
    </row>
    <row r="330" spans="1:10" x14ac:dyDescent="0.25">
      <c r="A330" s="1">
        <f t="shared" ca="1" si="35"/>
        <v>16022</v>
      </c>
      <c r="B330" s="5"/>
      <c r="C330" s="6"/>
      <c r="D330" s="6"/>
      <c r="E330" s="7"/>
      <c r="F330" s="8"/>
      <c r="G330" s="8"/>
      <c r="H330" s="9"/>
      <c r="I330" s="10"/>
      <c r="J330" s="11"/>
    </row>
    <row r="331" spans="1:10" x14ac:dyDescent="0.25">
      <c r="A331" s="1">
        <f t="shared" ca="1" si="35"/>
        <v>16023</v>
      </c>
      <c r="B331" s="5"/>
      <c r="C331" s="6"/>
      <c r="D331" s="6"/>
      <c r="E331" s="7"/>
      <c r="F331" s="8"/>
      <c r="G331" s="8"/>
      <c r="H331" s="9"/>
      <c r="I331" s="10"/>
      <c r="J331" s="11"/>
    </row>
    <row r="332" spans="1:10" x14ac:dyDescent="0.25">
      <c r="A332" s="1">
        <f t="shared" ca="1" si="35"/>
        <v>16024</v>
      </c>
      <c r="B332" s="5"/>
      <c r="C332" s="6"/>
      <c r="D332" s="6"/>
      <c r="E332" s="7"/>
      <c r="F332" s="8"/>
      <c r="G332" s="8"/>
      <c r="H332" s="9"/>
      <c r="I332" s="10"/>
      <c r="J332" s="11"/>
    </row>
    <row r="333" spans="1:10" x14ac:dyDescent="0.25">
      <c r="A333" s="1">
        <f t="shared" ca="1" si="35"/>
        <v>16025</v>
      </c>
      <c r="B333" s="5"/>
      <c r="C333" s="6"/>
      <c r="D333" s="6"/>
      <c r="E333" s="7"/>
      <c r="F333" s="8"/>
      <c r="G333" s="8"/>
      <c r="H333" s="9"/>
      <c r="I333" s="10"/>
      <c r="J333" s="11"/>
    </row>
    <row r="334" spans="1:10" x14ac:dyDescent="0.25">
      <c r="A334" s="1">
        <f t="shared" ca="1" si="35"/>
        <v>16026</v>
      </c>
      <c r="B334" s="5"/>
      <c r="C334" s="6"/>
      <c r="D334" s="6"/>
      <c r="E334" s="7"/>
      <c r="F334" s="8"/>
      <c r="G334" s="8"/>
      <c r="H334" s="9"/>
      <c r="I334" s="10"/>
      <c r="J334" s="11"/>
    </row>
    <row r="335" spans="1:10" x14ac:dyDescent="0.25">
      <c r="A335" s="1">
        <f t="shared" ca="1" si="35"/>
        <v>16027</v>
      </c>
      <c r="B335" s="5"/>
      <c r="C335" s="6"/>
      <c r="D335" s="6"/>
      <c r="E335" s="7"/>
      <c r="F335" s="8"/>
      <c r="G335" s="8"/>
      <c r="H335" s="9"/>
      <c r="I335" s="10"/>
      <c r="J335" s="11"/>
    </row>
    <row r="336" spans="1:10" x14ac:dyDescent="0.25">
      <c r="A336" s="1">
        <f t="shared" ca="1" si="35"/>
        <v>16028</v>
      </c>
      <c r="B336" s="5"/>
      <c r="C336" s="6"/>
      <c r="D336" s="6"/>
      <c r="E336" s="7"/>
      <c r="F336" s="8"/>
      <c r="G336" s="8"/>
      <c r="H336" s="9"/>
      <c r="I336" s="10"/>
      <c r="J336" s="11"/>
    </row>
    <row r="337" spans="1:10" x14ac:dyDescent="0.25">
      <c r="A337" s="1">
        <f t="shared" ca="1" si="35"/>
        <v>16029</v>
      </c>
      <c r="B337" s="5"/>
      <c r="C337" s="6"/>
      <c r="D337" s="6"/>
      <c r="E337" s="7"/>
      <c r="F337" s="8"/>
      <c r="G337" s="8"/>
      <c r="H337" s="9"/>
      <c r="I337" s="10"/>
      <c r="J337" s="11"/>
    </row>
    <row r="338" spans="1:10" x14ac:dyDescent="0.25">
      <c r="A338" s="1">
        <f t="shared" ca="1" si="35"/>
        <v>16030</v>
      </c>
      <c r="B338" s="5"/>
      <c r="C338" s="6"/>
      <c r="D338" s="6"/>
      <c r="E338" s="7"/>
      <c r="F338" s="8"/>
      <c r="G338" s="8"/>
      <c r="H338" s="9"/>
      <c r="I338" s="10"/>
      <c r="J338" s="11"/>
    </row>
    <row r="339" spans="1:10" x14ac:dyDescent="0.25">
      <c r="A339" s="1">
        <f t="shared" ca="1" si="35"/>
        <v>16031</v>
      </c>
      <c r="B339" s="5"/>
      <c r="C339" s="6"/>
      <c r="D339" s="6"/>
      <c r="E339" s="7"/>
      <c r="F339" s="8"/>
      <c r="G339" s="8"/>
      <c r="H339" s="9"/>
      <c r="I339" s="10"/>
      <c r="J339" s="11"/>
    </row>
    <row r="340" spans="1:10" x14ac:dyDescent="0.25">
      <c r="A340" s="1">
        <f t="shared" ca="1" si="35"/>
        <v>16032</v>
      </c>
      <c r="B340" s="5"/>
      <c r="C340" s="6"/>
      <c r="D340" s="6"/>
      <c r="E340" s="7"/>
      <c r="F340" s="8"/>
      <c r="G340" s="8"/>
      <c r="H340" s="9"/>
      <c r="I340" s="10"/>
      <c r="J340" s="11"/>
    </row>
    <row r="341" spans="1:10" x14ac:dyDescent="0.25">
      <c r="A341" s="1">
        <f t="shared" ca="1" si="35"/>
        <v>16033</v>
      </c>
      <c r="B341" s="5"/>
      <c r="C341" s="6"/>
      <c r="D341" s="6"/>
      <c r="E341" s="7"/>
      <c r="F341" s="8"/>
      <c r="G341" s="8"/>
      <c r="H341" s="9"/>
      <c r="I341" s="10"/>
      <c r="J341" s="11"/>
    </row>
    <row r="342" spans="1:10" x14ac:dyDescent="0.25">
      <c r="A342" s="1">
        <f t="shared" ca="1" si="35"/>
        <v>16034</v>
      </c>
      <c r="B342" s="5"/>
      <c r="C342" s="6"/>
      <c r="D342" s="6"/>
      <c r="E342" s="7"/>
      <c r="F342" s="8"/>
      <c r="G342" s="8"/>
      <c r="H342" s="9"/>
      <c r="I342" s="10"/>
      <c r="J342" s="11"/>
    </row>
    <row r="343" spans="1:10" x14ac:dyDescent="0.25">
      <c r="A343" s="1">
        <f t="shared" ca="1" si="35"/>
        <v>16035</v>
      </c>
      <c r="B343" s="5"/>
      <c r="C343" s="6"/>
      <c r="D343" s="6"/>
      <c r="E343" s="7"/>
      <c r="F343" s="8"/>
      <c r="G343" s="8"/>
      <c r="H343" s="9"/>
      <c r="I343" s="10"/>
      <c r="J343" s="11"/>
    </row>
    <row r="344" spans="1:10" x14ac:dyDescent="0.25">
      <c r="A344" s="1">
        <f t="shared" ca="1" si="35"/>
        <v>16036</v>
      </c>
      <c r="B344" s="5"/>
      <c r="C344" s="6"/>
      <c r="D344" s="6"/>
      <c r="E344" s="7"/>
      <c r="F344" s="8"/>
      <c r="G344" s="8"/>
      <c r="H344" s="9"/>
      <c r="I344" s="10"/>
      <c r="J344" s="11"/>
    </row>
    <row r="345" spans="1:10" x14ac:dyDescent="0.25">
      <c r="A345" s="1">
        <f t="shared" ca="1" si="35"/>
        <v>16037</v>
      </c>
      <c r="B345" s="5"/>
      <c r="C345" s="6"/>
      <c r="D345" s="6"/>
      <c r="E345" s="7"/>
      <c r="F345" s="8"/>
      <c r="G345" s="8"/>
      <c r="H345" s="9"/>
      <c r="I345" s="10"/>
      <c r="J345" s="11"/>
    </row>
    <row r="346" spans="1:10" x14ac:dyDescent="0.25">
      <c r="A346" s="1">
        <f t="shared" ca="1" si="35"/>
        <v>16038</v>
      </c>
      <c r="B346" s="5"/>
      <c r="C346" s="6"/>
      <c r="D346" s="6"/>
      <c r="E346" s="7"/>
      <c r="F346" s="8"/>
      <c r="G346" s="8"/>
      <c r="H346" s="9"/>
      <c r="I346" s="10"/>
      <c r="J346" s="11"/>
    </row>
    <row r="347" spans="1:10" x14ac:dyDescent="0.25">
      <c r="A347" s="1">
        <f t="shared" ca="1" si="35"/>
        <v>16039</v>
      </c>
      <c r="B347" s="5"/>
      <c r="C347" s="6"/>
      <c r="D347" s="6"/>
      <c r="E347" s="7"/>
      <c r="F347" s="8"/>
      <c r="G347" s="8"/>
      <c r="H347" s="9"/>
      <c r="I347" s="10"/>
      <c r="J347" s="11"/>
    </row>
    <row r="348" spans="1:10" x14ac:dyDescent="0.25">
      <c r="A348" s="1">
        <f t="shared" ca="1" si="35"/>
        <v>16040</v>
      </c>
      <c r="B348" s="5"/>
      <c r="C348" s="6"/>
      <c r="D348" s="6"/>
      <c r="E348" s="7"/>
      <c r="F348" s="8"/>
      <c r="G348" s="8"/>
      <c r="H348" s="9"/>
      <c r="I348" s="10"/>
      <c r="J348" s="11"/>
    </row>
    <row r="349" spans="1:10" x14ac:dyDescent="0.25">
      <c r="A349" s="1" t="str">
        <f t="shared" ca="1" si="35"/>
        <v>Totaal</v>
      </c>
      <c r="B349" s="28" t="str">
        <f t="shared" ref="B349:G349" si="36">IF(COUNT(B319:B348)&gt;0,AVERAGE(B319:B348),"")</f>
        <v/>
      </c>
      <c r="C349" s="29" t="str">
        <f t="shared" si="36"/>
        <v/>
      </c>
      <c r="D349" s="29" t="str">
        <f t="shared" si="36"/>
        <v/>
      </c>
      <c r="E349" s="30" t="str">
        <f t="shared" si="36"/>
        <v/>
      </c>
      <c r="F349" s="31" t="str">
        <f t="shared" si="36"/>
        <v/>
      </c>
      <c r="G349" s="31" t="str">
        <f t="shared" si="36"/>
        <v/>
      </c>
      <c r="H349" s="32">
        <f>SUM(H319:H348)/10</f>
        <v>0</v>
      </c>
      <c r="I349" s="33">
        <f>SUM(I319:I348)/10</f>
        <v>0</v>
      </c>
      <c r="J349" s="34">
        <f>SUM(J319:J348)/10</f>
        <v>0</v>
      </c>
    </row>
    <row r="350" spans="1:10" x14ac:dyDescent="0.25">
      <c r="A350" s="1">
        <f t="shared" ca="1" si="35"/>
        <v>16041</v>
      </c>
      <c r="B350" s="5"/>
      <c r="C350" s="6"/>
      <c r="D350" s="6"/>
      <c r="E350" s="7"/>
      <c r="F350" s="8"/>
      <c r="G350" s="8"/>
      <c r="H350" s="9"/>
      <c r="I350" s="10"/>
      <c r="J350" s="11"/>
    </row>
    <row r="351" spans="1:10" x14ac:dyDescent="0.25">
      <c r="A351" s="1">
        <f t="shared" ca="1" si="35"/>
        <v>16042</v>
      </c>
      <c r="B351" s="5"/>
      <c r="C351" s="6"/>
      <c r="D351" s="6"/>
      <c r="E351" s="7"/>
      <c r="F351" s="8"/>
      <c r="G351" s="8"/>
      <c r="H351" s="9"/>
      <c r="I351" s="10"/>
      <c r="J351" s="11"/>
    </row>
    <row r="352" spans="1:10" x14ac:dyDescent="0.25">
      <c r="A352" s="1">
        <f t="shared" ca="1" si="35"/>
        <v>16043</v>
      </c>
      <c r="B352" s="5"/>
      <c r="C352" s="6"/>
      <c r="D352" s="6"/>
      <c r="E352" s="7"/>
      <c r="F352" s="8"/>
      <c r="G352" s="8"/>
      <c r="H352" s="9"/>
      <c r="I352" s="10"/>
      <c r="J352" s="11"/>
    </row>
    <row r="353" spans="1:10" x14ac:dyDescent="0.25">
      <c r="A353" s="1">
        <f t="shared" ca="1" si="35"/>
        <v>16044</v>
      </c>
      <c r="B353" s="5"/>
      <c r="C353" s="6"/>
      <c r="D353" s="6"/>
      <c r="E353" s="7"/>
      <c r="F353" s="8"/>
      <c r="G353" s="8"/>
      <c r="H353" s="9"/>
      <c r="I353" s="10"/>
      <c r="J353" s="11"/>
    </row>
    <row r="354" spans="1:10" x14ac:dyDescent="0.25">
      <c r="A354" s="1">
        <f t="shared" ca="1" si="35"/>
        <v>16045</v>
      </c>
      <c r="B354" s="5"/>
      <c r="C354" s="6"/>
      <c r="D354" s="6"/>
      <c r="E354" s="7"/>
      <c r="F354" s="8"/>
      <c r="G354" s="8"/>
      <c r="H354" s="9"/>
      <c r="I354" s="10"/>
      <c r="J354" s="11"/>
    </row>
    <row r="355" spans="1:10" x14ac:dyDescent="0.25">
      <c r="A355" s="1">
        <f t="shared" ca="1" si="35"/>
        <v>16046</v>
      </c>
      <c r="B355" s="5"/>
      <c r="C355" s="6"/>
      <c r="D355" s="6"/>
      <c r="E355" s="7"/>
      <c r="F355" s="8"/>
      <c r="G355" s="8"/>
      <c r="H355" s="9"/>
      <c r="I355" s="10"/>
      <c r="J355" s="11"/>
    </row>
    <row r="356" spans="1:10" x14ac:dyDescent="0.25">
      <c r="A356" s="1">
        <f t="shared" ca="1" si="35"/>
        <v>16047</v>
      </c>
      <c r="B356" s="5"/>
      <c r="C356" s="6"/>
      <c r="D356" s="6"/>
      <c r="E356" s="7"/>
      <c r="F356" s="8"/>
      <c r="G356" s="8"/>
      <c r="H356" s="9"/>
      <c r="I356" s="10"/>
      <c r="J356" s="11"/>
    </row>
    <row r="357" spans="1:10" x14ac:dyDescent="0.25">
      <c r="A357" s="1">
        <f t="shared" ca="1" si="35"/>
        <v>16048</v>
      </c>
      <c r="B357" s="5"/>
      <c r="C357" s="6"/>
      <c r="D357" s="6"/>
      <c r="E357" s="7"/>
      <c r="F357" s="8"/>
      <c r="G357" s="8"/>
      <c r="H357" s="9"/>
      <c r="I357" s="10"/>
      <c r="J357" s="11"/>
    </row>
    <row r="358" spans="1:10" x14ac:dyDescent="0.25">
      <c r="A358" s="1">
        <f t="shared" ca="1" si="35"/>
        <v>16049</v>
      </c>
      <c r="B358" s="5"/>
      <c r="C358" s="6"/>
      <c r="D358" s="6"/>
      <c r="E358" s="7"/>
      <c r="F358" s="8"/>
      <c r="G358" s="8"/>
      <c r="H358" s="9"/>
      <c r="I358" s="10"/>
      <c r="J358" s="11"/>
    </row>
    <row r="359" spans="1:10" x14ac:dyDescent="0.25">
      <c r="A359" s="1">
        <f t="shared" ca="1" si="35"/>
        <v>16050</v>
      </c>
      <c r="B359" s="5"/>
      <c r="C359" s="6"/>
      <c r="D359" s="6"/>
      <c r="E359" s="7"/>
      <c r="F359" s="8"/>
      <c r="G359" s="8"/>
      <c r="H359" s="9"/>
      <c r="I359" s="10"/>
      <c r="J359" s="11"/>
    </row>
    <row r="360" spans="1:10" x14ac:dyDescent="0.25">
      <c r="A360" s="1">
        <f t="shared" ca="1" si="35"/>
        <v>16051</v>
      </c>
      <c r="B360" s="5"/>
      <c r="C360" s="6"/>
      <c r="D360" s="6"/>
      <c r="E360" s="7"/>
      <c r="F360" s="8"/>
      <c r="G360" s="8"/>
      <c r="H360" s="9"/>
      <c r="I360" s="10"/>
      <c r="J360" s="11"/>
    </row>
    <row r="361" spans="1:10" x14ac:dyDescent="0.25">
      <c r="A361" s="1">
        <f t="shared" ca="1" si="35"/>
        <v>16052</v>
      </c>
      <c r="B361" s="5"/>
      <c r="C361" s="6"/>
      <c r="D361" s="6"/>
      <c r="E361" s="7"/>
      <c r="F361" s="8"/>
      <c r="G361" s="8"/>
      <c r="H361" s="9"/>
      <c r="I361" s="10"/>
      <c r="J361" s="11"/>
    </row>
    <row r="362" spans="1:10" x14ac:dyDescent="0.25">
      <c r="A362" s="1">
        <f t="shared" ca="1" si="35"/>
        <v>16053</v>
      </c>
      <c r="B362" s="5"/>
      <c r="C362" s="6"/>
      <c r="D362" s="6"/>
      <c r="E362" s="7"/>
      <c r="F362" s="8"/>
      <c r="G362" s="8"/>
      <c r="H362" s="9"/>
      <c r="I362" s="10"/>
      <c r="J362" s="11"/>
    </row>
    <row r="363" spans="1:10" x14ac:dyDescent="0.25">
      <c r="A363" s="1">
        <f t="shared" ca="1" si="35"/>
        <v>16054</v>
      </c>
      <c r="B363" s="5"/>
      <c r="C363" s="6"/>
      <c r="D363" s="6"/>
      <c r="E363" s="7"/>
      <c r="F363" s="8"/>
      <c r="G363" s="8"/>
      <c r="H363" s="9"/>
      <c r="I363" s="10"/>
      <c r="J363" s="11"/>
    </row>
    <row r="364" spans="1:10" x14ac:dyDescent="0.25">
      <c r="A364" s="1">
        <f t="shared" ca="1" si="35"/>
        <v>16055</v>
      </c>
      <c r="B364" s="5"/>
      <c r="C364" s="6"/>
      <c r="D364" s="6"/>
      <c r="E364" s="7"/>
      <c r="F364" s="8"/>
      <c r="G364" s="8"/>
      <c r="H364" s="9"/>
      <c r="I364" s="10"/>
      <c r="J364" s="11"/>
    </row>
    <row r="365" spans="1:10" x14ac:dyDescent="0.25">
      <c r="A365" s="1">
        <f t="shared" ca="1" si="35"/>
        <v>16056</v>
      </c>
      <c r="B365" s="5"/>
      <c r="C365" s="6"/>
      <c r="D365" s="6"/>
      <c r="E365" s="7"/>
      <c r="F365" s="8"/>
      <c r="G365" s="8"/>
      <c r="H365" s="9"/>
      <c r="I365" s="10"/>
      <c r="J365" s="11"/>
    </row>
    <row r="366" spans="1:10" x14ac:dyDescent="0.25">
      <c r="A366" s="1">
        <f t="shared" ca="1" si="35"/>
        <v>16057</v>
      </c>
      <c r="B366" s="5"/>
      <c r="C366" s="6"/>
      <c r="D366" s="6"/>
      <c r="E366" s="7"/>
      <c r="F366" s="8"/>
      <c r="G366" s="8"/>
      <c r="H366" s="9"/>
      <c r="I366" s="10"/>
      <c r="J366" s="11"/>
    </row>
    <row r="367" spans="1:10" x14ac:dyDescent="0.25">
      <c r="A367" s="1">
        <f t="shared" ca="1" si="35"/>
        <v>16058</v>
      </c>
      <c r="B367" s="5"/>
      <c r="C367" s="6"/>
      <c r="D367" s="6"/>
      <c r="E367" s="7"/>
      <c r="F367" s="8"/>
      <c r="G367" s="8"/>
      <c r="H367" s="9"/>
      <c r="I367" s="10"/>
      <c r="J367" s="11"/>
    </row>
    <row r="368" spans="1:10" x14ac:dyDescent="0.25">
      <c r="A368" s="1">
        <f t="shared" ca="1" si="35"/>
        <v>16059</v>
      </c>
      <c r="B368" s="5"/>
      <c r="C368" s="6"/>
      <c r="D368" s="6"/>
      <c r="E368" s="7"/>
      <c r="F368" s="8"/>
      <c r="G368" s="8"/>
      <c r="H368" s="9"/>
      <c r="I368" s="10"/>
      <c r="J368" s="11"/>
    </row>
    <row r="369" spans="1:10" x14ac:dyDescent="0.25">
      <c r="A369" s="1">
        <f t="shared" ca="1" si="35"/>
        <v>16060</v>
      </c>
      <c r="B369" s="5"/>
      <c r="C369" s="6"/>
      <c r="D369" s="6"/>
      <c r="E369" s="7"/>
      <c r="F369" s="8"/>
      <c r="G369" s="8"/>
      <c r="H369" s="9"/>
      <c r="I369" s="10"/>
      <c r="J369" s="11"/>
    </row>
    <row r="370" spans="1:10" x14ac:dyDescent="0.25">
      <c r="A370" s="1">
        <f t="shared" ca="1" si="35"/>
        <v>16061</v>
      </c>
      <c r="B370" s="5"/>
      <c r="C370" s="6"/>
      <c r="D370" s="6"/>
      <c r="E370" s="7"/>
      <c r="F370" s="8"/>
      <c r="G370" s="8"/>
      <c r="H370" s="9"/>
      <c r="I370" s="10"/>
      <c r="J370" s="11"/>
    </row>
    <row r="371" spans="1:10" x14ac:dyDescent="0.25">
      <c r="A371" s="1">
        <f t="shared" ca="1" si="35"/>
        <v>16062</v>
      </c>
      <c r="B371" s="5"/>
      <c r="C371" s="6"/>
      <c r="D371" s="6"/>
      <c r="E371" s="7"/>
      <c r="F371" s="8"/>
      <c r="G371" s="8"/>
      <c r="H371" s="9"/>
      <c r="I371" s="10"/>
      <c r="J371" s="11"/>
    </row>
    <row r="372" spans="1:10" x14ac:dyDescent="0.25">
      <c r="A372" s="1">
        <f t="shared" ca="1" si="35"/>
        <v>16063</v>
      </c>
      <c r="B372" s="5"/>
      <c r="C372" s="6"/>
      <c r="D372" s="6"/>
      <c r="E372" s="7"/>
      <c r="F372" s="8"/>
      <c r="G372" s="8"/>
      <c r="H372" s="9"/>
      <c r="I372" s="10"/>
      <c r="J372" s="11"/>
    </row>
    <row r="373" spans="1:10" x14ac:dyDescent="0.25">
      <c r="A373" s="1">
        <f t="shared" ca="1" si="35"/>
        <v>16064</v>
      </c>
      <c r="B373" s="5"/>
      <c r="C373" s="6"/>
      <c r="D373" s="6"/>
      <c r="E373" s="7"/>
      <c r="F373" s="8"/>
      <c r="G373" s="8"/>
      <c r="H373" s="9"/>
      <c r="I373" s="10"/>
      <c r="J373" s="11"/>
    </row>
    <row r="374" spans="1:10" x14ac:dyDescent="0.25">
      <c r="A374" s="1">
        <f t="shared" ca="1" si="35"/>
        <v>16065</v>
      </c>
      <c r="B374" s="5"/>
      <c r="C374" s="6"/>
      <c r="D374" s="6"/>
      <c r="E374" s="7"/>
      <c r="F374" s="8"/>
      <c r="G374" s="8"/>
      <c r="H374" s="9"/>
      <c r="I374" s="10"/>
      <c r="J374" s="11"/>
    </row>
    <row r="375" spans="1:10" x14ac:dyDescent="0.25">
      <c r="A375" s="1">
        <f t="shared" ca="1" si="35"/>
        <v>16066</v>
      </c>
      <c r="B375" s="5"/>
      <c r="C375" s="6"/>
      <c r="D375" s="6"/>
      <c r="E375" s="7"/>
      <c r="F375" s="8"/>
      <c r="G375" s="8"/>
      <c r="H375" s="9"/>
      <c r="I375" s="10"/>
      <c r="J375" s="11"/>
    </row>
    <row r="376" spans="1:10" x14ac:dyDescent="0.25">
      <c r="A376" s="1">
        <f t="shared" ca="1" si="35"/>
        <v>16067</v>
      </c>
      <c r="B376" s="5"/>
      <c r="C376" s="6"/>
      <c r="D376" s="6"/>
      <c r="E376" s="7"/>
      <c r="F376" s="8"/>
      <c r="G376" s="8"/>
      <c r="H376" s="9"/>
      <c r="I376" s="10"/>
      <c r="J376" s="11"/>
    </row>
    <row r="377" spans="1:10" x14ac:dyDescent="0.25">
      <c r="A377" s="1">
        <f t="shared" ca="1" si="35"/>
        <v>16068</v>
      </c>
      <c r="B377" s="5"/>
      <c r="C377" s="6"/>
      <c r="D377" s="6"/>
      <c r="E377" s="7"/>
      <c r="F377" s="8"/>
      <c r="G377" s="8"/>
      <c r="H377" s="9"/>
      <c r="I377" s="10"/>
      <c r="J377" s="11"/>
    </row>
    <row r="378" spans="1:10" x14ac:dyDescent="0.25">
      <c r="A378" s="1">
        <f t="shared" ca="1" si="35"/>
        <v>16069</v>
      </c>
      <c r="B378" s="5"/>
      <c r="C378" s="6"/>
      <c r="D378" s="6"/>
      <c r="E378" s="7"/>
      <c r="F378" s="8"/>
      <c r="G378" s="8"/>
      <c r="H378" s="9"/>
      <c r="I378" s="10"/>
      <c r="J378" s="11"/>
    </row>
    <row r="379" spans="1:10" x14ac:dyDescent="0.25">
      <c r="A379" s="1">
        <f t="shared" ca="1" si="35"/>
        <v>16070</v>
      </c>
      <c r="B379" s="5"/>
      <c r="C379" s="6"/>
      <c r="D379" s="6"/>
      <c r="E379" s="7"/>
      <c r="F379" s="8"/>
      <c r="G379" s="8"/>
      <c r="H379" s="9"/>
      <c r="I379" s="10"/>
      <c r="J379" s="11"/>
    </row>
    <row r="380" spans="1:10" x14ac:dyDescent="0.25">
      <c r="A380" s="1">
        <f t="shared" ca="1" si="35"/>
        <v>16071</v>
      </c>
      <c r="B380" s="5"/>
      <c r="C380" s="6"/>
      <c r="D380" s="6"/>
      <c r="E380" s="7"/>
      <c r="F380" s="8"/>
      <c r="G380" s="8"/>
      <c r="H380" s="9"/>
      <c r="I380" s="10"/>
      <c r="J380" s="11"/>
    </row>
    <row r="381" spans="1:10" x14ac:dyDescent="0.25">
      <c r="A381" s="1" t="str">
        <f t="shared" ca="1" si="35"/>
        <v>Totaal</v>
      </c>
      <c r="B381" s="28" t="str">
        <f>IF(COUNT(B350:B380)&gt;0,AVERAGE(B350:B380),"")</f>
        <v/>
      </c>
      <c r="C381" s="29" t="str">
        <f t="shared" ref="C381" si="37">IF(COUNT(C350:C380)&gt;0,AVERAGE(C350:C380),"")</f>
        <v/>
      </c>
      <c r="D381" s="29" t="str">
        <f t="shared" ref="D381" si="38">IF(COUNT(D350:D380)&gt;0,AVERAGE(D350:D380),"")</f>
        <v/>
      </c>
      <c r="E381" s="30" t="str">
        <f t="shared" ref="E381" si="39">IF(COUNT(E350:E380)&gt;0,AVERAGE(E350:E380),"")</f>
        <v/>
      </c>
      <c r="F381" s="31" t="str">
        <f t="shared" ref="F381" si="40">IF(COUNT(F350:F380)&gt;0,AVERAGE(F350:F380),"")</f>
        <v/>
      </c>
      <c r="G381" s="31" t="str">
        <f t="shared" ref="G381" si="41">IF(COUNT(G350:G380)&gt;0,AVERAGE(G350:G380),"")</f>
        <v/>
      </c>
      <c r="H381" s="32">
        <f>SUM(H350:H380)/10</f>
        <v>0</v>
      </c>
      <c r="I381" s="33">
        <f>SUM(I350:I380)/10</f>
        <v>0</v>
      </c>
      <c r="J381" s="34">
        <f>SUM(J350:J380)/10</f>
        <v>0</v>
      </c>
    </row>
  </sheetData>
  <sheetProtection sheet="1" objects="1" scenarios="1" selectLockedCells="1"/>
  <mergeCells count="5">
    <mergeCell ref="H3:J3"/>
    <mergeCell ref="B3:D3"/>
    <mergeCell ref="E3:G3"/>
    <mergeCell ref="A3:A4"/>
    <mergeCell ref="A1:J1"/>
  </mergeCells>
  <conditionalFormatting sqref="A5:J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S9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9" x14ac:dyDescent="0.25">
      <c r="A1" t="s">
        <v>20</v>
      </c>
      <c r="D1" t="s">
        <v>33</v>
      </c>
      <c r="G1" t="s">
        <v>30</v>
      </c>
      <c r="J1" t="s">
        <v>32</v>
      </c>
    </row>
    <row r="2" spans="1:19" ht="15.75" thickBot="1" x14ac:dyDescent="0.3"/>
    <row r="3" spans="1:19" ht="15.75" thickBot="1" x14ac:dyDescent="0.3">
      <c r="J3" s="48" t="s">
        <v>6</v>
      </c>
      <c r="K3" s="47" t="s">
        <v>31</v>
      </c>
      <c r="L3" s="47"/>
      <c r="M3" s="47"/>
      <c r="N3" s="47" t="s">
        <v>9</v>
      </c>
      <c r="O3" s="47"/>
      <c r="P3" s="47"/>
      <c r="Q3" s="47" t="s">
        <v>10</v>
      </c>
      <c r="R3" s="47"/>
      <c r="S3" s="47"/>
    </row>
    <row r="4" spans="1:19" x14ac:dyDescent="0.25">
      <c r="A4" s="37" t="s">
        <v>21</v>
      </c>
      <c r="B4" s="36" t="s">
        <v>22</v>
      </c>
      <c r="D4" s="36" t="s">
        <v>34</v>
      </c>
      <c r="E4" s="36" t="s">
        <v>36</v>
      </c>
      <c r="G4" s="22" t="s">
        <v>23</v>
      </c>
      <c r="H4" s="22" t="s">
        <v>24</v>
      </c>
      <c r="J4" s="49"/>
      <c r="K4" s="26" t="s">
        <v>7</v>
      </c>
      <c r="L4" s="26" t="s">
        <v>1</v>
      </c>
      <c r="M4" s="26" t="s">
        <v>2</v>
      </c>
      <c r="N4" s="26" t="s">
        <v>7</v>
      </c>
      <c r="O4" s="26" t="s">
        <v>1</v>
      </c>
      <c r="P4" s="26" t="s">
        <v>2</v>
      </c>
      <c r="Q4" s="27" t="s">
        <v>3</v>
      </c>
      <c r="R4" s="27" t="s">
        <v>4</v>
      </c>
      <c r="S4" s="27" t="s">
        <v>5</v>
      </c>
    </row>
    <row r="5" spans="1:19" x14ac:dyDescent="0.25">
      <c r="A5" s="17">
        <v>81</v>
      </c>
      <c r="B5" t="s">
        <v>3</v>
      </c>
      <c r="D5" t="s">
        <v>16</v>
      </c>
      <c r="E5" t="s">
        <v>35</v>
      </c>
      <c r="G5" t="s">
        <v>25</v>
      </c>
      <c r="H5" s="18">
        <v>0</v>
      </c>
    </row>
    <row r="6" spans="1:19" x14ac:dyDescent="0.25">
      <c r="A6" s="17">
        <v>83</v>
      </c>
      <c r="B6" t="s">
        <v>4</v>
      </c>
      <c r="D6" s="38" t="s">
        <v>18</v>
      </c>
      <c r="E6" s="38" t="s">
        <v>37</v>
      </c>
      <c r="G6" t="s">
        <v>26</v>
      </c>
      <c r="H6" s="18">
        <v>1</v>
      </c>
    </row>
    <row r="7" spans="1:19" ht="15.75" thickBot="1" x14ac:dyDescent="0.3">
      <c r="A7" s="21">
        <v>82</v>
      </c>
      <c r="B7" s="19" t="s">
        <v>5</v>
      </c>
      <c r="D7" s="39" t="s">
        <v>13</v>
      </c>
      <c r="E7" s="39" t="s">
        <v>38</v>
      </c>
      <c r="G7" t="s">
        <v>27</v>
      </c>
      <c r="H7" s="18">
        <v>4</v>
      </c>
    </row>
    <row r="8" spans="1:19" x14ac:dyDescent="0.25">
      <c r="G8" t="s">
        <v>28</v>
      </c>
      <c r="H8" s="18">
        <v>6</v>
      </c>
    </row>
    <row r="9" spans="1:19" ht="15.75" thickBot="1" x14ac:dyDescent="0.3">
      <c r="G9" s="19" t="s">
        <v>29</v>
      </c>
      <c r="H9" s="20">
        <v>7</v>
      </c>
    </row>
  </sheetData>
  <mergeCells count="4">
    <mergeCell ref="Q3:S3"/>
    <mergeCell ref="N3:P3"/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1096"/>
  <sheetViews>
    <sheetView workbookViewId="0"/>
  </sheetViews>
  <sheetFormatPr defaultRowHeight="15" x14ac:dyDescent="0.25"/>
  <sheetData>
    <row r="1" spans="1:5" x14ac:dyDescent="0.25">
      <c r="A1" s="16" t="s">
        <v>11</v>
      </c>
      <c r="B1" s="15" t="s">
        <v>6</v>
      </c>
      <c r="C1" s="16" t="s">
        <v>12</v>
      </c>
      <c r="D1" s="16" t="s">
        <v>13</v>
      </c>
      <c r="E1" s="16" t="s">
        <v>14</v>
      </c>
    </row>
    <row r="2" spans="1:5" x14ac:dyDescent="0.25">
      <c r="A2" s="17">
        <f ca="1">INDEX(Stations,INT((ROWS(A$2:A2)-1)/(DATE(YEAR(Invoer!$A$5),12,31)-DATE(YEAR(Invoer!$A$5),1,1)+1))+2,1)</f>
        <v>81</v>
      </c>
      <c r="B2" t="str">
        <f ca="1">TEXT(DATE(YEAR(Invoer!$A$5),1,1)+MOD(ROWS(B$2:B2)-1,DATE(YEAR(Invoer!$A$5),12,31)-DATE(YEAR(Invoer!$A$5),1,1)+1),"jjjjmmdd")</f>
        <v>19430101</v>
      </c>
      <c r="C2" s="18">
        <v>1</v>
      </c>
      <c r="D2" s="23" t="str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—</v>
      </c>
      <c r="E2" s="24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7</v>
      </c>
    </row>
    <row r="3" spans="1:5" x14ac:dyDescent="0.25">
      <c r="A3" s="17">
        <f ca="1">INDEX(Stations,INT((ROWS(A$2:A3)-1)/(DATE(YEAR(Invoer!$A$5),12,31)-DATE(YEAR(Invoer!$A$5),1,1)+1))+2,1)</f>
        <v>81</v>
      </c>
      <c r="B3" t="str">
        <f ca="1">TEXT(DATE(YEAR(Invoer!$A$5),1,1)+MOD(ROWS(B$2:B3)-1,DATE(YEAR(Invoer!$A$5),12,31)-DATE(YEAR(Invoer!$A$5),1,1)+1),"jjjjmmdd")</f>
        <v>19430102</v>
      </c>
      <c r="C3" s="18">
        <v>1</v>
      </c>
      <c r="D3" s="23" t="str">
        <f t="shared" ca="1" si="0"/>
        <v>—</v>
      </c>
      <c r="E3" s="24">
        <f t="shared" ca="1" si="1"/>
        <v>7</v>
      </c>
    </row>
    <row r="4" spans="1:5" x14ac:dyDescent="0.25">
      <c r="A4" s="17">
        <f ca="1">INDEX(Stations,INT((ROWS(A$2:A4)-1)/(DATE(YEAR(Invoer!$A$5),12,31)-DATE(YEAR(Invoer!$A$5),1,1)+1))+2,1)</f>
        <v>81</v>
      </c>
      <c r="B4" t="str">
        <f ca="1">TEXT(DATE(YEAR(Invoer!$A$5),1,1)+MOD(ROWS(B$2:B4)-1,DATE(YEAR(Invoer!$A$5),12,31)-DATE(YEAR(Invoer!$A$5),1,1)+1),"jjjjmmdd")</f>
        <v>19430103</v>
      </c>
      <c r="C4" s="18">
        <v>1</v>
      </c>
      <c r="D4" s="23" t="str">
        <f t="shared" ca="1" si="0"/>
        <v>—</v>
      </c>
      <c r="E4" s="24">
        <f t="shared" ca="1" si="1"/>
        <v>7</v>
      </c>
    </row>
    <row r="5" spans="1:5" x14ac:dyDescent="0.25">
      <c r="A5" s="17">
        <f ca="1">INDEX(Stations,INT((ROWS(A$2:A5)-1)/(DATE(YEAR(Invoer!$A$5),12,31)-DATE(YEAR(Invoer!$A$5),1,1)+1))+2,1)</f>
        <v>81</v>
      </c>
      <c r="B5" t="str">
        <f ca="1">TEXT(DATE(YEAR(Invoer!$A$5),1,1)+MOD(ROWS(B$2:B5)-1,DATE(YEAR(Invoer!$A$5),12,31)-DATE(YEAR(Invoer!$A$5),1,1)+1),"jjjjmmdd")</f>
        <v>19430104</v>
      </c>
      <c r="C5" s="18">
        <v>1</v>
      </c>
      <c r="D5" s="23" t="str">
        <f t="shared" ca="1" si="0"/>
        <v>—</v>
      </c>
      <c r="E5" s="24">
        <f t="shared" ca="1" si="1"/>
        <v>7</v>
      </c>
    </row>
    <row r="6" spans="1:5" x14ac:dyDescent="0.25">
      <c r="A6" s="17">
        <f ca="1">INDEX(Stations,INT((ROWS(A$2:A6)-1)/(DATE(YEAR(Invoer!$A$5),12,31)-DATE(YEAR(Invoer!$A$5),1,1)+1))+2,1)</f>
        <v>81</v>
      </c>
      <c r="B6" t="str">
        <f ca="1">TEXT(DATE(YEAR(Invoer!$A$5),1,1)+MOD(ROWS(B$2:B6)-1,DATE(YEAR(Invoer!$A$5),12,31)-DATE(YEAR(Invoer!$A$5),1,1)+1),"jjjjmmdd")</f>
        <v>19430105</v>
      </c>
      <c r="C6" s="18">
        <v>1</v>
      </c>
      <c r="D6" s="23" t="str">
        <f t="shared" ca="1" si="0"/>
        <v>—</v>
      </c>
      <c r="E6" s="24">
        <f t="shared" ca="1" si="1"/>
        <v>7</v>
      </c>
    </row>
    <row r="7" spans="1:5" x14ac:dyDescent="0.25">
      <c r="A7" s="17">
        <f ca="1">INDEX(Stations,INT((ROWS(A$2:A7)-1)/(DATE(YEAR(Invoer!$A$5),12,31)-DATE(YEAR(Invoer!$A$5),1,1)+1))+2,1)</f>
        <v>81</v>
      </c>
      <c r="B7" t="str">
        <f ca="1">TEXT(DATE(YEAR(Invoer!$A$5),1,1)+MOD(ROWS(B$2:B7)-1,DATE(YEAR(Invoer!$A$5),12,31)-DATE(YEAR(Invoer!$A$5),1,1)+1),"jjjjmmdd")</f>
        <v>19430106</v>
      </c>
      <c r="C7" s="18">
        <v>1</v>
      </c>
      <c r="D7" s="23" t="str">
        <f t="shared" ca="1" si="0"/>
        <v>—</v>
      </c>
      <c r="E7" s="24">
        <f t="shared" ca="1" si="1"/>
        <v>7</v>
      </c>
    </row>
    <row r="8" spans="1:5" x14ac:dyDescent="0.25">
      <c r="A8" s="17">
        <f ca="1">INDEX(Stations,INT((ROWS(A$2:A8)-1)/(DATE(YEAR(Invoer!$A$5),12,31)-DATE(YEAR(Invoer!$A$5),1,1)+1))+2,1)</f>
        <v>81</v>
      </c>
      <c r="B8" t="str">
        <f ca="1">TEXT(DATE(YEAR(Invoer!$A$5),1,1)+MOD(ROWS(B$2:B8)-1,DATE(YEAR(Invoer!$A$5),12,31)-DATE(YEAR(Invoer!$A$5),1,1)+1),"jjjjmmdd")</f>
        <v>19430107</v>
      </c>
      <c r="C8" s="18">
        <v>1</v>
      </c>
      <c r="D8" s="23" t="str">
        <f t="shared" ca="1" si="0"/>
        <v>—</v>
      </c>
      <c r="E8" s="24">
        <f t="shared" ca="1" si="1"/>
        <v>7</v>
      </c>
    </row>
    <row r="9" spans="1:5" x14ac:dyDescent="0.25">
      <c r="A9" s="17">
        <f ca="1">INDEX(Stations,INT((ROWS(A$2:A9)-1)/(DATE(YEAR(Invoer!$A$5),12,31)-DATE(YEAR(Invoer!$A$5),1,1)+1))+2,1)</f>
        <v>81</v>
      </c>
      <c r="B9" t="str">
        <f ca="1">TEXT(DATE(YEAR(Invoer!$A$5),1,1)+MOD(ROWS(B$2:B9)-1,DATE(YEAR(Invoer!$A$5),12,31)-DATE(YEAR(Invoer!$A$5),1,1)+1),"jjjjmmdd")</f>
        <v>19430108</v>
      </c>
      <c r="C9" s="18">
        <v>1</v>
      </c>
      <c r="D9" s="23" t="str">
        <f t="shared" ca="1" si="0"/>
        <v>—</v>
      </c>
      <c r="E9" s="24">
        <f t="shared" ca="1" si="1"/>
        <v>7</v>
      </c>
    </row>
    <row r="10" spans="1:5" x14ac:dyDescent="0.25">
      <c r="A10" s="17">
        <f ca="1">INDEX(Stations,INT((ROWS(A$2:A10)-1)/(DATE(YEAR(Invoer!$A$5),12,31)-DATE(YEAR(Invoer!$A$5),1,1)+1))+2,1)</f>
        <v>81</v>
      </c>
      <c r="B10" t="str">
        <f ca="1">TEXT(DATE(YEAR(Invoer!$A$5),1,1)+MOD(ROWS(B$2:B10)-1,DATE(YEAR(Invoer!$A$5),12,31)-DATE(YEAR(Invoer!$A$5),1,1)+1),"jjjjmmdd")</f>
        <v>19430109</v>
      </c>
      <c r="C10" s="18">
        <v>1</v>
      </c>
      <c r="D10" s="23" t="str">
        <f t="shared" ca="1" si="0"/>
        <v>—</v>
      </c>
      <c r="E10" s="24">
        <f t="shared" ca="1" si="1"/>
        <v>7</v>
      </c>
    </row>
    <row r="11" spans="1:5" x14ac:dyDescent="0.25">
      <c r="A11" s="17">
        <f ca="1">INDEX(Stations,INT((ROWS(A$2:A11)-1)/(DATE(YEAR(Invoer!$A$5),12,31)-DATE(YEAR(Invoer!$A$5),1,1)+1))+2,1)</f>
        <v>81</v>
      </c>
      <c r="B11" t="str">
        <f ca="1">TEXT(DATE(YEAR(Invoer!$A$5),1,1)+MOD(ROWS(B$2:B11)-1,DATE(YEAR(Invoer!$A$5),12,31)-DATE(YEAR(Invoer!$A$5),1,1)+1),"jjjjmmdd")</f>
        <v>19430110</v>
      </c>
      <c r="C11" s="18">
        <v>1</v>
      </c>
      <c r="D11" s="23" t="str">
        <f t="shared" ca="1" si="0"/>
        <v>—</v>
      </c>
      <c r="E11" s="24">
        <f t="shared" ca="1" si="1"/>
        <v>7</v>
      </c>
    </row>
    <row r="12" spans="1:5" x14ac:dyDescent="0.25">
      <c r="A12" s="17">
        <f ca="1">INDEX(Stations,INT((ROWS(A$2:A12)-1)/(DATE(YEAR(Invoer!$A$5),12,31)-DATE(YEAR(Invoer!$A$5),1,1)+1))+2,1)</f>
        <v>81</v>
      </c>
      <c r="B12" t="str">
        <f ca="1">TEXT(DATE(YEAR(Invoer!$A$5),1,1)+MOD(ROWS(B$2:B12)-1,DATE(YEAR(Invoer!$A$5),12,31)-DATE(YEAR(Invoer!$A$5),1,1)+1),"jjjjmmdd")</f>
        <v>19430111</v>
      </c>
      <c r="C12" s="18">
        <v>1</v>
      </c>
      <c r="D12" s="23" t="str">
        <f t="shared" ca="1" si="0"/>
        <v>—</v>
      </c>
      <c r="E12" s="24">
        <f t="shared" ca="1" si="1"/>
        <v>7</v>
      </c>
    </row>
    <row r="13" spans="1:5" x14ac:dyDescent="0.25">
      <c r="A13" s="17">
        <f ca="1">INDEX(Stations,INT((ROWS(A$2:A13)-1)/(DATE(YEAR(Invoer!$A$5),12,31)-DATE(YEAR(Invoer!$A$5),1,1)+1))+2,1)</f>
        <v>81</v>
      </c>
      <c r="B13" t="str">
        <f ca="1">TEXT(DATE(YEAR(Invoer!$A$5),1,1)+MOD(ROWS(B$2:B13)-1,DATE(YEAR(Invoer!$A$5),12,31)-DATE(YEAR(Invoer!$A$5),1,1)+1),"jjjjmmdd")</f>
        <v>19430112</v>
      </c>
      <c r="C13" s="18">
        <v>1</v>
      </c>
      <c r="D13" s="23" t="str">
        <f t="shared" ca="1" si="0"/>
        <v>—</v>
      </c>
      <c r="E13" s="24">
        <f t="shared" ca="1" si="1"/>
        <v>7</v>
      </c>
    </row>
    <row r="14" spans="1:5" x14ac:dyDescent="0.25">
      <c r="A14" s="17">
        <f ca="1">INDEX(Stations,INT((ROWS(A$2:A14)-1)/(DATE(YEAR(Invoer!$A$5),12,31)-DATE(YEAR(Invoer!$A$5),1,1)+1))+2,1)</f>
        <v>81</v>
      </c>
      <c r="B14" t="str">
        <f ca="1">TEXT(DATE(YEAR(Invoer!$A$5),1,1)+MOD(ROWS(B$2:B14)-1,DATE(YEAR(Invoer!$A$5),12,31)-DATE(YEAR(Invoer!$A$5),1,1)+1),"jjjjmmdd")</f>
        <v>19430113</v>
      </c>
      <c r="C14" s="18">
        <v>1</v>
      </c>
      <c r="D14" s="23" t="str">
        <f t="shared" ca="1" si="0"/>
        <v>—</v>
      </c>
      <c r="E14" s="24">
        <f t="shared" ca="1" si="1"/>
        <v>7</v>
      </c>
    </row>
    <row r="15" spans="1:5" x14ac:dyDescent="0.25">
      <c r="A15" s="17">
        <f ca="1">INDEX(Stations,INT((ROWS(A$2:A15)-1)/(DATE(YEAR(Invoer!$A$5),12,31)-DATE(YEAR(Invoer!$A$5),1,1)+1))+2,1)</f>
        <v>81</v>
      </c>
      <c r="B15" t="str">
        <f ca="1">TEXT(DATE(YEAR(Invoer!$A$5),1,1)+MOD(ROWS(B$2:B15)-1,DATE(YEAR(Invoer!$A$5),12,31)-DATE(YEAR(Invoer!$A$5),1,1)+1),"jjjjmmdd")</f>
        <v>19430114</v>
      </c>
      <c r="C15" s="18">
        <v>1</v>
      </c>
      <c r="D15" s="23" t="str">
        <f t="shared" ca="1" si="0"/>
        <v>—</v>
      </c>
      <c r="E15" s="24">
        <f t="shared" ca="1" si="1"/>
        <v>7</v>
      </c>
    </row>
    <row r="16" spans="1:5" x14ac:dyDescent="0.25">
      <c r="A16" s="17">
        <f ca="1">INDEX(Stations,INT((ROWS(A$2:A16)-1)/(DATE(YEAR(Invoer!$A$5),12,31)-DATE(YEAR(Invoer!$A$5),1,1)+1))+2,1)</f>
        <v>81</v>
      </c>
      <c r="B16" t="str">
        <f ca="1">TEXT(DATE(YEAR(Invoer!$A$5),1,1)+MOD(ROWS(B$2:B16)-1,DATE(YEAR(Invoer!$A$5),12,31)-DATE(YEAR(Invoer!$A$5),1,1)+1),"jjjjmmdd")</f>
        <v>19430115</v>
      </c>
      <c r="C16" s="18">
        <v>1</v>
      </c>
      <c r="D16" s="23" t="str">
        <f t="shared" ca="1" si="0"/>
        <v>—</v>
      </c>
      <c r="E16" s="24">
        <f t="shared" ca="1" si="1"/>
        <v>7</v>
      </c>
    </row>
    <row r="17" spans="1:5" x14ac:dyDescent="0.25">
      <c r="A17" s="17">
        <f ca="1">INDEX(Stations,INT((ROWS(A$2:A17)-1)/(DATE(YEAR(Invoer!$A$5),12,31)-DATE(YEAR(Invoer!$A$5),1,1)+1))+2,1)</f>
        <v>81</v>
      </c>
      <c r="B17" t="str">
        <f ca="1">TEXT(DATE(YEAR(Invoer!$A$5),1,1)+MOD(ROWS(B$2:B17)-1,DATE(YEAR(Invoer!$A$5),12,31)-DATE(YEAR(Invoer!$A$5),1,1)+1),"jjjjmmdd")</f>
        <v>19430116</v>
      </c>
      <c r="C17" s="18">
        <v>1</v>
      </c>
      <c r="D17" s="23" t="str">
        <f t="shared" ca="1" si="0"/>
        <v>—</v>
      </c>
      <c r="E17" s="24">
        <f t="shared" ca="1" si="1"/>
        <v>7</v>
      </c>
    </row>
    <row r="18" spans="1:5" x14ac:dyDescent="0.25">
      <c r="A18" s="17">
        <f ca="1">INDEX(Stations,INT((ROWS(A$2:A18)-1)/(DATE(YEAR(Invoer!$A$5),12,31)-DATE(YEAR(Invoer!$A$5),1,1)+1))+2,1)</f>
        <v>81</v>
      </c>
      <c r="B18" t="str">
        <f ca="1">TEXT(DATE(YEAR(Invoer!$A$5),1,1)+MOD(ROWS(B$2:B18)-1,DATE(YEAR(Invoer!$A$5),12,31)-DATE(YEAR(Invoer!$A$5),1,1)+1),"jjjjmmdd")</f>
        <v>19430117</v>
      </c>
      <c r="C18" s="18">
        <v>1</v>
      </c>
      <c r="D18" s="23" t="str">
        <f t="shared" ca="1" si="0"/>
        <v>—</v>
      </c>
      <c r="E18" s="24">
        <f t="shared" ca="1" si="1"/>
        <v>7</v>
      </c>
    </row>
    <row r="19" spans="1:5" x14ac:dyDescent="0.25">
      <c r="A19" s="17">
        <f ca="1">INDEX(Stations,INT((ROWS(A$2:A19)-1)/(DATE(YEAR(Invoer!$A$5),12,31)-DATE(YEAR(Invoer!$A$5),1,1)+1))+2,1)</f>
        <v>81</v>
      </c>
      <c r="B19" t="str">
        <f ca="1">TEXT(DATE(YEAR(Invoer!$A$5),1,1)+MOD(ROWS(B$2:B19)-1,DATE(YEAR(Invoer!$A$5),12,31)-DATE(YEAR(Invoer!$A$5),1,1)+1),"jjjjmmdd")</f>
        <v>19430118</v>
      </c>
      <c r="C19" s="18">
        <v>1</v>
      </c>
      <c r="D19" s="23" t="str">
        <f t="shared" ca="1" si="0"/>
        <v>—</v>
      </c>
      <c r="E19" s="24">
        <f t="shared" ca="1" si="1"/>
        <v>7</v>
      </c>
    </row>
    <row r="20" spans="1:5" x14ac:dyDescent="0.25">
      <c r="A20" s="17">
        <f ca="1">INDEX(Stations,INT((ROWS(A$2:A20)-1)/(DATE(YEAR(Invoer!$A$5),12,31)-DATE(YEAR(Invoer!$A$5),1,1)+1))+2,1)</f>
        <v>81</v>
      </c>
      <c r="B20" t="str">
        <f ca="1">TEXT(DATE(YEAR(Invoer!$A$5),1,1)+MOD(ROWS(B$2:B20)-1,DATE(YEAR(Invoer!$A$5),12,31)-DATE(YEAR(Invoer!$A$5),1,1)+1),"jjjjmmdd")</f>
        <v>19430119</v>
      </c>
      <c r="C20" s="18">
        <v>1</v>
      </c>
      <c r="D20" s="23" t="str">
        <f t="shared" ca="1" si="0"/>
        <v>—</v>
      </c>
      <c r="E20" s="24">
        <f t="shared" ca="1" si="1"/>
        <v>7</v>
      </c>
    </row>
    <row r="21" spans="1:5" x14ac:dyDescent="0.25">
      <c r="A21" s="17">
        <f ca="1">INDEX(Stations,INT((ROWS(A$2:A21)-1)/(DATE(YEAR(Invoer!$A$5),12,31)-DATE(YEAR(Invoer!$A$5),1,1)+1))+2,1)</f>
        <v>81</v>
      </c>
      <c r="B21" t="str">
        <f ca="1">TEXT(DATE(YEAR(Invoer!$A$5),1,1)+MOD(ROWS(B$2:B21)-1,DATE(YEAR(Invoer!$A$5),12,31)-DATE(YEAR(Invoer!$A$5),1,1)+1),"jjjjmmdd")</f>
        <v>19430120</v>
      </c>
      <c r="C21" s="18">
        <v>1</v>
      </c>
      <c r="D21" s="23" t="str">
        <f t="shared" ca="1" si="0"/>
        <v>—</v>
      </c>
      <c r="E21" s="24">
        <f t="shared" ca="1" si="1"/>
        <v>7</v>
      </c>
    </row>
    <row r="22" spans="1:5" x14ac:dyDescent="0.25">
      <c r="A22" s="17">
        <f ca="1">INDEX(Stations,INT((ROWS(A$2:A22)-1)/(DATE(YEAR(Invoer!$A$5),12,31)-DATE(YEAR(Invoer!$A$5),1,1)+1))+2,1)</f>
        <v>81</v>
      </c>
      <c r="B22" t="str">
        <f ca="1">TEXT(DATE(YEAR(Invoer!$A$5),1,1)+MOD(ROWS(B$2:B22)-1,DATE(YEAR(Invoer!$A$5),12,31)-DATE(YEAR(Invoer!$A$5),1,1)+1),"jjjjmmdd")</f>
        <v>19430121</v>
      </c>
      <c r="C22" s="18">
        <v>1</v>
      </c>
      <c r="D22" s="23" t="str">
        <f t="shared" ca="1" si="0"/>
        <v>—</v>
      </c>
      <c r="E22" s="24">
        <f t="shared" ca="1" si="1"/>
        <v>7</v>
      </c>
    </row>
    <row r="23" spans="1:5" x14ac:dyDescent="0.25">
      <c r="A23" s="17">
        <f ca="1">INDEX(Stations,INT((ROWS(A$2:A23)-1)/(DATE(YEAR(Invoer!$A$5),12,31)-DATE(YEAR(Invoer!$A$5),1,1)+1))+2,1)</f>
        <v>81</v>
      </c>
      <c r="B23" t="str">
        <f ca="1">TEXT(DATE(YEAR(Invoer!$A$5),1,1)+MOD(ROWS(B$2:B23)-1,DATE(YEAR(Invoer!$A$5),12,31)-DATE(YEAR(Invoer!$A$5),1,1)+1),"jjjjmmdd")</f>
        <v>19430122</v>
      </c>
      <c r="C23" s="18">
        <v>1</v>
      </c>
      <c r="D23" s="23" t="str">
        <f t="shared" ca="1" si="0"/>
        <v>—</v>
      </c>
      <c r="E23" s="24">
        <f t="shared" ca="1" si="1"/>
        <v>7</v>
      </c>
    </row>
    <row r="24" spans="1:5" x14ac:dyDescent="0.25">
      <c r="A24" s="17">
        <f ca="1">INDEX(Stations,INT((ROWS(A$2:A24)-1)/(DATE(YEAR(Invoer!$A$5),12,31)-DATE(YEAR(Invoer!$A$5),1,1)+1))+2,1)</f>
        <v>81</v>
      </c>
      <c r="B24" t="str">
        <f ca="1">TEXT(DATE(YEAR(Invoer!$A$5),1,1)+MOD(ROWS(B$2:B24)-1,DATE(YEAR(Invoer!$A$5),12,31)-DATE(YEAR(Invoer!$A$5),1,1)+1),"jjjjmmdd")</f>
        <v>19430123</v>
      </c>
      <c r="C24" s="18">
        <v>1</v>
      </c>
      <c r="D24" s="23" t="str">
        <f t="shared" ca="1" si="0"/>
        <v>—</v>
      </c>
      <c r="E24" s="24">
        <f t="shared" ca="1" si="1"/>
        <v>7</v>
      </c>
    </row>
    <row r="25" spans="1:5" x14ac:dyDescent="0.25">
      <c r="A25" s="17">
        <f ca="1">INDEX(Stations,INT((ROWS(A$2:A25)-1)/(DATE(YEAR(Invoer!$A$5),12,31)-DATE(YEAR(Invoer!$A$5),1,1)+1))+2,1)</f>
        <v>81</v>
      </c>
      <c r="B25" t="str">
        <f ca="1">TEXT(DATE(YEAR(Invoer!$A$5),1,1)+MOD(ROWS(B$2:B25)-1,DATE(YEAR(Invoer!$A$5),12,31)-DATE(YEAR(Invoer!$A$5),1,1)+1),"jjjjmmdd")</f>
        <v>19430124</v>
      </c>
      <c r="C25" s="18">
        <v>1</v>
      </c>
      <c r="D25" s="23" t="str">
        <f t="shared" ca="1" si="0"/>
        <v>—</v>
      </c>
      <c r="E25" s="24">
        <f t="shared" ca="1" si="1"/>
        <v>7</v>
      </c>
    </row>
    <row r="26" spans="1:5" x14ac:dyDescent="0.25">
      <c r="A26" s="17">
        <f ca="1">INDEX(Stations,INT((ROWS(A$2:A26)-1)/(DATE(YEAR(Invoer!$A$5),12,31)-DATE(YEAR(Invoer!$A$5),1,1)+1))+2,1)</f>
        <v>81</v>
      </c>
      <c r="B26" t="str">
        <f ca="1">TEXT(DATE(YEAR(Invoer!$A$5),1,1)+MOD(ROWS(B$2:B26)-1,DATE(YEAR(Invoer!$A$5),12,31)-DATE(YEAR(Invoer!$A$5),1,1)+1),"jjjjmmdd")</f>
        <v>19430125</v>
      </c>
      <c r="C26" s="18">
        <v>1</v>
      </c>
      <c r="D26" s="23" t="str">
        <f t="shared" ca="1" si="0"/>
        <v>—</v>
      </c>
      <c r="E26" s="24">
        <f t="shared" ca="1" si="1"/>
        <v>7</v>
      </c>
    </row>
    <row r="27" spans="1:5" x14ac:dyDescent="0.25">
      <c r="A27" s="17">
        <f ca="1">INDEX(Stations,INT((ROWS(A$2:A27)-1)/(DATE(YEAR(Invoer!$A$5),12,31)-DATE(YEAR(Invoer!$A$5),1,1)+1))+2,1)</f>
        <v>81</v>
      </c>
      <c r="B27" t="str">
        <f ca="1">TEXT(DATE(YEAR(Invoer!$A$5),1,1)+MOD(ROWS(B$2:B27)-1,DATE(YEAR(Invoer!$A$5),12,31)-DATE(YEAR(Invoer!$A$5),1,1)+1),"jjjjmmdd")</f>
        <v>19430126</v>
      </c>
      <c r="C27" s="18">
        <v>1</v>
      </c>
      <c r="D27" s="23" t="str">
        <f t="shared" ca="1" si="0"/>
        <v>—</v>
      </c>
      <c r="E27" s="24">
        <f t="shared" ca="1" si="1"/>
        <v>7</v>
      </c>
    </row>
    <row r="28" spans="1:5" x14ac:dyDescent="0.25">
      <c r="A28" s="17">
        <f ca="1">INDEX(Stations,INT((ROWS(A$2:A28)-1)/(DATE(YEAR(Invoer!$A$5),12,31)-DATE(YEAR(Invoer!$A$5),1,1)+1))+2,1)</f>
        <v>81</v>
      </c>
      <c r="B28" t="str">
        <f ca="1">TEXT(DATE(YEAR(Invoer!$A$5),1,1)+MOD(ROWS(B$2:B28)-1,DATE(YEAR(Invoer!$A$5),12,31)-DATE(YEAR(Invoer!$A$5),1,1)+1),"jjjjmmdd")</f>
        <v>19430127</v>
      </c>
      <c r="C28" s="18">
        <v>1</v>
      </c>
      <c r="D28" s="23" t="str">
        <f t="shared" ca="1" si="0"/>
        <v>—</v>
      </c>
      <c r="E28" s="24">
        <f t="shared" ca="1" si="1"/>
        <v>7</v>
      </c>
    </row>
    <row r="29" spans="1:5" x14ac:dyDescent="0.25">
      <c r="A29" s="17">
        <f ca="1">INDEX(Stations,INT((ROWS(A$2:A29)-1)/(DATE(YEAR(Invoer!$A$5),12,31)-DATE(YEAR(Invoer!$A$5),1,1)+1))+2,1)</f>
        <v>81</v>
      </c>
      <c r="B29" t="str">
        <f ca="1">TEXT(DATE(YEAR(Invoer!$A$5),1,1)+MOD(ROWS(B$2:B29)-1,DATE(YEAR(Invoer!$A$5),12,31)-DATE(YEAR(Invoer!$A$5),1,1)+1),"jjjjmmdd")</f>
        <v>19430128</v>
      </c>
      <c r="C29" s="18">
        <v>1</v>
      </c>
      <c r="D29" s="23" t="str">
        <f t="shared" ca="1" si="0"/>
        <v>—</v>
      </c>
      <c r="E29" s="24">
        <f t="shared" ca="1" si="1"/>
        <v>7</v>
      </c>
    </row>
    <row r="30" spans="1:5" x14ac:dyDescent="0.25">
      <c r="A30" s="17">
        <f ca="1">INDEX(Stations,INT((ROWS(A$2:A30)-1)/(DATE(YEAR(Invoer!$A$5),12,31)-DATE(YEAR(Invoer!$A$5),1,1)+1))+2,1)</f>
        <v>81</v>
      </c>
      <c r="B30" t="str">
        <f ca="1">TEXT(DATE(YEAR(Invoer!$A$5),1,1)+MOD(ROWS(B$2:B30)-1,DATE(YEAR(Invoer!$A$5),12,31)-DATE(YEAR(Invoer!$A$5),1,1)+1),"jjjjmmdd")</f>
        <v>19430129</v>
      </c>
      <c r="C30" s="18">
        <v>1</v>
      </c>
      <c r="D30" s="23" t="str">
        <f t="shared" ca="1" si="0"/>
        <v>—</v>
      </c>
      <c r="E30" s="24">
        <f t="shared" ca="1" si="1"/>
        <v>7</v>
      </c>
    </row>
    <row r="31" spans="1:5" x14ac:dyDescent="0.25">
      <c r="A31" s="17">
        <f ca="1">INDEX(Stations,INT((ROWS(A$2:A31)-1)/(DATE(YEAR(Invoer!$A$5),12,31)-DATE(YEAR(Invoer!$A$5),1,1)+1))+2,1)</f>
        <v>81</v>
      </c>
      <c r="B31" t="str">
        <f ca="1">TEXT(DATE(YEAR(Invoer!$A$5),1,1)+MOD(ROWS(B$2:B31)-1,DATE(YEAR(Invoer!$A$5),12,31)-DATE(YEAR(Invoer!$A$5),1,1)+1),"jjjjmmdd")</f>
        <v>19430130</v>
      </c>
      <c r="C31" s="18">
        <v>1</v>
      </c>
      <c r="D31" s="23" t="str">
        <f t="shared" ca="1" si="0"/>
        <v>—</v>
      </c>
      <c r="E31" s="24">
        <f t="shared" ca="1" si="1"/>
        <v>7</v>
      </c>
    </row>
    <row r="32" spans="1:5" x14ac:dyDescent="0.25">
      <c r="A32" s="17">
        <f ca="1">INDEX(Stations,INT((ROWS(A$2:A32)-1)/(DATE(YEAR(Invoer!$A$5),12,31)-DATE(YEAR(Invoer!$A$5),1,1)+1))+2,1)</f>
        <v>81</v>
      </c>
      <c r="B32" t="str">
        <f ca="1">TEXT(DATE(YEAR(Invoer!$A$5),1,1)+MOD(ROWS(B$2:B32)-1,DATE(YEAR(Invoer!$A$5),12,31)-DATE(YEAR(Invoer!$A$5),1,1)+1),"jjjjmmdd")</f>
        <v>19430131</v>
      </c>
      <c r="C32" s="18">
        <v>1</v>
      </c>
      <c r="D32" s="23" t="str">
        <f t="shared" ca="1" si="0"/>
        <v>—</v>
      </c>
      <c r="E32" s="24">
        <f t="shared" ca="1" si="1"/>
        <v>7</v>
      </c>
    </row>
    <row r="33" spans="1:5" x14ac:dyDescent="0.25">
      <c r="A33" s="17">
        <f ca="1">INDEX(Stations,INT((ROWS(A$2:A33)-1)/(DATE(YEAR(Invoer!$A$5),12,31)-DATE(YEAR(Invoer!$A$5),1,1)+1))+2,1)</f>
        <v>81</v>
      </c>
      <c r="B33" t="str">
        <f ca="1">TEXT(DATE(YEAR(Invoer!$A$5),1,1)+MOD(ROWS(B$2:B33)-1,DATE(YEAR(Invoer!$A$5),12,31)-DATE(YEAR(Invoer!$A$5),1,1)+1),"jjjjmmdd")</f>
        <v>19430201</v>
      </c>
      <c r="C33" s="18">
        <v>1</v>
      </c>
      <c r="D33" s="23" t="str">
        <f t="shared" ca="1" si="0"/>
        <v>—</v>
      </c>
      <c r="E33" s="24">
        <f t="shared" ca="1" si="1"/>
        <v>7</v>
      </c>
    </row>
    <row r="34" spans="1:5" x14ac:dyDescent="0.25">
      <c r="A34" s="17">
        <f ca="1">INDEX(Stations,INT((ROWS(A$2:A34)-1)/(DATE(YEAR(Invoer!$A$5),12,31)-DATE(YEAR(Invoer!$A$5),1,1)+1))+2,1)</f>
        <v>81</v>
      </c>
      <c r="B34" t="str">
        <f ca="1">TEXT(DATE(YEAR(Invoer!$A$5),1,1)+MOD(ROWS(B$2:B34)-1,DATE(YEAR(Invoer!$A$5),12,31)-DATE(YEAR(Invoer!$A$5),1,1)+1),"jjjjmmdd")</f>
        <v>19430202</v>
      </c>
      <c r="C34" s="18">
        <v>1</v>
      </c>
      <c r="D34" s="23" t="str">
        <f t="shared" ca="1" si="0"/>
        <v>—</v>
      </c>
      <c r="E34" s="24">
        <f t="shared" ca="1" si="1"/>
        <v>7</v>
      </c>
    </row>
    <row r="35" spans="1:5" x14ac:dyDescent="0.25">
      <c r="A35" s="17">
        <f ca="1">INDEX(Stations,INT((ROWS(A$2:A35)-1)/(DATE(YEAR(Invoer!$A$5),12,31)-DATE(YEAR(Invoer!$A$5),1,1)+1))+2,1)</f>
        <v>81</v>
      </c>
      <c r="B35" t="str">
        <f ca="1">TEXT(DATE(YEAR(Invoer!$A$5),1,1)+MOD(ROWS(B$2:B35)-1,DATE(YEAR(Invoer!$A$5),12,31)-DATE(YEAR(Invoer!$A$5),1,1)+1),"jjjjmmdd")</f>
        <v>19430203</v>
      </c>
      <c r="C35" s="18">
        <v>1</v>
      </c>
      <c r="D35" s="23" t="str">
        <f t="shared" ca="1" si="0"/>
        <v>—</v>
      </c>
      <c r="E35" s="24">
        <f t="shared" ca="1" si="1"/>
        <v>7</v>
      </c>
    </row>
    <row r="36" spans="1:5" x14ac:dyDescent="0.25">
      <c r="A36" s="17">
        <f ca="1">INDEX(Stations,INT((ROWS(A$2:A36)-1)/(DATE(YEAR(Invoer!$A$5),12,31)-DATE(YEAR(Invoer!$A$5),1,1)+1))+2,1)</f>
        <v>81</v>
      </c>
      <c r="B36" t="str">
        <f ca="1">TEXT(DATE(YEAR(Invoer!$A$5),1,1)+MOD(ROWS(B$2:B36)-1,DATE(YEAR(Invoer!$A$5),12,31)-DATE(YEAR(Invoer!$A$5),1,1)+1),"jjjjmmdd")</f>
        <v>19430204</v>
      </c>
      <c r="C36" s="18">
        <v>1</v>
      </c>
      <c r="D36" s="23" t="str">
        <f t="shared" ca="1" si="0"/>
        <v>—</v>
      </c>
      <c r="E36" s="24">
        <f t="shared" ca="1" si="1"/>
        <v>7</v>
      </c>
    </row>
    <row r="37" spans="1:5" x14ac:dyDescent="0.25">
      <c r="A37" s="17">
        <f ca="1">INDEX(Stations,INT((ROWS(A$2:A37)-1)/(DATE(YEAR(Invoer!$A$5),12,31)-DATE(YEAR(Invoer!$A$5),1,1)+1))+2,1)</f>
        <v>81</v>
      </c>
      <c r="B37" t="str">
        <f ca="1">TEXT(DATE(YEAR(Invoer!$A$5),1,1)+MOD(ROWS(B$2:B37)-1,DATE(YEAR(Invoer!$A$5),12,31)-DATE(YEAR(Invoer!$A$5),1,1)+1),"jjjjmmdd")</f>
        <v>19430205</v>
      </c>
      <c r="C37" s="18">
        <v>1</v>
      </c>
      <c r="D37" s="23" t="str">
        <f t="shared" ca="1" si="0"/>
        <v>—</v>
      </c>
      <c r="E37" s="24">
        <f t="shared" ca="1" si="1"/>
        <v>7</v>
      </c>
    </row>
    <row r="38" spans="1:5" x14ac:dyDescent="0.25">
      <c r="A38" s="17">
        <f ca="1">INDEX(Stations,INT((ROWS(A$2:A38)-1)/(DATE(YEAR(Invoer!$A$5),12,31)-DATE(YEAR(Invoer!$A$5),1,1)+1))+2,1)</f>
        <v>81</v>
      </c>
      <c r="B38" t="str">
        <f ca="1">TEXT(DATE(YEAR(Invoer!$A$5),1,1)+MOD(ROWS(B$2:B38)-1,DATE(YEAR(Invoer!$A$5),12,31)-DATE(YEAR(Invoer!$A$5),1,1)+1),"jjjjmmdd")</f>
        <v>19430206</v>
      </c>
      <c r="C38" s="18">
        <v>1</v>
      </c>
      <c r="D38" s="23" t="str">
        <f t="shared" ca="1" si="0"/>
        <v>—</v>
      </c>
      <c r="E38" s="24">
        <f t="shared" ca="1" si="1"/>
        <v>7</v>
      </c>
    </row>
    <row r="39" spans="1:5" x14ac:dyDescent="0.25">
      <c r="A39" s="17">
        <f ca="1">INDEX(Stations,INT((ROWS(A$2:A39)-1)/(DATE(YEAR(Invoer!$A$5),12,31)-DATE(YEAR(Invoer!$A$5),1,1)+1))+2,1)</f>
        <v>81</v>
      </c>
      <c r="B39" t="str">
        <f ca="1">TEXT(DATE(YEAR(Invoer!$A$5),1,1)+MOD(ROWS(B$2:B39)-1,DATE(YEAR(Invoer!$A$5),12,31)-DATE(YEAR(Invoer!$A$5),1,1)+1),"jjjjmmdd")</f>
        <v>19430207</v>
      </c>
      <c r="C39" s="18">
        <v>1</v>
      </c>
      <c r="D39" s="23" t="str">
        <f t="shared" ca="1" si="0"/>
        <v>—</v>
      </c>
      <c r="E39" s="24">
        <f t="shared" ca="1" si="1"/>
        <v>7</v>
      </c>
    </row>
    <row r="40" spans="1:5" x14ac:dyDescent="0.25">
      <c r="A40" s="17">
        <f ca="1">INDEX(Stations,INT((ROWS(A$2:A40)-1)/(DATE(YEAR(Invoer!$A$5),12,31)-DATE(YEAR(Invoer!$A$5),1,1)+1))+2,1)</f>
        <v>81</v>
      </c>
      <c r="B40" t="str">
        <f ca="1">TEXT(DATE(YEAR(Invoer!$A$5),1,1)+MOD(ROWS(B$2:B40)-1,DATE(YEAR(Invoer!$A$5),12,31)-DATE(YEAR(Invoer!$A$5),1,1)+1),"jjjjmmdd")</f>
        <v>19430208</v>
      </c>
      <c r="C40" s="18">
        <v>1</v>
      </c>
      <c r="D40" s="23" t="str">
        <f t="shared" ca="1" si="0"/>
        <v>—</v>
      </c>
      <c r="E40" s="24">
        <f t="shared" ca="1" si="1"/>
        <v>7</v>
      </c>
    </row>
    <row r="41" spans="1:5" x14ac:dyDescent="0.25">
      <c r="A41" s="17">
        <f ca="1">INDEX(Stations,INT((ROWS(A$2:A41)-1)/(DATE(YEAR(Invoer!$A$5),12,31)-DATE(YEAR(Invoer!$A$5),1,1)+1))+2,1)</f>
        <v>81</v>
      </c>
      <c r="B41" t="str">
        <f ca="1">TEXT(DATE(YEAR(Invoer!$A$5),1,1)+MOD(ROWS(B$2:B41)-1,DATE(YEAR(Invoer!$A$5),12,31)-DATE(YEAR(Invoer!$A$5),1,1)+1),"jjjjmmdd")</f>
        <v>19430209</v>
      </c>
      <c r="C41" s="18">
        <v>1</v>
      </c>
      <c r="D41" s="23" t="str">
        <f t="shared" ca="1" si="0"/>
        <v>—</v>
      </c>
      <c r="E41" s="24">
        <f t="shared" ca="1" si="1"/>
        <v>7</v>
      </c>
    </row>
    <row r="42" spans="1:5" x14ac:dyDescent="0.25">
      <c r="A42" s="17">
        <f ca="1">INDEX(Stations,INT((ROWS(A$2:A42)-1)/(DATE(YEAR(Invoer!$A$5),12,31)-DATE(YEAR(Invoer!$A$5),1,1)+1))+2,1)</f>
        <v>81</v>
      </c>
      <c r="B42" t="str">
        <f ca="1">TEXT(DATE(YEAR(Invoer!$A$5),1,1)+MOD(ROWS(B$2:B42)-1,DATE(YEAR(Invoer!$A$5),12,31)-DATE(YEAR(Invoer!$A$5),1,1)+1),"jjjjmmdd")</f>
        <v>19430210</v>
      </c>
      <c r="C42" s="18">
        <v>1</v>
      </c>
      <c r="D42" s="23" t="str">
        <f t="shared" ca="1" si="0"/>
        <v>—</v>
      </c>
      <c r="E42" s="24">
        <f t="shared" ca="1" si="1"/>
        <v>7</v>
      </c>
    </row>
    <row r="43" spans="1:5" x14ac:dyDescent="0.25">
      <c r="A43" s="17">
        <f ca="1">INDEX(Stations,INT((ROWS(A$2:A43)-1)/(DATE(YEAR(Invoer!$A$5),12,31)-DATE(YEAR(Invoer!$A$5),1,1)+1))+2,1)</f>
        <v>81</v>
      </c>
      <c r="B43" t="str">
        <f ca="1">TEXT(DATE(YEAR(Invoer!$A$5),1,1)+MOD(ROWS(B$2:B43)-1,DATE(YEAR(Invoer!$A$5),12,31)-DATE(YEAR(Invoer!$A$5),1,1)+1),"jjjjmmdd")</f>
        <v>19430211</v>
      </c>
      <c r="C43" s="18">
        <v>1</v>
      </c>
      <c r="D43" s="23" t="str">
        <f t="shared" ca="1" si="0"/>
        <v>—</v>
      </c>
      <c r="E43" s="24">
        <f t="shared" ca="1" si="1"/>
        <v>7</v>
      </c>
    </row>
    <row r="44" spans="1:5" x14ac:dyDescent="0.25">
      <c r="A44" s="17">
        <f ca="1">INDEX(Stations,INT((ROWS(A$2:A44)-1)/(DATE(YEAR(Invoer!$A$5),12,31)-DATE(YEAR(Invoer!$A$5),1,1)+1))+2,1)</f>
        <v>81</v>
      </c>
      <c r="B44" t="str">
        <f ca="1">TEXT(DATE(YEAR(Invoer!$A$5),1,1)+MOD(ROWS(B$2:B44)-1,DATE(YEAR(Invoer!$A$5),12,31)-DATE(YEAR(Invoer!$A$5),1,1)+1),"jjjjmmdd")</f>
        <v>19430212</v>
      </c>
      <c r="C44" s="18">
        <v>1</v>
      </c>
      <c r="D44" s="23" t="str">
        <f t="shared" ca="1" si="0"/>
        <v>—</v>
      </c>
      <c r="E44" s="24">
        <f t="shared" ca="1" si="1"/>
        <v>7</v>
      </c>
    </row>
    <row r="45" spans="1:5" x14ac:dyDescent="0.25">
      <c r="A45" s="17">
        <f ca="1">INDEX(Stations,INT((ROWS(A$2:A45)-1)/(DATE(YEAR(Invoer!$A$5),12,31)-DATE(YEAR(Invoer!$A$5),1,1)+1))+2,1)</f>
        <v>81</v>
      </c>
      <c r="B45" t="str">
        <f ca="1">TEXT(DATE(YEAR(Invoer!$A$5),1,1)+MOD(ROWS(B$2:B45)-1,DATE(YEAR(Invoer!$A$5),12,31)-DATE(YEAR(Invoer!$A$5),1,1)+1),"jjjjmmdd")</f>
        <v>19430213</v>
      </c>
      <c r="C45" s="18">
        <v>1</v>
      </c>
      <c r="D45" s="23" t="str">
        <f t="shared" ca="1" si="0"/>
        <v>—</v>
      </c>
      <c r="E45" s="24">
        <f t="shared" ca="1" si="1"/>
        <v>7</v>
      </c>
    </row>
    <row r="46" spans="1:5" x14ac:dyDescent="0.25">
      <c r="A46" s="17">
        <f ca="1">INDEX(Stations,INT((ROWS(A$2:A46)-1)/(DATE(YEAR(Invoer!$A$5),12,31)-DATE(YEAR(Invoer!$A$5),1,1)+1))+2,1)</f>
        <v>81</v>
      </c>
      <c r="B46" t="str">
        <f ca="1">TEXT(DATE(YEAR(Invoer!$A$5),1,1)+MOD(ROWS(B$2:B46)-1,DATE(YEAR(Invoer!$A$5),12,31)-DATE(YEAR(Invoer!$A$5),1,1)+1),"jjjjmmdd")</f>
        <v>19430214</v>
      </c>
      <c r="C46" s="18">
        <v>1</v>
      </c>
      <c r="D46" s="23" t="str">
        <f t="shared" ca="1" si="0"/>
        <v>—</v>
      </c>
      <c r="E46" s="24">
        <f t="shared" ca="1" si="1"/>
        <v>7</v>
      </c>
    </row>
    <row r="47" spans="1:5" x14ac:dyDescent="0.25">
      <c r="A47" s="17">
        <f ca="1">INDEX(Stations,INT((ROWS(A$2:A47)-1)/(DATE(YEAR(Invoer!$A$5),12,31)-DATE(YEAR(Invoer!$A$5),1,1)+1))+2,1)</f>
        <v>81</v>
      </c>
      <c r="B47" t="str">
        <f ca="1">TEXT(DATE(YEAR(Invoer!$A$5),1,1)+MOD(ROWS(B$2:B47)-1,DATE(YEAR(Invoer!$A$5),12,31)-DATE(YEAR(Invoer!$A$5),1,1)+1),"jjjjmmdd")</f>
        <v>19430215</v>
      </c>
      <c r="C47" s="18">
        <v>1</v>
      </c>
      <c r="D47" s="23" t="str">
        <f t="shared" ca="1" si="0"/>
        <v>—</v>
      </c>
      <c r="E47" s="24">
        <f t="shared" ca="1" si="1"/>
        <v>7</v>
      </c>
    </row>
    <row r="48" spans="1:5" x14ac:dyDescent="0.25">
      <c r="A48" s="17">
        <f ca="1">INDEX(Stations,INT((ROWS(A$2:A48)-1)/(DATE(YEAR(Invoer!$A$5),12,31)-DATE(YEAR(Invoer!$A$5),1,1)+1))+2,1)</f>
        <v>81</v>
      </c>
      <c r="B48" t="str">
        <f ca="1">TEXT(DATE(YEAR(Invoer!$A$5),1,1)+MOD(ROWS(B$2:B48)-1,DATE(YEAR(Invoer!$A$5),12,31)-DATE(YEAR(Invoer!$A$5),1,1)+1),"jjjjmmdd")</f>
        <v>19430216</v>
      </c>
      <c r="C48" s="18">
        <v>1</v>
      </c>
      <c r="D48" s="23" t="str">
        <f t="shared" ca="1" si="0"/>
        <v>—</v>
      </c>
      <c r="E48" s="24">
        <f t="shared" ca="1" si="1"/>
        <v>7</v>
      </c>
    </row>
    <row r="49" spans="1:5" x14ac:dyDescent="0.25">
      <c r="A49" s="17">
        <f ca="1">INDEX(Stations,INT((ROWS(A$2:A49)-1)/(DATE(YEAR(Invoer!$A$5),12,31)-DATE(YEAR(Invoer!$A$5),1,1)+1))+2,1)</f>
        <v>81</v>
      </c>
      <c r="B49" t="str">
        <f ca="1">TEXT(DATE(YEAR(Invoer!$A$5),1,1)+MOD(ROWS(B$2:B49)-1,DATE(YEAR(Invoer!$A$5),12,31)-DATE(YEAR(Invoer!$A$5),1,1)+1),"jjjjmmdd")</f>
        <v>19430217</v>
      </c>
      <c r="C49" s="18">
        <v>1</v>
      </c>
      <c r="D49" s="23" t="str">
        <f t="shared" ca="1" si="0"/>
        <v>—</v>
      </c>
      <c r="E49" s="24">
        <f t="shared" ca="1" si="1"/>
        <v>7</v>
      </c>
    </row>
    <row r="50" spans="1:5" x14ac:dyDescent="0.25">
      <c r="A50" s="17">
        <f ca="1">INDEX(Stations,INT((ROWS(A$2:A50)-1)/(DATE(YEAR(Invoer!$A$5),12,31)-DATE(YEAR(Invoer!$A$5),1,1)+1))+2,1)</f>
        <v>81</v>
      </c>
      <c r="B50" t="str">
        <f ca="1">TEXT(DATE(YEAR(Invoer!$A$5),1,1)+MOD(ROWS(B$2:B50)-1,DATE(YEAR(Invoer!$A$5),12,31)-DATE(YEAR(Invoer!$A$5),1,1)+1),"jjjjmmdd")</f>
        <v>19430218</v>
      </c>
      <c r="C50" s="18">
        <v>1</v>
      </c>
      <c r="D50" s="23" t="str">
        <f t="shared" ca="1" si="0"/>
        <v>—</v>
      </c>
      <c r="E50" s="24">
        <f t="shared" ca="1" si="1"/>
        <v>7</v>
      </c>
    </row>
    <row r="51" spans="1:5" x14ac:dyDescent="0.25">
      <c r="A51" s="17">
        <f ca="1">INDEX(Stations,INT((ROWS(A$2:A51)-1)/(DATE(YEAR(Invoer!$A$5),12,31)-DATE(YEAR(Invoer!$A$5),1,1)+1))+2,1)</f>
        <v>81</v>
      </c>
      <c r="B51" t="str">
        <f ca="1">TEXT(DATE(YEAR(Invoer!$A$5),1,1)+MOD(ROWS(B$2:B51)-1,DATE(YEAR(Invoer!$A$5),12,31)-DATE(YEAR(Invoer!$A$5),1,1)+1),"jjjjmmdd")</f>
        <v>19430219</v>
      </c>
      <c r="C51" s="18">
        <v>1</v>
      </c>
      <c r="D51" s="23" t="str">
        <f t="shared" ca="1" si="0"/>
        <v>—</v>
      </c>
      <c r="E51" s="24">
        <f t="shared" ca="1" si="1"/>
        <v>7</v>
      </c>
    </row>
    <row r="52" spans="1:5" x14ac:dyDescent="0.25">
      <c r="A52" s="17">
        <f ca="1">INDEX(Stations,INT((ROWS(A$2:A52)-1)/(DATE(YEAR(Invoer!$A$5),12,31)-DATE(YEAR(Invoer!$A$5),1,1)+1))+2,1)</f>
        <v>81</v>
      </c>
      <c r="B52" t="str">
        <f ca="1">TEXT(DATE(YEAR(Invoer!$A$5),1,1)+MOD(ROWS(B$2:B52)-1,DATE(YEAR(Invoer!$A$5),12,31)-DATE(YEAR(Invoer!$A$5),1,1)+1),"jjjjmmdd")</f>
        <v>19430220</v>
      </c>
      <c r="C52" s="18">
        <v>1</v>
      </c>
      <c r="D52" s="23" t="str">
        <f t="shared" ca="1" si="0"/>
        <v>—</v>
      </c>
      <c r="E52" s="24">
        <f t="shared" ca="1" si="1"/>
        <v>7</v>
      </c>
    </row>
    <row r="53" spans="1:5" x14ac:dyDescent="0.25">
      <c r="A53" s="17">
        <f ca="1">INDEX(Stations,INT((ROWS(A$2:A53)-1)/(DATE(YEAR(Invoer!$A$5),12,31)-DATE(YEAR(Invoer!$A$5),1,1)+1))+2,1)</f>
        <v>81</v>
      </c>
      <c r="B53" t="str">
        <f ca="1">TEXT(DATE(YEAR(Invoer!$A$5),1,1)+MOD(ROWS(B$2:B53)-1,DATE(YEAR(Invoer!$A$5),12,31)-DATE(YEAR(Invoer!$A$5),1,1)+1),"jjjjmmdd")</f>
        <v>19430221</v>
      </c>
      <c r="C53" s="18">
        <v>1</v>
      </c>
      <c r="D53" s="23" t="str">
        <f t="shared" ca="1" si="0"/>
        <v>—</v>
      </c>
      <c r="E53" s="24">
        <f t="shared" ca="1" si="1"/>
        <v>7</v>
      </c>
    </row>
    <row r="54" spans="1:5" x14ac:dyDescent="0.25">
      <c r="A54" s="17">
        <f ca="1">INDEX(Stations,INT((ROWS(A$2:A54)-1)/(DATE(YEAR(Invoer!$A$5),12,31)-DATE(YEAR(Invoer!$A$5),1,1)+1))+2,1)</f>
        <v>81</v>
      </c>
      <c r="B54" t="str">
        <f ca="1">TEXT(DATE(YEAR(Invoer!$A$5),1,1)+MOD(ROWS(B$2:B54)-1,DATE(YEAR(Invoer!$A$5),12,31)-DATE(YEAR(Invoer!$A$5),1,1)+1),"jjjjmmdd")</f>
        <v>19430222</v>
      </c>
      <c r="C54" s="18">
        <v>1</v>
      </c>
      <c r="D54" s="23" t="str">
        <f t="shared" ca="1" si="0"/>
        <v>—</v>
      </c>
      <c r="E54" s="24">
        <f t="shared" ca="1" si="1"/>
        <v>7</v>
      </c>
    </row>
    <row r="55" spans="1:5" x14ac:dyDescent="0.25">
      <c r="A55" s="17">
        <f ca="1">INDEX(Stations,INT((ROWS(A$2:A55)-1)/(DATE(YEAR(Invoer!$A$5),12,31)-DATE(YEAR(Invoer!$A$5),1,1)+1))+2,1)</f>
        <v>81</v>
      </c>
      <c r="B55" t="str">
        <f ca="1">TEXT(DATE(YEAR(Invoer!$A$5),1,1)+MOD(ROWS(B$2:B55)-1,DATE(YEAR(Invoer!$A$5),12,31)-DATE(YEAR(Invoer!$A$5),1,1)+1),"jjjjmmdd")</f>
        <v>19430223</v>
      </c>
      <c r="C55" s="18">
        <v>1</v>
      </c>
      <c r="D55" s="23" t="str">
        <f t="shared" ca="1" si="0"/>
        <v>—</v>
      </c>
      <c r="E55" s="24">
        <f t="shared" ca="1" si="1"/>
        <v>7</v>
      </c>
    </row>
    <row r="56" spans="1:5" x14ac:dyDescent="0.25">
      <c r="A56" s="17">
        <f ca="1">INDEX(Stations,INT((ROWS(A$2:A56)-1)/(DATE(YEAR(Invoer!$A$5),12,31)-DATE(YEAR(Invoer!$A$5),1,1)+1))+2,1)</f>
        <v>81</v>
      </c>
      <c r="B56" t="str">
        <f ca="1">TEXT(DATE(YEAR(Invoer!$A$5),1,1)+MOD(ROWS(B$2:B56)-1,DATE(YEAR(Invoer!$A$5),12,31)-DATE(YEAR(Invoer!$A$5),1,1)+1),"jjjjmmdd")</f>
        <v>19430224</v>
      </c>
      <c r="C56" s="18">
        <v>1</v>
      </c>
      <c r="D56" s="23" t="str">
        <f t="shared" ca="1" si="0"/>
        <v>—</v>
      </c>
      <c r="E56" s="24">
        <f t="shared" ca="1" si="1"/>
        <v>7</v>
      </c>
    </row>
    <row r="57" spans="1:5" x14ac:dyDescent="0.25">
      <c r="A57" s="17">
        <f ca="1">INDEX(Stations,INT((ROWS(A$2:A57)-1)/(DATE(YEAR(Invoer!$A$5),12,31)-DATE(YEAR(Invoer!$A$5),1,1)+1))+2,1)</f>
        <v>81</v>
      </c>
      <c r="B57" t="str">
        <f ca="1">TEXT(DATE(YEAR(Invoer!$A$5),1,1)+MOD(ROWS(B$2:B57)-1,DATE(YEAR(Invoer!$A$5),12,31)-DATE(YEAR(Invoer!$A$5),1,1)+1),"jjjjmmdd")</f>
        <v>19430225</v>
      </c>
      <c r="C57" s="18">
        <v>1</v>
      </c>
      <c r="D57" s="23" t="str">
        <f t="shared" ca="1" si="0"/>
        <v>—</v>
      </c>
      <c r="E57" s="24">
        <f t="shared" ca="1" si="1"/>
        <v>7</v>
      </c>
    </row>
    <row r="58" spans="1:5" x14ac:dyDescent="0.25">
      <c r="A58" s="17">
        <f ca="1">INDEX(Stations,INT((ROWS(A$2:A58)-1)/(DATE(YEAR(Invoer!$A$5),12,31)-DATE(YEAR(Invoer!$A$5),1,1)+1))+2,1)</f>
        <v>81</v>
      </c>
      <c r="B58" t="str">
        <f ca="1">TEXT(DATE(YEAR(Invoer!$A$5),1,1)+MOD(ROWS(B$2:B58)-1,DATE(YEAR(Invoer!$A$5),12,31)-DATE(YEAR(Invoer!$A$5),1,1)+1),"jjjjmmdd")</f>
        <v>19430226</v>
      </c>
      <c r="C58" s="18">
        <v>1</v>
      </c>
      <c r="D58" s="23" t="str">
        <f t="shared" ca="1" si="0"/>
        <v>—</v>
      </c>
      <c r="E58" s="24">
        <f t="shared" ca="1" si="1"/>
        <v>7</v>
      </c>
    </row>
    <row r="59" spans="1:5" x14ac:dyDescent="0.25">
      <c r="A59" s="17">
        <f ca="1">INDEX(Stations,INT((ROWS(A$2:A59)-1)/(DATE(YEAR(Invoer!$A$5),12,31)-DATE(YEAR(Invoer!$A$5),1,1)+1))+2,1)</f>
        <v>81</v>
      </c>
      <c r="B59" t="str">
        <f ca="1">TEXT(DATE(YEAR(Invoer!$A$5),1,1)+MOD(ROWS(B$2:B59)-1,DATE(YEAR(Invoer!$A$5),12,31)-DATE(YEAR(Invoer!$A$5),1,1)+1),"jjjjmmdd")</f>
        <v>19430227</v>
      </c>
      <c r="C59" s="18">
        <v>1</v>
      </c>
      <c r="D59" s="23" t="str">
        <f t="shared" ca="1" si="0"/>
        <v>—</v>
      </c>
      <c r="E59" s="24">
        <f t="shared" ca="1" si="1"/>
        <v>7</v>
      </c>
    </row>
    <row r="60" spans="1:5" x14ac:dyDescent="0.25">
      <c r="A60" s="17">
        <f ca="1">INDEX(Stations,INT((ROWS(A$2:A60)-1)/(DATE(YEAR(Invoer!$A$5),12,31)-DATE(YEAR(Invoer!$A$5),1,1)+1))+2,1)</f>
        <v>81</v>
      </c>
      <c r="B60" t="str">
        <f ca="1">TEXT(DATE(YEAR(Invoer!$A$5),1,1)+MOD(ROWS(B$2:B60)-1,DATE(YEAR(Invoer!$A$5),12,31)-DATE(YEAR(Invoer!$A$5),1,1)+1),"jjjjmmdd")</f>
        <v>19430228</v>
      </c>
      <c r="C60" s="18">
        <v>1</v>
      </c>
      <c r="D60" s="23" t="str">
        <f t="shared" ca="1" si="0"/>
        <v>—</v>
      </c>
      <c r="E60" s="24">
        <f t="shared" ca="1" si="1"/>
        <v>7</v>
      </c>
    </row>
    <row r="61" spans="1:5" x14ac:dyDescent="0.25">
      <c r="A61" s="17">
        <f ca="1">INDEX(Stations,INT((ROWS(A$2:A61)-1)/(DATE(YEAR(Invoer!$A$5),12,31)-DATE(YEAR(Invoer!$A$5),1,1)+1))+2,1)</f>
        <v>81</v>
      </c>
      <c r="B61" t="str">
        <f ca="1">TEXT(DATE(YEAR(Invoer!$A$5),1,1)+MOD(ROWS(B$2:B61)-1,DATE(YEAR(Invoer!$A$5),12,31)-DATE(YEAR(Invoer!$A$5),1,1)+1),"jjjjmmdd")</f>
        <v>19430301</v>
      </c>
      <c r="C61" s="18">
        <v>1</v>
      </c>
      <c r="D61" s="23" t="str">
        <f t="shared" ca="1" si="0"/>
        <v>—</v>
      </c>
      <c r="E61" s="24">
        <f t="shared" ca="1" si="1"/>
        <v>7</v>
      </c>
    </row>
    <row r="62" spans="1:5" x14ac:dyDescent="0.25">
      <c r="A62" s="17">
        <f ca="1">INDEX(Stations,INT((ROWS(A$2:A62)-1)/(DATE(YEAR(Invoer!$A$5),12,31)-DATE(YEAR(Invoer!$A$5),1,1)+1))+2,1)</f>
        <v>81</v>
      </c>
      <c r="B62" t="str">
        <f ca="1">TEXT(DATE(YEAR(Invoer!$A$5),1,1)+MOD(ROWS(B$2:B62)-1,DATE(YEAR(Invoer!$A$5),12,31)-DATE(YEAR(Invoer!$A$5),1,1)+1),"jjjjmmdd")</f>
        <v>19430302</v>
      </c>
      <c r="C62" s="18">
        <v>1</v>
      </c>
      <c r="D62" s="23" t="str">
        <f t="shared" ca="1" si="0"/>
        <v>—</v>
      </c>
      <c r="E62" s="24">
        <f t="shared" ca="1" si="1"/>
        <v>7</v>
      </c>
    </row>
    <row r="63" spans="1:5" x14ac:dyDescent="0.25">
      <c r="A63" s="17">
        <f ca="1">INDEX(Stations,INT((ROWS(A$2:A63)-1)/(DATE(YEAR(Invoer!$A$5),12,31)-DATE(YEAR(Invoer!$A$5),1,1)+1))+2,1)</f>
        <v>81</v>
      </c>
      <c r="B63" t="str">
        <f ca="1">TEXT(DATE(YEAR(Invoer!$A$5),1,1)+MOD(ROWS(B$2:B63)-1,DATE(YEAR(Invoer!$A$5),12,31)-DATE(YEAR(Invoer!$A$5),1,1)+1),"jjjjmmdd")</f>
        <v>19430303</v>
      </c>
      <c r="C63" s="18">
        <v>1</v>
      </c>
      <c r="D63" s="23" t="str">
        <f t="shared" ca="1" si="0"/>
        <v>—</v>
      </c>
      <c r="E63" s="24">
        <f t="shared" ca="1" si="1"/>
        <v>7</v>
      </c>
    </row>
    <row r="64" spans="1:5" x14ac:dyDescent="0.25">
      <c r="A64" s="17">
        <f ca="1">INDEX(Stations,INT((ROWS(A$2:A64)-1)/(DATE(YEAR(Invoer!$A$5),12,31)-DATE(YEAR(Invoer!$A$5),1,1)+1))+2,1)</f>
        <v>81</v>
      </c>
      <c r="B64" t="str">
        <f ca="1">TEXT(DATE(YEAR(Invoer!$A$5),1,1)+MOD(ROWS(B$2:B64)-1,DATE(YEAR(Invoer!$A$5),12,31)-DATE(YEAR(Invoer!$A$5),1,1)+1),"jjjjmmdd")</f>
        <v>19430304</v>
      </c>
      <c r="C64" s="18">
        <v>1</v>
      </c>
      <c r="D64" s="23" t="str">
        <f t="shared" ca="1" si="0"/>
        <v>—</v>
      </c>
      <c r="E64" s="24">
        <f t="shared" ca="1" si="1"/>
        <v>7</v>
      </c>
    </row>
    <row r="65" spans="1:5" x14ac:dyDescent="0.25">
      <c r="A65" s="17">
        <f ca="1">INDEX(Stations,INT((ROWS(A$2:A65)-1)/(DATE(YEAR(Invoer!$A$5),12,31)-DATE(YEAR(Invoer!$A$5),1,1)+1))+2,1)</f>
        <v>81</v>
      </c>
      <c r="B65" t="str">
        <f ca="1">TEXT(DATE(YEAR(Invoer!$A$5),1,1)+MOD(ROWS(B$2:B65)-1,DATE(YEAR(Invoer!$A$5),12,31)-DATE(YEAR(Invoer!$A$5),1,1)+1),"jjjjmmdd")</f>
        <v>19430305</v>
      </c>
      <c r="C65" s="18">
        <v>1</v>
      </c>
      <c r="D65" s="23" t="str">
        <f t="shared" ca="1" si="0"/>
        <v>—</v>
      </c>
      <c r="E65" s="24">
        <f t="shared" ca="1" si="1"/>
        <v>7</v>
      </c>
    </row>
    <row r="66" spans="1:5" x14ac:dyDescent="0.25">
      <c r="A66" s="17">
        <f ca="1">INDEX(Stations,INT((ROWS(A$2:A66)-1)/(DATE(YEAR(Invoer!$A$5),12,31)-DATE(YEAR(Invoer!$A$5),1,1)+1))+2,1)</f>
        <v>81</v>
      </c>
      <c r="B66" t="str">
        <f ca="1">TEXT(DATE(YEAR(Invoer!$A$5),1,1)+MOD(ROWS(B$2:B66)-1,DATE(YEAR(Invoer!$A$5),12,31)-DATE(YEAR(Invoer!$A$5),1,1)+1),"jjjjmmdd")</f>
        <v>19430306</v>
      </c>
      <c r="C66" s="18">
        <v>1</v>
      </c>
      <c r="D66" s="23" t="str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—</v>
      </c>
      <c r="E66" s="24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7</v>
      </c>
    </row>
    <row r="67" spans="1:5" x14ac:dyDescent="0.25">
      <c r="A67" s="17">
        <f ca="1">INDEX(Stations,INT((ROWS(A$2:A67)-1)/(DATE(YEAR(Invoer!$A$5),12,31)-DATE(YEAR(Invoer!$A$5),1,1)+1))+2,1)</f>
        <v>81</v>
      </c>
      <c r="B67" t="str">
        <f ca="1">TEXT(DATE(YEAR(Invoer!$A$5),1,1)+MOD(ROWS(B$2:B67)-1,DATE(YEAR(Invoer!$A$5),12,31)-DATE(YEAR(Invoer!$A$5),1,1)+1),"jjjjmmdd")</f>
        <v>19430307</v>
      </c>
      <c r="C67" s="18">
        <v>1</v>
      </c>
      <c r="D67" s="23" t="str">
        <f t="shared" ca="1" si="2"/>
        <v>—</v>
      </c>
      <c r="E67" s="24">
        <f t="shared" ca="1" si="3"/>
        <v>7</v>
      </c>
    </row>
    <row r="68" spans="1:5" x14ac:dyDescent="0.25">
      <c r="A68" s="17">
        <f ca="1">INDEX(Stations,INT((ROWS(A$2:A68)-1)/(DATE(YEAR(Invoer!$A$5),12,31)-DATE(YEAR(Invoer!$A$5),1,1)+1))+2,1)</f>
        <v>81</v>
      </c>
      <c r="B68" t="str">
        <f ca="1">TEXT(DATE(YEAR(Invoer!$A$5),1,1)+MOD(ROWS(B$2:B68)-1,DATE(YEAR(Invoer!$A$5),12,31)-DATE(YEAR(Invoer!$A$5),1,1)+1),"jjjjmmdd")</f>
        <v>19430308</v>
      </c>
      <c r="C68" s="18">
        <v>1</v>
      </c>
      <c r="D68" s="23" t="str">
        <f t="shared" ca="1" si="2"/>
        <v>—</v>
      </c>
      <c r="E68" s="24">
        <f t="shared" ca="1" si="3"/>
        <v>7</v>
      </c>
    </row>
    <row r="69" spans="1:5" x14ac:dyDescent="0.25">
      <c r="A69" s="17">
        <f ca="1">INDEX(Stations,INT((ROWS(A$2:A69)-1)/(DATE(YEAR(Invoer!$A$5),12,31)-DATE(YEAR(Invoer!$A$5),1,1)+1))+2,1)</f>
        <v>81</v>
      </c>
      <c r="B69" t="str">
        <f ca="1">TEXT(DATE(YEAR(Invoer!$A$5),1,1)+MOD(ROWS(B$2:B69)-1,DATE(YEAR(Invoer!$A$5),12,31)-DATE(YEAR(Invoer!$A$5),1,1)+1),"jjjjmmdd")</f>
        <v>19430309</v>
      </c>
      <c r="C69" s="18">
        <v>1</v>
      </c>
      <c r="D69" s="23" t="str">
        <f t="shared" ca="1" si="2"/>
        <v>—</v>
      </c>
      <c r="E69" s="24">
        <f t="shared" ca="1" si="3"/>
        <v>7</v>
      </c>
    </row>
    <row r="70" spans="1:5" x14ac:dyDescent="0.25">
      <c r="A70" s="17">
        <f ca="1">INDEX(Stations,INT((ROWS(A$2:A70)-1)/(DATE(YEAR(Invoer!$A$5),12,31)-DATE(YEAR(Invoer!$A$5),1,1)+1))+2,1)</f>
        <v>81</v>
      </c>
      <c r="B70" t="str">
        <f ca="1">TEXT(DATE(YEAR(Invoer!$A$5),1,1)+MOD(ROWS(B$2:B70)-1,DATE(YEAR(Invoer!$A$5),12,31)-DATE(YEAR(Invoer!$A$5),1,1)+1),"jjjjmmdd")</f>
        <v>19430310</v>
      </c>
      <c r="C70" s="18">
        <v>1</v>
      </c>
      <c r="D70" s="23" t="str">
        <f t="shared" ca="1" si="2"/>
        <v>—</v>
      </c>
      <c r="E70" s="24">
        <f t="shared" ca="1" si="3"/>
        <v>7</v>
      </c>
    </row>
    <row r="71" spans="1:5" x14ac:dyDescent="0.25">
      <c r="A71" s="17">
        <f ca="1">INDEX(Stations,INT((ROWS(A$2:A71)-1)/(DATE(YEAR(Invoer!$A$5),12,31)-DATE(YEAR(Invoer!$A$5),1,1)+1))+2,1)</f>
        <v>81</v>
      </c>
      <c r="B71" t="str">
        <f ca="1">TEXT(DATE(YEAR(Invoer!$A$5),1,1)+MOD(ROWS(B$2:B71)-1,DATE(YEAR(Invoer!$A$5),12,31)-DATE(YEAR(Invoer!$A$5),1,1)+1),"jjjjmmdd")</f>
        <v>19430311</v>
      </c>
      <c r="C71" s="18">
        <v>1</v>
      </c>
      <c r="D71" s="23" t="str">
        <f t="shared" ca="1" si="2"/>
        <v>—</v>
      </c>
      <c r="E71" s="24">
        <f t="shared" ca="1" si="3"/>
        <v>7</v>
      </c>
    </row>
    <row r="72" spans="1:5" x14ac:dyDescent="0.25">
      <c r="A72" s="17">
        <f ca="1">INDEX(Stations,INT((ROWS(A$2:A72)-1)/(DATE(YEAR(Invoer!$A$5),12,31)-DATE(YEAR(Invoer!$A$5),1,1)+1))+2,1)</f>
        <v>81</v>
      </c>
      <c r="B72" t="str">
        <f ca="1">TEXT(DATE(YEAR(Invoer!$A$5),1,1)+MOD(ROWS(B$2:B72)-1,DATE(YEAR(Invoer!$A$5),12,31)-DATE(YEAR(Invoer!$A$5),1,1)+1),"jjjjmmdd")</f>
        <v>19430312</v>
      </c>
      <c r="C72" s="18">
        <v>1</v>
      </c>
      <c r="D72" s="23" t="str">
        <f t="shared" ca="1" si="2"/>
        <v>—</v>
      </c>
      <c r="E72" s="24">
        <f t="shared" ca="1" si="3"/>
        <v>7</v>
      </c>
    </row>
    <row r="73" spans="1:5" x14ac:dyDescent="0.25">
      <c r="A73" s="17">
        <f ca="1">INDEX(Stations,INT((ROWS(A$2:A73)-1)/(DATE(YEAR(Invoer!$A$5),12,31)-DATE(YEAR(Invoer!$A$5),1,1)+1))+2,1)</f>
        <v>81</v>
      </c>
      <c r="B73" t="str">
        <f ca="1">TEXT(DATE(YEAR(Invoer!$A$5),1,1)+MOD(ROWS(B$2:B73)-1,DATE(YEAR(Invoer!$A$5),12,31)-DATE(YEAR(Invoer!$A$5),1,1)+1),"jjjjmmdd")</f>
        <v>19430313</v>
      </c>
      <c r="C73" s="18">
        <v>1</v>
      </c>
      <c r="D73" s="23" t="str">
        <f t="shared" ca="1" si="2"/>
        <v>—</v>
      </c>
      <c r="E73" s="24">
        <f t="shared" ca="1" si="3"/>
        <v>7</v>
      </c>
    </row>
    <row r="74" spans="1:5" x14ac:dyDescent="0.25">
      <c r="A74" s="17">
        <f ca="1">INDEX(Stations,INT((ROWS(A$2:A74)-1)/(DATE(YEAR(Invoer!$A$5),12,31)-DATE(YEAR(Invoer!$A$5),1,1)+1))+2,1)</f>
        <v>81</v>
      </c>
      <c r="B74" t="str">
        <f ca="1">TEXT(DATE(YEAR(Invoer!$A$5),1,1)+MOD(ROWS(B$2:B74)-1,DATE(YEAR(Invoer!$A$5),12,31)-DATE(YEAR(Invoer!$A$5),1,1)+1),"jjjjmmdd")</f>
        <v>19430314</v>
      </c>
      <c r="C74" s="18">
        <v>1</v>
      </c>
      <c r="D74" s="23" t="str">
        <f t="shared" ca="1" si="2"/>
        <v>—</v>
      </c>
      <c r="E74" s="24">
        <f t="shared" ca="1" si="3"/>
        <v>7</v>
      </c>
    </row>
    <row r="75" spans="1:5" x14ac:dyDescent="0.25">
      <c r="A75" s="17">
        <f ca="1">INDEX(Stations,INT((ROWS(A$2:A75)-1)/(DATE(YEAR(Invoer!$A$5),12,31)-DATE(YEAR(Invoer!$A$5),1,1)+1))+2,1)</f>
        <v>81</v>
      </c>
      <c r="B75" t="str">
        <f ca="1">TEXT(DATE(YEAR(Invoer!$A$5),1,1)+MOD(ROWS(B$2:B75)-1,DATE(YEAR(Invoer!$A$5),12,31)-DATE(YEAR(Invoer!$A$5),1,1)+1),"jjjjmmdd")</f>
        <v>19430315</v>
      </c>
      <c r="C75" s="18">
        <v>1</v>
      </c>
      <c r="D75" s="23" t="str">
        <f t="shared" ca="1" si="2"/>
        <v>—</v>
      </c>
      <c r="E75" s="24">
        <f t="shared" ca="1" si="3"/>
        <v>7</v>
      </c>
    </row>
    <row r="76" spans="1:5" x14ac:dyDescent="0.25">
      <c r="A76" s="17">
        <f ca="1">INDEX(Stations,INT((ROWS(A$2:A76)-1)/(DATE(YEAR(Invoer!$A$5),12,31)-DATE(YEAR(Invoer!$A$5),1,1)+1))+2,1)</f>
        <v>81</v>
      </c>
      <c r="B76" t="str">
        <f ca="1">TEXT(DATE(YEAR(Invoer!$A$5),1,1)+MOD(ROWS(B$2:B76)-1,DATE(YEAR(Invoer!$A$5),12,31)-DATE(YEAR(Invoer!$A$5),1,1)+1),"jjjjmmdd")</f>
        <v>19430316</v>
      </c>
      <c r="C76" s="18">
        <v>1</v>
      </c>
      <c r="D76" s="23" t="str">
        <f t="shared" ca="1" si="2"/>
        <v>—</v>
      </c>
      <c r="E76" s="24">
        <f t="shared" ca="1" si="3"/>
        <v>7</v>
      </c>
    </row>
    <row r="77" spans="1:5" x14ac:dyDescent="0.25">
      <c r="A77" s="17">
        <f ca="1">INDEX(Stations,INT((ROWS(A$2:A77)-1)/(DATE(YEAR(Invoer!$A$5),12,31)-DATE(YEAR(Invoer!$A$5),1,1)+1))+2,1)</f>
        <v>81</v>
      </c>
      <c r="B77" t="str">
        <f ca="1">TEXT(DATE(YEAR(Invoer!$A$5),1,1)+MOD(ROWS(B$2:B77)-1,DATE(YEAR(Invoer!$A$5),12,31)-DATE(YEAR(Invoer!$A$5),1,1)+1),"jjjjmmdd")</f>
        <v>19430317</v>
      </c>
      <c r="C77" s="18">
        <v>1</v>
      </c>
      <c r="D77" s="23" t="str">
        <f t="shared" ca="1" si="2"/>
        <v>—</v>
      </c>
      <c r="E77" s="24">
        <f t="shared" ca="1" si="3"/>
        <v>7</v>
      </c>
    </row>
    <row r="78" spans="1:5" x14ac:dyDescent="0.25">
      <c r="A78" s="17">
        <f ca="1">INDEX(Stations,INT((ROWS(A$2:A78)-1)/(DATE(YEAR(Invoer!$A$5),12,31)-DATE(YEAR(Invoer!$A$5),1,1)+1))+2,1)</f>
        <v>81</v>
      </c>
      <c r="B78" t="str">
        <f ca="1">TEXT(DATE(YEAR(Invoer!$A$5),1,1)+MOD(ROWS(B$2:B78)-1,DATE(YEAR(Invoer!$A$5),12,31)-DATE(YEAR(Invoer!$A$5),1,1)+1),"jjjjmmdd")</f>
        <v>19430318</v>
      </c>
      <c r="C78" s="18">
        <v>1</v>
      </c>
      <c r="D78" s="23" t="str">
        <f t="shared" ca="1" si="2"/>
        <v>—</v>
      </c>
      <c r="E78" s="24">
        <f t="shared" ca="1" si="3"/>
        <v>7</v>
      </c>
    </row>
    <row r="79" spans="1:5" x14ac:dyDescent="0.25">
      <c r="A79" s="17">
        <f ca="1">INDEX(Stations,INT((ROWS(A$2:A79)-1)/(DATE(YEAR(Invoer!$A$5),12,31)-DATE(YEAR(Invoer!$A$5),1,1)+1))+2,1)</f>
        <v>81</v>
      </c>
      <c r="B79" t="str">
        <f ca="1">TEXT(DATE(YEAR(Invoer!$A$5),1,1)+MOD(ROWS(B$2:B79)-1,DATE(YEAR(Invoer!$A$5),12,31)-DATE(YEAR(Invoer!$A$5),1,1)+1),"jjjjmmdd")</f>
        <v>19430319</v>
      </c>
      <c r="C79" s="18">
        <v>1</v>
      </c>
      <c r="D79" s="23" t="str">
        <f t="shared" ca="1" si="2"/>
        <v>—</v>
      </c>
      <c r="E79" s="24">
        <f t="shared" ca="1" si="3"/>
        <v>7</v>
      </c>
    </row>
    <row r="80" spans="1:5" x14ac:dyDescent="0.25">
      <c r="A80" s="17">
        <f ca="1">INDEX(Stations,INT((ROWS(A$2:A80)-1)/(DATE(YEAR(Invoer!$A$5),12,31)-DATE(YEAR(Invoer!$A$5),1,1)+1))+2,1)</f>
        <v>81</v>
      </c>
      <c r="B80" t="str">
        <f ca="1">TEXT(DATE(YEAR(Invoer!$A$5),1,1)+MOD(ROWS(B$2:B80)-1,DATE(YEAR(Invoer!$A$5),12,31)-DATE(YEAR(Invoer!$A$5),1,1)+1),"jjjjmmdd")</f>
        <v>19430320</v>
      </c>
      <c r="C80" s="18">
        <v>1</v>
      </c>
      <c r="D80" s="23" t="str">
        <f t="shared" ca="1" si="2"/>
        <v>—</v>
      </c>
      <c r="E80" s="24">
        <f t="shared" ca="1" si="3"/>
        <v>7</v>
      </c>
    </row>
    <row r="81" spans="1:5" x14ac:dyDescent="0.25">
      <c r="A81" s="17">
        <f ca="1">INDEX(Stations,INT((ROWS(A$2:A81)-1)/(DATE(YEAR(Invoer!$A$5),12,31)-DATE(YEAR(Invoer!$A$5),1,1)+1))+2,1)</f>
        <v>81</v>
      </c>
      <c r="B81" t="str">
        <f ca="1">TEXT(DATE(YEAR(Invoer!$A$5),1,1)+MOD(ROWS(B$2:B81)-1,DATE(YEAR(Invoer!$A$5),12,31)-DATE(YEAR(Invoer!$A$5),1,1)+1),"jjjjmmdd")</f>
        <v>19430321</v>
      </c>
      <c r="C81" s="18">
        <v>1</v>
      </c>
      <c r="D81" s="23" t="str">
        <f t="shared" ca="1" si="2"/>
        <v>—</v>
      </c>
      <c r="E81" s="24">
        <f t="shared" ca="1" si="3"/>
        <v>7</v>
      </c>
    </row>
    <row r="82" spans="1:5" x14ac:dyDescent="0.25">
      <c r="A82" s="17">
        <f ca="1">INDEX(Stations,INT((ROWS(A$2:A82)-1)/(DATE(YEAR(Invoer!$A$5),12,31)-DATE(YEAR(Invoer!$A$5),1,1)+1))+2,1)</f>
        <v>81</v>
      </c>
      <c r="B82" t="str">
        <f ca="1">TEXT(DATE(YEAR(Invoer!$A$5),1,1)+MOD(ROWS(B$2:B82)-1,DATE(YEAR(Invoer!$A$5),12,31)-DATE(YEAR(Invoer!$A$5),1,1)+1),"jjjjmmdd")</f>
        <v>19430322</v>
      </c>
      <c r="C82" s="18">
        <v>1</v>
      </c>
      <c r="D82" s="23" t="str">
        <f t="shared" ca="1" si="2"/>
        <v>—</v>
      </c>
      <c r="E82" s="24">
        <f t="shared" ca="1" si="3"/>
        <v>7</v>
      </c>
    </row>
    <row r="83" spans="1:5" x14ac:dyDescent="0.25">
      <c r="A83" s="17">
        <f ca="1">INDEX(Stations,INT((ROWS(A$2:A83)-1)/(DATE(YEAR(Invoer!$A$5),12,31)-DATE(YEAR(Invoer!$A$5),1,1)+1))+2,1)</f>
        <v>81</v>
      </c>
      <c r="B83" t="str">
        <f ca="1">TEXT(DATE(YEAR(Invoer!$A$5),1,1)+MOD(ROWS(B$2:B83)-1,DATE(YEAR(Invoer!$A$5),12,31)-DATE(YEAR(Invoer!$A$5),1,1)+1),"jjjjmmdd")</f>
        <v>19430323</v>
      </c>
      <c r="C83" s="18">
        <v>1</v>
      </c>
      <c r="D83" s="23" t="str">
        <f t="shared" ca="1" si="2"/>
        <v>—</v>
      </c>
      <c r="E83" s="24">
        <f t="shared" ca="1" si="3"/>
        <v>7</v>
      </c>
    </row>
    <row r="84" spans="1:5" x14ac:dyDescent="0.25">
      <c r="A84" s="17">
        <f ca="1">INDEX(Stations,INT((ROWS(A$2:A84)-1)/(DATE(YEAR(Invoer!$A$5),12,31)-DATE(YEAR(Invoer!$A$5),1,1)+1))+2,1)</f>
        <v>81</v>
      </c>
      <c r="B84" t="str">
        <f ca="1">TEXT(DATE(YEAR(Invoer!$A$5),1,1)+MOD(ROWS(B$2:B84)-1,DATE(YEAR(Invoer!$A$5),12,31)-DATE(YEAR(Invoer!$A$5),1,1)+1),"jjjjmmdd")</f>
        <v>19430324</v>
      </c>
      <c r="C84" s="18">
        <v>1</v>
      </c>
      <c r="D84" s="23" t="str">
        <f t="shared" ca="1" si="2"/>
        <v>—</v>
      </c>
      <c r="E84" s="24">
        <f t="shared" ca="1" si="3"/>
        <v>7</v>
      </c>
    </row>
    <row r="85" spans="1:5" x14ac:dyDescent="0.25">
      <c r="A85" s="17">
        <f ca="1">INDEX(Stations,INT((ROWS(A$2:A85)-1)/(DATE(YEAR(Invoer!$A$5),12,31)-DATE(YEAR(Invoer!$A$5),1,1)+1))+2,1)</f>
        <v>81</v>
      </c>
      <c r="B85" t="str">
        <f ca="1">TEXT(DATE(YEAR(Invoer!$A$5),1,1)+MOD(ROWS(B$2:B85)-1,DATE(YEAR(Invoer!$A$5),12,31)-DATE(YEAR(Invoer!$A$5),1,1)+1),"jjjjmmdd")</f>
        <v>19430325</v>
      </c>
      <c r="C85" s="18">
        <v>1</v>
      </c>
      <c r="D85" s="23" t="str">
        <f t="shared" ca="1" si="2"/>
        <v>—</v>
      </c>
      <c r="E85" s="24">
        <f t="shared" ca="1" si="3"/>
        <v>7</v>
      </c>
    </row>
    <row r="86" spans="1:5" x14ac:dyDescent="0.25">
      <c r="A86" s="17">
        <f ca="1">INDEX(Stations,INT((ROWS(A$2:A86)-1)/(DATE(YEAR(Invoer!$A$5),12,31)-DATE(YEAR(Invoer!$A$5),1,1)+1))+2,1)</f>
        <v>81</v>
      </c>
      <c r="B86" t="str">
        <f ca="1">TEXT(DATE(YEAR(Invoer!$A$5),1,1)+MOD(ROWS(B$2:B86)-1,DATE(YEAR(Invoer!$A$5),12,31)-DATE(YEAR(Invoer!$A$5),1,1)+1),"jjjjmmdd")</f>
        <v>19430326</v>
      </c>
      <c r="C86" s="18">
        <v>1</v>
      </c>
      <c r="D86" s="23" t="str">
        <f t="shared" ca="1" si="2"/>
        <v>—</v>
      </c>
      <c r="E86" s="24">
        <f t="shared" ca="1" si="3"/>
        <v>7</v>
      </c>
    </row>
    <row r="87" spans="1:5" x14ac:dyDescent="0.25">
      <c r="A87" s="17">
        <f ca="1">INDEX(Stations,INT((ROWS(A$2:A87)-1)/(DATE(YEAR(Invoer!$A$5),12,31)-DATE(YEAR(Invoer!$A$5),1,1)+1))+2,1)</f>
        <v>81</v>
      </c>
      <c r="B87" t="str">
        <f ca="1">TEXT(DATE(YEAR(Invoer!$A$5),1,1)+MOD(ROWS(B$2:B87)-1,DATE(YEAR(Invoer!$A$5),12,31)-DATE(YEAR(Invoer!$A$5),1,1)+1),"jjjjmmdd")</f>
        <v>19430327</v>
      </c>
      <c r="C87" s="18">
        <v>1</v>
      </c>
      <c r="D87" s="23" t="str">
        <f t="shared" ca="1" si="2"/>
        <v>—</v>
      </c>
      <c r="E87" s="24">
        <f t="shared" ca="1" si="3"/>
        <v>7</v>
      </c>
    </row>
    <row r="88" spans="1:5" x14ac:dyDescent="0.25">
      <c r="A88" s="17">
        <f ca="1">INDEX(Stations,INT((ROWS(A$2:A88)-1)/(DATE(YEAR(Invoer!$A$5),12,31)-DATE(YEAR(Invoer!$A$5),1,1)+1))+2,1)</f>
        <v>81</v>
      </c>
      <c r="B88" t="str">
        <f ca="1">TEXT(DATE(YEAR(Invoer!$A$5),1,1)+MOD(ROWS(B$2:B88)-1,DATE(YEAR(Invoer!$A$5),12,31)-DATE(YEAR(Invoer!$A$5),1,1)+1),"jjjjmmdd")</f>
        <v>19430328</v>
      </c>
      <c r="C88" s="18">
        <v>1</v>
      </c>
      <c r="D88" s="23" t="str">
        <f t="shared" ca="1" si="2"/>
        <v>—</v>
      </c>
      <c r="E88" s="24">
        <f t="shared" ca="1" si="3"/>
        <v>7</v>
      </c>
    </row>
    <row r="89" spans="1:5" x14ac:dyDescent="0.25">
      <c r="A89" s="17">
        <f ca="1">INDEX(Stations,INT((ROWS(A$2:A89)-1)/(DATE(YEAR(Invoer!$A$5),12,31)-DATE(YEAR(Invoer!$A$5),1,1)+1))+2,1)</f>
        <v>81</v>
      </c>
      <c r="B89" t="str">
        <f ca="1">TEXT(DATE(YEAR(Invoer!$A$5),1,1)+MOD(ROWS(B$2:B89)-1,DATE(YEAR(Invoer!$A$5),12,31)-DATE(YEAR(Invoer!$A$5),1,1)+1),"jjjjmmdd")</f>
        <v>19430329</v>
      </c>
      <c r="C89" s="18">
        <v>1</v>
      </c>
      <c r="D89" s="23" t="str">
        <f t="shared" ca="1" si="2"/>
        <v>—</v>
      </c>
      <c r="E89" s="24">
        <f t="shared" ca="1" si="3"/>
        <v>7</v>
      </c>
    </row>
    <row r="90" spans="1:5" x14ac:dyDescent="0.25">
      <c r="A90" s="17">
        <f ca="1">INDEX(Stations,INT((ROWS(A$2:A90)-1)/(DATE(YEAR(Invoer!$A$5),12,31)-DATE(YEAR(Invoer!$A$5),1,1)+1))+2,1)</f>
        <v>81</v>
      </c>
      <c r="B90" t="str">
        <f ca="1">TEXT(DATE(YEAR(Invoer!$A$5),1,1)+MOD(ROWS(B$2:B90)-1,DATE(YEAR(Invoer!$A$5),12,31)-DATE(YEAR(Invoer!$A$5),1,1)+1),"jjjjmmdd")</f>
        <v>19430330</v>
      </c>
      <c r="C90" s="18">
        <v>1</v>
      </c>
      <c r="D90" s="23" t="str">
        <f t="shared" ca="1" si="2"/>
        <v>—</v>
      </c>
      <c r="E90" s="24">
        <f t="shared" ca="1" si="3"/>
        <v>7</v>
      </c>
    </row>
    <row r="91" spans="1:5" x14ac:dyDescent="0.25">
      <c r="A91" s="17">
        <f ca="1">INDEX(Stations,INT((ROWS(A$2:A91)-1)/(DATE(YEAR(Invoer!$A$5),12,31)-DATE(YEAR(Invoer!$A$5),1,1)+1))+2,1)</f>
        <v>81</v>
      </c>
      <c r="B91" t="str">
        <f ca="1">TEXT(DATE(YEAR(Invoer!$A$5),1,1)+MOD(ROWS(B$2:B91)-1,DATE(YEAR(Invoer!$A$5),12,31)-DATE(YEAR(Invoer!$A$5),1,1)+1),"jjjjmmdd")</f>
        <v>19430331</v>
      </c>
      <c r="C91" s="18">
        <v>1</v>
      </c>
      <c r="D91" s="23" t="str">
        <f t="shared" ca="1" si="2"/>
        <v>—</v>
      </c>
      <c r="E91" s="24">
        <f t="shared" ca="1" si="3"/>
        <v>7</v>
      </c>
    </row>
    <row r="92" spans="1:5" x14ac:dyDescent="0.25">
      <c r="A92" s="17">
        <f ca="1">INDEX(Stations,INT((ROWS(A$2:A92)-1)/(DATE(YEAR(Invoer!$A$5),12,31)-DATE(YEAR(Invoer!$A$5),1,1)+1))+2,1)</f>
        <v>81</v>
      </c>
      <c r="B92" t="str">
        <f ca="1">TEXT(DATE(YEAR(Invoer!$A$5),1,1)+MOD(ROWS(B$2:B92)-1,DATE(YEAR(Invoer!$A$5),12,31)-DATE(YEAR(Invoer!$A$5),1,1)+1),"jjjjmmdd")</f>
        <v>19430401</v>
      </c>
      <c r="C92" s="18">
        <v>1</v>
      </c>
      <c r="D92" s="23">
        <f t="shared" ca="1" si="2"/>
        <v>0</v>
      </c>
      <c r="E92" s="24">
        <f t="shared" ca="1" si="3"/>
        <v>0</v>
      </c>
    </row>
    <row r="93" spans="1:5" x14ac:dyDescent="0.25">
      <c r="A93" s="17">
        <f ca="1">INDEX(Stations,INT((ROWS(A$2:A93)-1)/(DATE(YEAR(Invoer!$A$5),12,31)-DATE(YEAR(Invoer!$A$5),1,1)+1))+2,1)</f>
        <v>81</v>
      </c>
      <c r="B93" t="str">
        <f ca="1">TEXT(DATE(YEAR(Invoer!$A$5),1,1)+MOD(ROWS(B$2:B93)-1,DATE(YEAR(Invoer!$A$5),12,31)-DATE(YEAR(Invoer!$A$5),1,1)+1),"jjjjmmdd")</f>
        <v>19430402</v>
      </c>
      <c r="C93" s="18">
        <v>1</v>
      </c>
      <c r="D93" s="23">
        <f t="shared" ca="1" si="2"/>
        <v>0</v>
      </c>
      <c r="E93" s="24">
        <f t="shared" ca="1" si="3"/>
        <v>0</v>
      </c>
    </row>
    <row r="94" spans="1:5" x14ac:dyDescent="0.25">
      <c r="A94" s="17">
        <f ca="1">INDEX(Stations,INT((ROWS(A$2:A94)-1)/(DATE(YEAR(Invoer!$A$5),12,31)-DATE(YEAR(Invoer!$A$5),1,1)+1))+2,1)</f>
        <v>81</v>
      </c>
      <c r="B94" t="str">
        <f ca="1">TEXT(DATE(YEAR(Invoer!$A$5),1,1)+MOD(ROWS(B$2:B94)-1,DATE(YEAR(Invoer!$A$5),12,31)-DATE(YEAR(Invoer!$A$5),1,1)+1),"jjjjmmdd")</f>
        <v>19430403</v>
      </c>
      <c r="C94" s="18">
        <v>1</v>
      </c>
      <c r="D94" s="23">
        <f t="shared" ca="1" si="2"/>
        <v>0</v>
      </c>
      <c r="E94" s="24">
        <f t="shared" ca="1" si="3"/>
        <v>0</v>
      </c>
    </row>
    <row r="95" spans="1:5" x14ac:dyDescent="0.25">
      <c r="A95" s="17">
        <f ca="1">INDEX(Stations,INT((ROWS(A$2:A95)-1)/(DATE(YEAR(Invoer!$A$5),12,31)-DATE(YEAR(Invoer!$A$5),1,1)+1))+2,1)</f>
        <v>81</v>
      </c>
      <c r="B95" t="str">
        <f ca="1">TEXT(DATE(YEAR(Invoer!$A$5),1,1)+MOD(ROWS(B$2:B95)-1,DATE(YEAR(Invoer!$A$5),12,31)-DATE(YEAR(Invoer!$A$5),1,1)+1),"jjjjmmdd")</f>
        <v>19430404</v>
      </c>
      <c r="C95" s="18">
        <v>1</v>
      </c>
      <c r="D95" s="23">
        <f t="shared" ca="1" si="2"/>
        <v>0</v>
      </c>
      <c r="E95" s="24">
        <f t="shared" ca="1" si="3"/>
        <v>0</v>
      </c>
    </row>
    <row r="96" spans="1:5" x14ac:dyDescent="0.25">
      <c r="A96" s="17">
        <f ca="1">INDEX(Stations,INT((ROWS(A$2:A96)-1)/(DATE(YEAR(Invoer!$A$5),12,31)-DATE(YEAR(Invoer!$A$5),1,1)+1))+2,1)</f>
        <v>81</v>
      </c>
      <c r="B96" t="str">
        <f ca="1">TEXT(DATE(YEAR(Invoer!$A$5),1,1)+MOD(ROWS(B$2:B96)-1,DATE(YEAR(Invoer!$A$5),12,31)-DATE(YEAR(Invoer!$A$5),1,1)+1),"jjjjmmdd")</f>
        <v>19430405</v>
      </c>
      <c r="C96" s="18">
        <v>1</v>
      </c>
      <c r="D96" s="23">
        <f t="shared" ca="1" si="2"/>
        <v>0</v>
      </c>
      <c r="E96" s="24">
        <f t="shared" ca="1" si="3"/>
        <v>0</v>
      </c>
    </row>
    <row r="97" spans="1:5" x14ac:dyDescent="0.25">
      <c r="A97" s="17">
        <f ca="1">INDEX(Stations,INT((ROWS(A$2:A97)-1)/(DATE(YEAR(Invoer!$A$5),12,31)-DATE(YEAR(Invoer!$A$5),1,1)+1))+2,1)</f>
        <v>81</v>
      </c>
      <c r="B97" t="str">
        <f ca="1">TEXT(DATE(YEAR(Invoer!$A$5),1,1)+MOD(ROWS(B$2:B97)-1,DATE(YEAR(Invoer!$A$5),12,31)-DATE(YEAR(Invoer!$A$5),1,1)+1),"jjjjmmdd")</f>
        <v>19430406</v>
      </c>
      <c r="C97" s="18">
        <v>1</v>
      </c>
      <c r="D97" s="23">
        <f t="shared" ca="1" si="2"/>
        <v>0</v>
      </c>
      <c r="E97" s="24">
        <f t="shared" ca="1" si="3"/>
        <v>0</v>
      </c>
    </row>
    <row r="98" spans="1:5" x14ac:dyDescent="0.25">
      <c r="A98" s="17">
        <f ca="1">INDEX(Stations,INT((ROWS(A$2:A98)-1)/(DATE(YEAR(Invoer!$A$5),12,31)-DATE(YEAR(Invoer!$A$5),1,1)+1))+2,1)</f>
        <v>81</v>
      </c>
      <c r="B98" t="str">
        <f ca="1">TEXT(DATE(YEAR(Invoer!$A$5),1,1)+MOD(ROWS(B$2:B98)-1,DATE(YEAR(Invoer!$A$5),12,31)-DATE(YEAR(Invoer!$A$5),1,1)+1),"jjjjmmdd")</f>
        <v>19430407</v>
      </c>
      <c r="C98" s="18">
        <v>1</v>
      </c>
      <c r="D98" s="23">
        <f t="shared" ca="1" si="2"/>
        <v>0</v>
      </c>
      <c r="E98" s="24">
        <f t="shared" ca="1" si="3"/>
        <v>0</v>
      </c>
    </row>
    <row r="99" spans="1:5" x14ac:dyDescent="0.25">
      <c r="A99" s="17">
        <f ca="1">INDEX(Stations,INT((ROWS(A$2:A99)-1)/(DATE(YEAR(Invoer!$A$5),12,31)-DATE(YEAR(Invoer!$A$5),1,1)+1))+2,1)</f>
        <v>81</v>
      </c>
      <c r="B99" t="str">
        <f ca="1">TEXT(DATE(YEAR(Invoer!$A$5),1,1)+MOD(ROWS(B$2:B99)-1,DATE(YEAR(Invoer!$A$5),12,31)-DATE(YEAR(Invoer!$A$5),1,1)+1),"jjjjmmdd")</f>
        <v>19430408</v>
      </c>
      <c r="C99" s="18">
        <v>1</v>
      </c>
      <c r="D99" s="23">
        <f t="shared" ca="1" si="2"/>
        <v>0</v>
      </c>
      <c r="E99" s="24">
        <f t="shared" ca="1" si="3"/>
        <v>0</v>
      </c>
    </row>
    <row r="100" spans="1:5" x14ac:dyDescent="0.25">
      <c r="A100" s="17">
        <f ca="1">INDEX(Stations,INT((ROWS(A$2:A100)-1)/(DATE(YEAR(Invoer!$A$5),12,31)-DATE(YEAR(Invoer!$A$5),1,1)+1))+2,1)</f>
        <v>81</v>
      </c>
      <c r="B100" t="str">
        <f ca="1">TEXT(DATE(YEAR(Invoer!$A$5),1,1)+MOD(ROWS(B$2:B100)-1,DATE(YEAR(Invoer!$A$5),12,31)-DATE(YEAR(Invoer!$A$5),1,1)+1),"jjjjmmdd")</f>
        <v>19430409</v>
      </c>
      <c r="C100" s="18">
        <v>1</v>
      </c>
      <c r="D100" s="23">
        <f t="shared" ca="1" si="2"/>
        <v>0</v>
      </c>
      <c r="E100" s="24">
        <f t="shared" ca="1" si="3"/>
        <v>0</v>
      </c>
    </row>
    <row r="101" spans="1:5" x14ac:dyDescent="0.25">
      <c r="A101" s="17">
        <f ca="1">INDEX(Stations,INT((ROWS(A$2:A101)-1)/(DATE(YEAR(Invoer!$A$5),12,31)-DATE(YEAR(Invoer!$A$5),1,1)+1))+2,1)</f>
        <v>81</v>
      </c>
      <c r="B101" t="str">
        <f ca="1">TEXT(DATE(YEAR(Invoer!$A$5),1,1)+MOD(ROWS(B$2:B101)-1,DATE(YEAR(Invoer!$A$5),12,31)-DATE(YEAR(Invoer!$A$5),1,1)+1),"jjjjmmdd")</f>
        <v>19430410</v>
      </c>
      <c r="C101" s="18">
        <v>1</v>
      </c>
      <c r="D101" s="23">
        <f t="shared" ca="1" si="2"/>
        <v>0</v>
      </c>
      <c r="E101" s="24">
        <f t="shared" ca="1" si="3"/>
        <v>0</v>
      </c>
    </row>
    <row r="102" spans="1:5" x14ac:dyDescent="0.25">
      <c r="A102" s="17">
        <f ca="1">INDEX(Stations,INT((ROWS(A$2:A102)-1)/(DATE(YEAR(Invoer!$A$5),12,31)-DATE(YEAR(Invoer!$A$5),1,1)+1))+2,1)</f>
        <v>81</v>
      </c>
      <c r="B102" t="str">
        <f ca="1">TEXT(DATE(YEAR(Invoer!$A$5),1,1)+MOD(ROWS(B$2:B102)-1,DATE(YEAR(Invoer!$A$5),12,31)-DATE(YEAR(Invoer!$A$5),1,1)+1),"jjjjmmdd")</f>
        <v>19430411</v>
      </c>
      <c r="C102" s="18">
        <v>1</v>
      </c>
      <c r="D102" s="23">
        <f t="shared" ca="1" si="2"/>
        <v>0</v>
      </c>
      <c r="E102" s="24">
        <f t="shared" ca="1" si="3"/>
        <v>0</v>
      </c>
    </row>
    <row r="103" spans="1:5" x14ac:dyDescent="0.25">
      <c r="A103" s="17">
        <f ca="1">INDEX(Stations,INT((ROWS(A$2:A103)-1)/(DATE(YEAR(Invoer!$A$5),12,31)-DATE(YEAR(Invoer!$A$5),1,1)+1))+2,1)</f>
        <v>81</v>
      </c>
      <c r="B103" t="str">
        <f ca="1">TEXT(DATE(YEAR(Invoer!$A$5),1,1)+MOD(ROWS(B$2:B103)-1,DATE(YEAR(Invoer!$A$5),12,31)-DATE(YEAR(Invoer!$A$5),1,1)+1),"jjjjmmdd")</f>
        <v>19430412</v>
      </c>
      <c r="C103" s="18">
        <v>1</v>
      </c>
      <c r="D103" s="23">
        <f t="shared" ca="1" si="2"/>
        <v>225</v>
      </c>
      <c r="E103" s="24">
        <f t="shared" ca="1" si="3"/>
        <v>0</v>
      </c>
    </row>
    <row r="104" spans="1:5" x14ac:dyDescent="0.25">
      <c r="A104" s="17">
        <f ca="1">INDEX(Stations,INT((ROWS(A$2:A104)-1)/(DATE(YEAR(Invoer!$A$5),12,31)-DATE(YEAR(Invoer!$A$5),1,1)+1))+2,1)</f>
        <v>81</v>
      </c>
      <c r="B104" t="str">
        <f ca="1">TEXT(DATE(YEAR(Invoer!$A$5),1,1)+MOD(ROWS(B$2:B104)-1,DATE(YEAR(Invoer!$A$5),12,31)-DATE(YEAR(Invoer!$A$5),1,1)+1),"jjjjmmdd")</f>
        <v>19430413</v>
      </c>
      <c r="C104" s="18">
        <v>1</v>
      </c>
      <c r="D104" s="23">
        <f t="shared" ca="1" si="2"/>
        <v>0</v>
      </c>
      <c r="E104" s="24">
        <f t="shared" ca="1" si="3"/>
        <v>0</v>
      </c>
    </row>
    <row r="105" spans="1:5" x14ac:dyDescent="0.25">
      <c r="A105" s="17">
        <f ca="1">INDEX(Stations,INT((ROWS(A$2:A105)-1)/(DATE(YEAR(Invoer!$A$5),12,31)-DATE(YEAR(Invoer!$A$5),1,1)+1))+2,1)</f>
        <v>81</v>
      </c>
      <c r="B105" t="str">
        <f ca="1">TEXT(DATE(YEAR(Invoer!$A$5),1,1)+MOD(ROWS(B$2:B105)-1,DATE(YEAR(Invoer!$A$5),12,31)-DATE(YEAR(Invoer!$A$5),1,1)+1),"jjjjmmdd")</f>
        <v>19430414</v>
      </c>
      <c r="C105" s="18">
        <v>1</v>
      </c>
      <c r="D105" s="23">
        <f t="shared" ca="1" si="2"/>
        <v>0</v>
      </c>
      <c r="E105" s="24">
        <f t="shared" ca="1" si="3"/>
        <v>0</v>
      </c>
    </row>
    <row r="106" spans="1:5" x14ac:dyDescent="0.25">
      <c r="A106" s="17">
        <f ca="1">INDEX(Stations,INT((ROWS(A$2:A106)-1)/(DATE(YEAR(Invoer!$A$5),12,31)-DATE(YEAR(Invoer!$A$5),1,1)+1))+2,1)</f>
        <v>81</v>
      </c>
      <c r="B106" t="str">
        <f ca="1">TEXT(DATE(YEAR(Invoer!$A$5),1,1)+MOD(ROWS(B$2:B106)-1,DATE(YEAR(Invoer!$A$5),12,31)-DATE(YEAR(Invoer!$A$5),1,1)+1),"jjjjmmdd")</f>
        <v>19430415</v>
      </c>
      <c r="C106" s="18">
        <v>1</v>
      </c>
      <c r="D106" s="23">
        <f t="shared" ca="1" si="2"/>
        <v>0</v>
      </c>
      <c r="E106" s="24">
        <f t="shared" ca="1" si="3"/>
        <v>0</v>
      </c>
    </row>
    <row r="107" spans="1:5" x14ac:dyDescent="0.25">
      <c r="A107" s="17">
        <f ca="1">INDEX(Stations,INT((ROWS(A$2:A107)-1)/(DATE(YEAR(Invoer!$A$5),12,31)-DATE(YEAR(Invoer!$A$5),1,1)+1))+2,1)</f>
        <v>81</v>
      </c>
      <c r="B107" t="str">
        <f ca="1">TEXT(DATE(YEAR(Invoer!$A$5),1,1)+MOD(ROWS(B$2:B107)-1,DATE(YEAR(Invoer!$A$5),12,31)-DATE(YEAR(Invoer!$A$5),1,1)+1),"jjjjmmdd")</f>
        <v>19430416</v>
      </c>
      <c r="C107" s="18">
        <v>1</v>
      </c>
      <c r="D107" s="23">
        <f t="shared" ca="1" si="2"/>
        <v>0</v>
      </c>
      <c r="E107" s="24">
        <f t="shared" ca="1" si="3"/>
        <v>0</v>
      </c>
    </row>
    <row r="108" spans="1:5" x14ac:dyDescent="0.25">
      <c r="A108" s="17">
        <f ca="1">INDEX(Stations,INT((ROWS(A$2:A108)-1)/(DATE(YEAR(Invoer!$A$5),12,31)-DATE(YEAR(Invoer!$A$5),1,1)+1))+2,1)</f>
        <v>81</v>
      </c>
      <c r="B108" t="str">
        <f ca="1">TEXT(DATE(YEAR(Invoer!$A$5),1,1)+MOD(ROWS(B$2:B108)-1,DATE(YEAR(Invoer!$A$5),12,31)-DATE(YEAR(Invoer!$A$5),1,1)+1),"jjjjmmdd")</f>
        <v>19430417</v>
      </c>
      <c r="C108" s="18">
        <v>1</v>
      </c>
      <c r="D108" s="23">
        <f t="shared" ca="1" si="2"/>
        <v>0</v>
      </c>
      <c r="E108" s="24">
        <f t="shared" ca="1" si="3"/>
        <v>0</v>
      </c>
    </row>
    <row r="109" spans="1:5" x14ac:dyDescent="0.25">
      <c r="A109" s="17">
        <f ca="1">INDEX(Stations,INT((ROWS(A$2:A109)-1)/(DATE(YEAR(Invoer!$A$5),12,31)-DATE(YEAR(Invoer!$A$5),1,1)+1))+2,1)</f>
        <v>81</v>
      </c>
      <c r="B109" t="str">
        <f ca="1">TEXT(DATE(YEAR(Invoer!$A$5),1,1)+MOD(ROWS(B$2:B109)-1,DATE(YEAR(Invoer!$A$5),12,31)-DATE(YEAR(Invoer!$A$5),1,1)+1),"jjjjmmdd")</f>
        <v>19430418</v>
      </c>
      <c r="C109" s="18">
        <v>1</v>
      </c>
      <c r="D109" s="23">
        <f t="shared" ca="1" si="2"/>
        <v>0</v>
      </c>
      <c r="E109" s="24">
        <f t="shared" ca="1" si="3"/>
        <v>0</v>
      </c>
    </row>
    <row r="110" spans="1:5" x14ac:dyDescent="0.25">
      <c r="A110" s="17">
        <f ca="1">INDEX(Stations,INT((ROWS(A$2:A110)-1)/(DATE(YEAR(Invoer!$A$5),12,31)-DATE(YEAR(Invoer!$A$5),1,1)+1))+2,1)</f>
        <v>81</v>
      </c>
      <c r="B110" t="str">
        <f ca="1">TEXT(DATE(YEAR(Invoer!$A$5),1,1)+MOD(ROWS(B$2:B110)-1,DATE(YEAR(Invoer!$A$5),12,31)-DATE(YEAR(Invoer!$A$5),1,1)+1),"jjjjmmdd")</f>
        <v>19430419</v>
      </c>
      <c r="C110" s="18">
        <v>1</v>
      </c>
      <c r="D110" s="23">
        <f t="shared" ca="1" si="2"/>
        <v>160</v>
      </c>
      <c r="E110" s="24">
        <f t="shared" ca="1" si="3"/>
        <v>0</v>
      </c>
    </row>
    <row r="111" spans="1:5" x14ac:dyDescent="0.25">
      <c r="A111" s="17">
        <f ca="1">INDEX(Stations,INT((ROWS(A$2:A111)-1)/(DATE(YEAR(Invoer!$A$5),12,31)-DATE(YEAR(Invoer!$A$5),1,1)+1))+2,1)</f>
        <v>81</v>
      </c>
      <c r="B111" t="str">
        <f ca="1">TEXT(DATE(YEAR(Invoer!$A$5),1,1)+MOD(ROWS(B$2:B111)-1,DATE(YEAR(Invoer!$A$5),12,31)-DATE(YEAR(Invoer!$A$5),1,1)+1),"jjjjmmdd")</f>
        <v>19430420</v>
      </c>
      <c r="C111" s="18">
        <v>1</v>
      </c>
      <c r="D111" s="23">
        <f t="shared" ca="1" si="2"/>
        <v>0</v>
      </c>
      <c r="E111" s="24">
        <f t="shared" ca="1" si="3"/>
        <v>0</v>
      </c>
    </row>
    <row r="112" spans="1:5" x14ac:dyDescent="0.25">
      <c r="A112" s="17">
        <f ca="1">INDEX(Stations,INT((ROWS(A$2:A112)-1)/(DATE(YEAR(Invoer!$A$5),12,31)-DATE(YEAR(Invoer!$A$5),1,1)+1))+2,1)</f>
        <v>81</v>
      </c>
      <c r="B112" t="str">
        <f ca="1">TEXT(DATE(YEAR(Invoer!$A$5),1,1)+MOD(ROWS(B$2:B112)-1,DATE(YEAR(Invoer!$A$5),12,31)-DATE(YEAR(Invoer!$A$5),1,1)+1),"jjjjmmdd")</f>
        <v>19430421</v>
      </c>
      <c r="C112" s="18">
        <v>1</v>
      </c>
      <c r="D112" s="23">
        <f t="shared" ca="1" si="2"/>
        <v>0</v>
      </c>
      <c r="E112" s="24">
        <f t="shared" ca="1" si="3"/>
        <v>0</v>
      </c>
    </row>
    <row r="113" spans="1:5" x14ac:dyDescent="0.25">
      <c r="A113" s="17">
        <f ca="1">INDEX(Stations,INT((ROWS(A$2:A113)-1)/(DATE(YEAR(Invoer!$A$5),12,31)-DATE(YEAR(Invoer!$A$5),1,1)+1))+2,1)</f>
        <v>81</v>
      </c>
      <c r="B113" t="str">
        <f ca="1">TEXT(DATE(YEAR(Invoer!$A$5),1,1)+MOD(ROWS(B$2:B113)-1,DATE(YEAR(Invoer!$A$5),12,31)-DATE(YEAR(Invoer!$A$5),1,1)+1),"jjjjmmdd")</f>
        <v>19430422</v>
      </c>
      <c r="C113" s="18">
        <v>1</v>
      </c>
      <c r="D113" s="23">
        <f t="shared" ca="1" si="2"/>
        <v>0</v>
      </c>
      <c r="E113" s="24">
        <f t="shared" ca="1" si="3"/>
        <v>0</v>
      </c>
    </row>
    <row r="114" spans="1:5" x14ac:dyDescent="0.25">
      <c r="A114" s="17">
        <f ca="1">INDEX(Stations,INT((ROWS(A$2:A114)-1)/(DATE(YEAR(Invoer!$A$5),12,31)-DATE(YEAR(Invoer!$A$5),1,1)+1))+2,1)</f>
        <v>81</v>
      </c>
      <c r="B114" t="str">
        <f ca="1">TEXT(DATE(YEAR(Invoer!$A$5),1,1)+MOD(ROWS(B$2:B114)-1,DATE(YEAR(Invoer!$A$5),12,31)-DATE(YEAR(Invoer!$A$5),1,1)+1),"jjjjmmdd")</f>
        <v>19430423</v>
      </c>
      <c r="C114" s="18">
        <v>1</v>
      </c>
      <c r="D114" s="23">
        <f t="shared" ca="1" si="2"/>
        <v>0</v>
      </c>
      <c r="E114" s="24">
        <f t="shared" ca="1" si="3"/>
        <v>0</v>
      </c>
    </row>
    <row r="115" spans="1:5" x14ac:dyDescent="0.25">
      <c r="A115" s="17">
        <f ca="1">INDEX(Stations,INT((ROWS(A$2:A115)-1)/(DATE(YEAR(Invoer!$A$5),12,31)-DATE(YEAR(Invoer!$A$5),1,1)+1))+2,1)</f>
        <v>81</v>
      </c>
      <c r="B115" t="str">
        <f ca="1">TEXT(DATE(YEAR(Invoer!$A$5),1,1)+MOD(ROWS(B$2:B115)-1,DATE(YEAR(Invoer!$A$5),12,31)-DATE(YEAR(Invoer!$A$5),1,1)+1),"jjjjmmdd")</f>
        <v>19430424</v>
      </c>
      <c r="C115" s="18">
        <v>1</v>
      </c>
      <c r="D115" s="23">
        <f t="shared" ca="1" si="2"/>
        <v>0</v>
      </c>
      <c r="E115" s="24">
        <f t="shared" ca="1" si="3"/>
        <v>0</v>
      </c>
    </row>
    <row r="116" spans="1:5" x14ac:dyDescent="0.25">
      <c r="A116" s="17">
        <f ca="1">INDEX(Stations,INT((ROWS(A$2:A116)-1)/(DATE(YEAR(Invoer!$A$5),12,31)-DATE(YEAR(Invoer!$A$5),1,1)+1))+2,1)</f>
        <v>81</v>
      </c>
      <c r="B116" t="str">
        <f ca="1">TEXT(DATE(YEAR(Invoer!$A$5),1,1)+MOD(ROWS(B$2:B116)-1,DATE(YEAR(Invoer!$A$5),12,31)-DATE(YEAR(Invoer!$A$5),1,1)+1),"jjjjmmdd")</f>
        <v>19430425</v>
      </c>
      <c r="C116" s="18">
        <v>1</v>
      </c>
      <c r="D116" s="23">
        <f t="shared" ca="1" si="2"/>
        <v>0</v>
      </c>
      <c r="E116" s="24">
        <f t="shared" ca="1" si="3"/>
        <v>0</v>
      </c>
    </row>
    <row r="117" spans="1:5" x14ac:dyDescent="0.25">
      <c r="A117" s="17">
        <f ca="1">INDEX(Stations,INT((ROWS(A$2:A117)-1)/(DATE(YEAR(Invoer!$A$5),12,31)-DATE(YEAR(Invoer!$A$5),1,1)+1))+2,1)</f>
        <v>81</v>
      </c>
      <c r="B117" t="str">
        <f ca="1">TEXT(DATE(YEAR(Invoer!$A$5),1,1)+MOD(ROWS(B$2:B117)-1,DATE(YEAR(Invoer!$A$5),12,31)-DATE(YEAR(Invoer!$A$5),1,1)+1),"jjjjmmdd")</f>
        <v>19430426</v>
      </c>
      <c r="C117" s="18">
        <v>1</v>
      </c>
      <c r="D117" s="23">
        <f t="shared" ca="1" si="2"/>
        <v>0</v>
      </c>
      <c r="E117" s="24">
        <f t="shared" ca="1" si="3"/>
        <v>0</v>
      </c>
    </row>
    <row r="118" spans="1:5" x14ac:dyDescent="0.25">
      <c r="A118" s="17">
        <f ca="1">INDEX(Stations,INT((ROWS(A$2:A118)-1)/(DATE(YEAR(Invoer!$A$5),12,31)-DATE(YEAR(Invoer!$A$5),1,1)+1))+2,1)</f>
        <v>81</v>
      </c>
      <c r="B118" t="str">
        <f ca="1">TEXT(DATE(YEAR(Invoer!$A$5),1,1)+MOD(ROWS(B$2:B118)-1,DATE(YEAR(Invoer!$A$5),12,31)-DATE(YEAR(Invoer!$A$5),1,1)+1),"jjjjmmdd")</f>
        <v>19430427</v>
      </c>
      <c r="C118" s="18">
        <v>1</v>
      </c>
      <c r="D118" s="23">
        <f t="shared" ca="1" si="2"/>
        <v>0</v>
      </c>
      <c r="E118" s="24">
        <f t="shared" ca="1" si="3"/>
        <v>0</v>
      </c>
    </row>
    <row r="119" spans="1:5" x14ac:dyDescent="0.25">
      <c r="A119" s="17">
        <f ca="1">INDEX(Stations,INT((ROWS(A$2:A119)-1)/(DATE(YEAR(Invoer!$A$5),12,31)-DATE(YEAR(Invoer!$A$5),1,1)+1))+2,1)</f>
        <v>81</v>
      </c>
      <c r="B119" t="str">
        <f ca="1">TEXT(DATE(YEAR(Invoer!$A$5),1,1)+MOD(ROWS(B$2:B119)-1,DATE(YEAR(Invoer!$A$5),12,31)-DATE(YEAR(Invoer!$A$5),1,1)+1),"jjjjmmdd")</f>
        <v>19430428</v>
      </c>
      <c r="C119" s="18">
        <v>1</v>
      </c>
      <c r="D119" s="23">
        <f t="shared" ca="1" si="2"/>
        <v>0</v>
      </c>
      <c r="E119" s="24">
        <f t="shared" ca="1" si="3"/>
        <v>0</v>
      </c>
    </row>
    <row r="120" spans="1:5" x14ac:dyDescent="0.25">
      <c r="A120" s="17">
        <f ca="1">INDEX(Stations,INT((ROWS(A$2:A120)-1)/(DATE(YEAR(Invoer!$A$5),12,31)-DATE(YEAR(Invoer!$A$5),1,1)+1))+2,1)</f>
        <v>81</v>
      </c>
      <c r="B120" t="str">
        <f ca="1">TEXT(DATE(YEAR(Invoer!$A$5),1,1)+MOD(ROWS(B$2:B120)-1,DATE(YEAR(Invoer!$A$5),12,31)-DATE(YEAR(Invoer!$A$5),1,1)+1),"jjjjmmdd")</f>
        <v>19430429</v>
      </c>
      <c r="C120" s="18">
        <v>1</v>
      </c>
      <c r="D120" s="23">
        <f t="shared" ca="1" si="2"/>
        <v>0</v>
      </c>
      <c r="E120" s="24">
        <f t="shared" ca="1" si="3"/>
        <v>0</v>
      </c>
    </row>
    <row r="121" spans="1:5" x14ac:dyDescent="0.25">
      <c r="A121" s="17">
        <f ca="1">INDEX(Stations,INT((ROWS(A$2:A121)-1)/(DATE(YEAR(Invoer!$A$5),12,31)-DATE(YEAR(Invoer!$A$5),1,1)+1))+2,1)</f>
        <v>81</v>
      </c>
      <c r="B121" t="str">
        <f ca="1">TEXT(DATE(YEAR(Invoer!$A$5),1,1)+MOD(ROWS(B$2:B121)-1,DATE(YEAR(Invoer!$A$5),12,31)-DATE(YEAR(Invoer!$A$5),1,1)+1),"jjjjmmdd")</f>
        <v>19430430</v>
      </c>
      <c r="C121" s="18">
        <v>1</v>
      </c>
      <c r="D121" s="23">
        <f t="shared" ca="1" si="2"/>
        <v>0</v>
      </c>
      <c r="E121" s="24">
        <f t="shared" ca="1" si="3"/>
        <v>0</v>
      </c>
    </row>
    <row r="122" spans="1:5" x14ac:dyDescent="0.25">
      <c r="A122" s="17">
        <f ca="1">INDEX(Stations,INT((ROWS(A$2:A122)-1)/(DATE(YEAR(Invoer!$A$5),12,31)-DATE(YEAR(Invoer!$A$5),1,1)+1))+2,1)</f>
        <v>81</v>
      </c>
      <c r="B122" t="str">
        <f ca="1">TEXT(DATE(YEAR(Invoer!$A$5),1,1)+MOD(ROWS(B$2:B122)-1,DATE(YEAR(Invoer!$A$5),12,31)-DATE(YEAR(Invoer!$A$5),1,1)+1),"jjjjmmdd")</f>
        <v>19430501</v>
      </c>
      <c r="C122" s="18">
        <v>1</v>
      </c>
      <c r="D122" s="23" t="str">
        <f t="shared" ca="1" si="2"/>
        <v>—</v>
      </c>
      <c r="E122" s="24">
        <f t="shared" ca="1" si="3"/>
        <v>7</v>
      </c>
    </row>
    <row r="123" spans="1:5" x14ac:dyDescent="0.25">
      <c r="A123" s="17">
        <f ca="1">INDEX(Stations,INT((ROWS(A$2:A123)-1)/(DATE(YEAR(Invoer!$A$5),12,31)-DATE(YEAR(Invoer!$A$5),1,1)+1))+2,1)</f>
        <v>81</v>
      </c>
      <c r="B123" t="str">
        <f ca="1">TEXT(DATE(YEAR(Invoer!$A$5),1,1)+MOD(ROWS(B$2:B123)-1,DATE(YEAR(Invoer!$A$5),12,31)-DATE(YEAR(Invoer!$A$5),1,1)+1),"jjjjmmdd")</f>
        <v>19430502</v>
      </c>
      <c r="C123" s="18">
        <v>1</v>
      </c>
      <c r="D123" s="23" t="str">
        <f t="shared" ca="1" si="2"/>
        <v>—</v>
      </c>
      <c r="E123" s="24">
        <f t="shared" ca="1" si="3"/>
        <v>7</v>
      </c>
    </row>
    <row r="124" spans="1:5" x14ac:dyDescent="0.25">
      <c r="A124" s="17">
        <f ca="1">INDEX(Stations,INT((ROWS(A$2:A124)-1)/(DATE(YEAR(Invoer!$A$5),12,31)-DATE(YEAR(Invoer!$A$5),1,1)+1))+2,1)</f>
        <v>81</v>
      </c>
      <c r="B124" t="str">
        <f ca="1">TEXT(DATE(YEAR(Invoer!$A$5),1,1)+MOD(ROWS(B$2:B124)-1,DATE(YEAR(Invoer!$A$5),12,31)-DATE(YEAR(Invoer!$A$5),1,1)+1),"jjjjmmdd")</f>
        <v>19430503</v>
      </c>
      <c r="C124" s="18">
        <v>1</v>
      </c>
      <c r="D124" s="23" t="str">
        <f t="shared" ca="1" si="2"/>
        <v>—</v>
      </c>
      <c r="E124" s="24">
        <f t="shared" ca="1" si="3"/>
        <v>7</v>
      </c>
    </row>
    <row r="125" spans="1:5" x14ac:dyDescent="0.25">
      <c r="A125" s="17">
        <f ca="1">INDEX(Stations,INT((ROWS(A$2:A125)-1)/(DATE(YEAR(Invoer!$A$5),12,31)-DATE(YEAR(Invoer!$A$5),1,1)+1))+2,1)</f>
        <v>81</v>
      </c>
      <c r="B125" t="str">
        <f ca="1">TEXT(DATE(YEAR(Invoer!$A$5),1,1)+MOD(ROWS(B$2:B125)-1,DATE(YEAR(Invoer!$A$5),12,31)-DATE(YEAR(Invoer!$A$5),1,1)+1),"jjjjmmdd")</f>
        <v>19430504</v>
      </c>
      <c r="C125" s="18">
        <v>1</v>
      </c>
      <c r="D125" s="23" t="str">
        <f t="shared" ca="1" si="2"/>
        <v>—</v>
      </c>
      <c r="E125" s="24">
        <f t="shared" ca="1" si="3"/>
        <v>7</v>
      </c>
    </row>
    <row r="126" spans="1:5" x14ac:dyDescent="0.25">
      <c r="A126" s="17">
        <f ca="1">INDEX(Stations,INT((ROWS(A$2:A126)-1)/(DATE(YEAR(Invoer!$A$5),12,31)-DATE(YEAR(Invoer!$A$5),1,1)+1))+2,1)</f>
        <v>81</v>
      </c>
      <c r="B126" t="str">
        <f ca="1">TEXT(DATE(YEAR(Invoer!$A$5),1,1)+MOD(ROWS(B$2:B126)-1,DATE(YEAR(Invoer!$A$5),12,31)-DATE(YEAR(Invoer!$A$5),1,1)+1),"jjjjmmdd")</f>
        <v>19430505</v>
      </c>
      <c r="C126" s="18">
        <v>1</v>
      </c>
      <c r="D126" s="23" t="str">
        <f t="shared" ca="1" si="2"/>
        <v>—</v>
      </c>
      <c r="E126" s="24">
        <f t="shared" ca="1" si="3"/>
        <v>7</v>
      </c>
    </row>
    <row r="127" spans="1:5" x14ac:dyDescent="0.25">
      <c r="A127" s="17">
        <f ca="1">INDEX(Stations,INT((ROWS(A$2:A127)-1)/(DATE(YEAR(Invoer!$A$5),12,31)-DATE(YEAR(Invoer!$A$5),1,1)+1))+2,1)</f>
        <v>81</v>
      </c>
      <c r="B127" t="str">
        <f ca="1">TEXT(DATE(YEAR(Invoer!$A$5),1,1)+MOD(ROWS(B$2:B127)-1,DATE(YEAR(Invoer!$A$5),12,31)-DATE(YEAR(Invoer!$A$5),1,1)+1),"jjjjmmdd")</f>
        <v>19430506</v>
      </c>
      <c r="C127" s="18">
        <v>1</v>
      </c>
      <c r="D127" s="23" t="str">
        <f t="shared" ca="1" si="2"/>
        <v>—</v>
      </c>
      <c r="E127" s="24">
        <f t="shared" ca="1" si="3"/>
        <v>7</v>
      </c>
    </row>
    <row r="128" spans="1:5" x14ac:dyDescent="0.25">
      <c r="A128" s="17">
        <f ca="1">INDEX(Stations,INT((ROWS(A$2:A128)-1)/(DATE(YEAR(Invoer!$A$5),12,31)-DATE(YEAR(Invoer!$A$5),1,1)+1))+2,1)</f>
        <v>81</v>
      </c>
      <c r="B128" t="str">
        <f ca="1">TEXT(DATE(YEAR(Invoer!$A$5),1,1)+MOD(ROWS(B$2:B128)-1,DATE(YEAR(Invoer!$A$5),12,31)-DATE(YEAR(Invoer!$A$5),1,1)+1),"jjjjmmdd")</f>
        <v>19430507</v>
      </c>
      <c r="C128" s="18">
        <v>1</v>
      </c>
      <c r="D128" s="23" t="str">
        <f t="shared" ca="1" si="2"/>
        <v>—</v>
      </c>
      <c r="E128" s="24">
        <f t="shared" ca="1" si="3"/>
        <v>7</v>
      </c>
    </row>
    <row r="129" spans="1:5" x14ac:dyDescent="0.25">
      <c r="A129" s="17">
        <f ca="1">INDEX(Stations,INT((ROWS(A$2:A129)-1)/(DATE(YEAR(Invoer!$A$5),12,31)-DATE(YEAR(Invoer!$A$5),1,1)+1))+2,1)</f>
        <v>81</v>
      </c>
      <c r="B129" t="str">
        <f ca="1">TEXT(DATE(YEAR(Invoer!$A$5),1,1)+MOD(ROWS(B$2:B129)-1,DATE(YEAR(Invoer!$A$5),12,31)-DATE(YEAR(Invoer!$A$5),1,1)+1),"jjjjmmdd")</f>
        <v>19430508</v>
      </c>
      <c r="C129" s="18">
        <v>1</v>
      </c>
      <c r="D129" s="23" t="str">
        <f t="shared" ca="1" si="2"/>
        <v>—</v>
      </c>
      <c r="E129" s="24">
        <f t="shared" ca="1" si="3"/>
        <v>7</v>
      </c>
    </row>
    <row r="130" spans="1:5" x14ac:dyDescent="0.25">
      <c r="A130" s="17">
        <f ca="1">INDEX(Stations,INT((ROWS(A$2:A130)-1)/(DATE(YEAR(Invoer!$A$5),12,31)-DATE(YEAR(Invoer!$A$5),1,1)+1))+2,1)</f>
        <v>81</v>
      </c>
      <c r="B130" t="str">
        <f ca="1">TEXT(DATE(YEAR(Invoer!$A$5),1,1)+MOD(ROWS(B$2:B130)-1,DATE(YEAR(Invoer!$A$5),12,31)-DATE(YEAR(Invoer!$A$5),1,1)+1),"jjjjmmdd")</f>
        <v>19430509</v>
      </c>
      <c r="C130" s="18">
        <v>1</v>
      </c>
      <c r="D130" s="23" t="str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—</v>
      </c>
      <c r="E130" s="24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7</v>
      </c>
    </row>
    <row r="131" spans="1:5" x14ac:dyDescent="0.25">
      <c r="A131" s="17">
        <f ca="1">INDEX(Stations,INT((ROWS(A$2:A131)-1)/(DATE(YEAR(Invoer!$A$5),12,31)-DATE(YEAR(Invoer!$A$5),1,1)+1))+2,1)</f>
        <v>81</v>
      </c>
      <c r="B131" t="str">
        <f ca="1">TEXT(DATE(YEAR(Invoer!$A$5),1,1)+MOD(ROWS(B$2:B131)-1,DATE(YEAR(Invoer!$A$5),12,31)-DATE(YEAR(Invoer!$A$5),1,1)+1),"jjjjmmdd")</f>
        <v>19430510</v>
      </c>
      <c r="C131" s="18">
        <v>1</v>
      </c>
      <c r="D131" s="23" t="str">
        <f t="shared" ca="1" si="4"/>
        <v>—</v>
      </c>
      <c r="E131" s="24">
        <f t="shared" ca="1" si="5"/>
        <v>7</v>
      </c>
    </row>
    <row r="132" spans="1:5" x14ac:dyDescent="0.25">
      <c r="A132" s="17">
        <f ca="1">INDEX(Stations,INT((ROWS(A$2:A132)-1)/(DATE(YEAR(Invoer!$A$5),12,31)-DATE(YEAR(Invoer!$A$5),1,1)+1))+2,1)</f>
        <v>81</v>
      </c>
      <c r="B132" t="str">
        <f ca="1">TEXT(DATE(YEAR(Invoer!$A$5),1,1)+MOD(ROWS(B$2:B132)-1,DATE(YEAR(Invoer!$A$5),12,31)-DATE(YEAR(Invoer!$A$5),1,1)+1),"jjjjmmdd")</f>
        <v>19430511</v>
      </c>
      <c r="C132" s="18">
        <v>1</v>
      </c>
      <c r="D132" s="23" t="str">
        <f t="shared" ca="1" si="4"/>
        <v>—</v>
      </c>
      <c r="E132" s="24">
        <f t="shared" ca="1" si="5"/>
        <v>7</v>
      </c>
    </row>
    <row r="133" spans="1:5" x14ac:dyDescent="0.25">
      <c r="A133" s="17">
        <f ca="1">INDEX(Stations,INT((ROWS(A$2:A133)-1)/(DATE(YEAR(Invoer!$A$5),12,31)-DATE(YEAR(Invoer!$A$5),1,1)+1))+2,1)</f>
        <v>81</v>
      </c>
      <c r="B133" t="str">
        <f ca="1">TEXT(DATE(YEAR(Invoer!$A$5),1,1)+MOD(ROWS(B$2:B133)-1,DATE(YEAR(Invoer!$A$5),12,31)-DATE(YEAR(Invoer!$A$5),1,1)+1),"jjjjmmdd")</f>
        <v>19430512</v>
      </c>
      <c r="C133" s="18">
        <v>1</v>
      </c>
      <c r="D133" s="23" t="str">
        <f t="shared" ca="1" si="4"/>
        <v>—</v>
      </c>
      <c r="E133" s="24">
        <f t="shared" ca="1" si="5"/>
        <v>7</v>
      </c>
    </row>
    <row r="134" spans="1:5" x14ac:dyDescent="0.25">
      <c r="A134" s="17">
        <f ca="1">INDEX(Stations,INT((ROWS(A$2:A134)-1)/(DATE(YEAR(Invoer!$A$5),12,31)-DATE(YEAR(Invoer!$A$5),1,1)+1))+2,1)</f>
        <v>81</v>
      </c>
      <c r="B134" t="str">
        <f ca="1">TEXT(DATE(YEAR(Invoer!$A$5),1,1)+MOD(ROWS(B$2:B134)-1,DATE(YEAR(Invoer!$A$5),12,31)-DATE(YEAR(Invoer!$A$5),1,1)+1),"jjjjmmdd")</f>
        <v>19430513</v>
      </c>
      <c r="C134" s="18">
        <v>1</v>
      </c>
      <c r="D134" s="23" t="str">
        <f t="shared" ca="1" si="4"/>
        <v>—</v>
      </c>
      <c r="E134" s="24">
        <f t="shared" ca="1" si="5"/>
        <v>7</v>
      </c>
    </row>
    <row r="135" spans="1:5" x14ac:dyDescent="0.25">
      <c r="A135" s="17">
        <f ca="1">INDEX(Stations,INT((ROWS(A$2:A135)-1)/(DATE(YEAR(Invoer!$A$5),12,31)-DATE(YEAR(Invoer!$A$5),1,1)+1))+2,1)</f>
        <v>81</v>
      </c>
      <c r="B135" t="str">
        <f ca="1">TEXT(DATE(YEAR(Invoer!$A$5),1,1)+MOD(ROWS(B$2:B135)-1,DATE(YEAR(Invoer!$A$5),12,31)-DATE(YEAR(Invoer!$A$5),1,1)+1),"jjjjmmdd")</f>
        <v>19430514</v>
      </c>
      <c r="C135" s="18">
        <v>1</v>
      </c>
      <c r="D135" s="23" t="str">
        <f t="shared" ca="1" si="4"/>
        <v>—</v>
      </c>
      <c r="E135" s="24">
        <f t="shared" ca="1" si="5"/>
        <v>7</v>
      </c>
    </row>
    <row r="136" spans="1:5" x14ac:dyDescent="0.25">
      <c r="A136" s="17">
        <f ca="1">INDEX(Stations,INT((ROWS(A$2:A136)-1)/(DATE(YEAR(Invoer!$A$5),12,31)-DATE(YEAR(Invoer!$A$5),1,1)+1))+2,1)</f>
        <v>81</v>
      </c>
      <c r="B136" t="str">
        <f ca="1">TEXT(DATE(YEAR(Invoer!$A$5),1,1)+MOD(ROWS(B$2:B136)-1,DATE(YEAR(Invoer!$A$5),12,31)-DATE(YEAR(Invoer!$A$5),1,1)+1),"jjjjmmdd")</f>
        <v>19430515</v>
      </c>
      <c r="C136" s="18">
        <v>1</v>
      </c>
      <c r="D136" s="23" t="str">
        <f t="shared" ca="1" si="4"/>
        <v>—</v>
      </c>
      <c r="E136" s="24">
        <f t="shared" ca="1" si="5"/>
        <v>7</v>
      </c>
    </row>
    <row r="137" spans="1:5" x14ac:dyDescent="0.25">
      <c r="A137" s="17">
        <f ca="1">INDEX(Stations,INT((ROWS(A$2:A137)-1)/(DATE(YEAR(Invoer!$A$5),12,31)-DATE(YEAR(Invoer!$A$5),1,1)+1))+2,1)</f>
        <v>81</v>
      </c>
      <c r="B137" t="str">
        <f ca="1">TEXT(DATE(YEAR(Invoer!$A$5),1,1)+MOD(ROWS(B$2:B137)-1,DATE(YEAR(Invoer!$A$5),12,31)-DATE(YEAR(Invoer!$A$5),1,1)+1),"jjjjmmdd")</f>
        <v>19430516</v>
      </c>
      <c r="C137" s="18">
        <v>1</v>
      </c>
      <c r="D137" s="23" t="str">
        <f t="shared" ca="1" si="4"/>
        <v>—</v>
      </c>
      <c r="E137" s="24">
        <f t="shared" ca="1" si="5"/>
        <v>7</v>
      </c>
    </row>
    <row r="138" spans="1:5" x14ac:dyDescent="0.25">
      <c r="A138" s="17">
        <f ca="1">INDEX(Stations,INT((ROWS(A$2:A138)-1)/(DATE(YEAR(Invoer!$A$5),12,31)-DATE(YEAR(Invoer!$A$5),1,1)+1))+2,1)</f>
        <v>81</v>
      </c>
      <c r="B138" t="str">
        <f ca="1">TEXT(DATE(YEAR(Invoer!$A$5),1,1)+MOD(ROWS(B$2:B138)-1,DATE(YEAR(Invoer!$A$5),12,31)-DATE(YEAR(Invoer!$A$5),1,1)+1),"jjjjmmdd")</f>
        <v>19430517</v>
      </c>
      <c r="C138" s="18">
        <v>1</v>
      </c>
      <c r="D138" s="23" t="str">
        <f t="shared" ca="1" si="4"/>
        <v>—</v>
      </c>
      <c r="E138" s="24">
        <f t="shared" ca="1" si="5"/>
        <v>7</v>
      </c>
    </row>
    <row r="139" spans="1:5" x14ac:dyDescent="0.25">
      <c r="A139" s="17">
        <f ca="1">INDEX(Stations,INT((ROWS(A$2:A139)-1)/(DATE(YEAR(Invoer!$A$5),12,31)-DATE(YEAR(Invoer!$A$5),1,1)+1))+2,1)</f>
        <v>81</v>
      </c>
      <c r="B139" t="str">
        <f ca="1">TEXT(DATE(YEAR(Invoer!$A$5),1,1)+MOD(ROWS(B$2:B139)-1,DATE(YEAR(Invoer!$A$5),12,31)-DATE(YEAR(Invoer!$A$5),1,1)+1),"jjjjmmdd")</f>
        <v>19430518</v>
      </c>
      <c r="C139" s="18">
        <v>1</v>
      </c>
      <c r="D139" s="23" t="str">
        <f t="shared" ca="1" si="4"/>
        <v>—</v>
      </c>
      <c r="E139" s="24">
        <f t="shared" ca="1" si="5"/>
        <v>7</v>
      </c>
    </row>
    <row r="140" spans="1:5" x14ac:dyDescent="0.25">
      <c r="A140" s="17">
        <f ca="1">INDEX(Stations,INT((ROWS(A$2:A140)-1)/(DATE(YEAR(Invoer!$A$5),12,31)-DATE(YEAR(Invoer!$A$5),1,1)+1))+2,1)</f>
        <v>81</v>
      </c>
      <c r="B140" t="str">
        <f ca="1">TEXT(DATE(YEAR(Invoer!$A$5),1,1)+MOD(ROWS(B$2:B140)-1,DATE(YEAR(Invoer!$A$5),12,31)-DATE(YEAR(Invoer!$A$5),1,1)+1),"jjjjmmdd")</f>
        <v>19430519</v>
      </c>
      <c r="C140" s="18">
        <v>1</v>
      </c>
      <c r="D140" s="23" t="str">
        <f t="shared" ca="1" si="4"/>
        <v>—</v>
      </c>
      <c r="E140" s="24">
        <f t="shared" ca="1" si="5"/>
        <v>7</v>
      </c>
    </row>
    <row r="141" spans="1:5" x14ac:dyDescent="0.25">
      <c r="A141" s="17">
        <f ca="1">INDEX(Stations,INT((ROWS(A$2:A141)-1)/(DATE(YEAR(Invoer!$A$5),12,31)-DATE(YEAR(Invoer!$A$5),1,1)+1))+2,1)</f>
        <v>81</v>
      </c>
      <c r="B141" t="str">
        <f ca="1">TEXT(DATE(YEAR(Invoer!$A$5),1,1)+MOD(ROWS(B$2:B141)-1,DATE(YEAR(Invoer!$A$5),12,31)-DATE(YEAR(Invoer!$A$5),1,1)+1),"jjjjmmdd")</f>
        <v>19430520</v>
      </c>
      <c r="C141" s="18">
        <v>1</v>
      </c>
      <c r="D141" s="23" t="str">
        <f t="shared" ca="1" si="4"/>
        <v>—</v>
      </c>
      <c r="E141" s="24">
        <f t="shared" ca="1" si="5"/>
        <v>7</v>
      </c>
    </row>
    <row r="142" spans="1:5" x14ac:dyDescent="0.25">
      <c r="A142" s="17">
        <f ca="1">INDEX(Stations,INT((ROWS(A$2:A142)-1)/(DATE(YEAR(Invoer!$A$5),12,31)-DATE(YEAR(Invoer!$A$5),1,1)+1))+2,1)</f>
        <v>81</v>
      </c>
      <c r="B142" t="str">
        <f ca="1">TEXT(DATE(YEAR(Invoer!$A$5),1,1)+MOD(ROWS(B$2:B142)-1,DATE(YEAR(Invoer!$A$5),12,31)-DATE(YEAR(Invoer!$A$5),1,1)+1),"jjjjmmdd")</f>
        <v>19430521</v>
      </c>
      <c r="C142" s="18">
        <v>1</v>
      </c>
      <c r="D142" s="23" t="str">
        <f t="shared" ca="1" si="4"/>
        <v>—</v>
      </c>
      <c r="E142" s="24">
        <f t="shared" ca="1" si="5"/>
        <v>7</v>
      </c>
    </row>
    <row r="143" spans="1:5" x14ac:dyDescent="0.25">
      <c r="A143" s="17">
        <f ca="1">INDEX(Stations,INT((ROWS(A$2:A143)-1)/(DATE(YEAR(Invoer!$A$5),12,31)-DATE(YEAR(Invoer!$A$5),1,1)+1))+2,1)</f>
        <v>81</v>
      </c>
      <c r="B143" t="str">
        <f ca="1">TEXT(DATE(YEAR(Invoer!$A$5),1,1)+MOD(ROWS(B$2:B143)-1,DATE(YEAR(Invoer!$A$5),12,31)-DATE(YEAR(Invoer!$A$5),1,1)+1),"jjjjmmdd")</f>
        <v>19430522</v>
      </c>
      <c r="C143" s="18">
        <v>1</v>
      </c>
      <c r="D143" s="23" t="str">
        <f t="shared" ca="1" si="4"/>
        <v>—</v>
      </c>
      <c r="E143" s="24">
        <f t="shared" ca="1" si="5"/>
        <v>7</v>
      </c>
    </row>
    <row r="144" spans="1:5" x14ac:dyDescent="0.25">
      <c r="A144" s="17">
        <f ca="1">INDEX(Stations,INT((ROWS(A$2:A144)-1)/(DATE(YEAR(Invoer!$A$5),12,31)-DATE(YEAR(Invoer!$A$5),1,1)+1))+2,1)</f>
        <v>81</v>
      </c>
      <c r="B144" t="str">
        <f ca="1">TEXT(DATE(YEAR(Invoer!$A$5),1,1)+MOD(ROWS(B$2:B144)-1,DATE(YEAR(Invoer!$A$5),12,31)-DATE(YEAR(Invoer!$A$5),1,1)+1),"jjjjmmdd")</f>
        <v>19430523</v>
      </c>
      <c r="C144" s="18">
        <v>1</v>
      </c>
      <c r="D144" s="23" t="str">
        <f t="shared" ca="1" si="4"/>
        <v>—</v>
      </c>
      <c r="E144" s="24">
        <f t="shared" ca="1" si="5"/>
        <v>7</v>
      </c>
    </row>
    <row r="145" spans="1:5" x14ac:dyDescent="0.25">
      <c r="A145" s="17">
        <f ca="1">INDEX(Stations,INT((ROWS(A$2:A145)-1)/(DATE(YEAR(Invoer!$A$5),12,31)-DATE(YEAR(Invoer!$A$5),1,1)+1))+2,1)</f>
        <v>81</v>
      </c>
      <c r="B145" t="str">
        <f ca="1">TEXT(DATE(YEAR(Invoer!$A$5),1,1)+MOD(ROWS(B$2:B145)-1,DATE(YEAR(Invoer!$A$5),12,31)-DATE(YEAR(Invoer!$A$5),1,1)+1),"jjjjmmdd")</f>
        <v>19430524</v>
      </c>
      <c r="C145" s="18">
        <v>1</v>
      </c>
      <c r="D145" s="23" t="str">
        <f t="shared" ca="1" si="4"/>
        <v>—</v>
      </c>
      <c r="E145" s="24">
        <f t="shared" ca="1" si="5"/>
        <v>7</v>
      </c>
    </row>
    <row r="146" spans="1:5" x14ac:dyDescent="0.25">
      <c r="A146" s="17">
        <f ca="1">INDEX(Stations,INT((ROWS(A$2:A146)-1)/(DATE(YEAR(Invoer!$A$5),12,31)-DATE(YEAR(Invoer!$A$5),1,1)+1))+2,1)</f>
        <v>81</v>
      </c>
      <c r="B146" t="str">
        <f ca="1">TEXT(DATE(YEAR(Invoer!$A$5),1,1)+MOD(ROWS(B$2:B146)-1,DATE(YEAR(Invoer!$A$5),12,31)-DATE(YEAR(Invoer!$A$5),1,1)+1),"jjjjmmdd")</f>
        <v>19430525</v>
      </c>
      <c r="C146" s="18">
        <v>1</v>
      </c>
      <c r="D146" s="23" t="str">
        <f t="shared" ca="1" si="4"/>
        <v>—</v>
      </c>
      <c r="E146" s="24">
        <f t="shared" ca="1" si="5"/>
        <v>7</v>
      </c>
    </row>
    <row r="147" spans="1:5" x14ac:dyDescent="0.25">
      <c r="A147" s="17">
        <f ca="1">INDEX(Stations,INT((ROWS(A$2:A147)-1)/(DATE(YEAR(Invoer!$A$5),12,31)-DATE(YEAR(Invoer!$A$5),1,1)+1))+2,1)</f>
        <v>81</v>
      </c>
      <c r="B147" t="str">
        <f ca="1">TEXT(DATE(YEAR(Invoer!$A$5),1,1)+MOD(ROWS(B$2:B147)-1,DATE(YEAR(Invoer!$A$5),12,31)-DATE(YEAR(Invoer!$A$5),1,1)+1),"jjjjmmdd")</f>
        <v>19430526</v>
      </c>
      <c r="C147" s="18">
        <v>1</v>
      </c>
      <c r="D147" s="23" t="str">
        <f t="shared" ca="1" si="4"/>
        <v>—</v>
      </c>
      <c r="E147" s="24">
        <f t="shared" ca="1" si="5"/>
        <v>7</v>
      </c>
    </row>
    <row r="148" spans="1:5" x14ac:dyDescent="0.25">
      <c r="A148" s="17">
        <f ca="1">INDEX(Stations,INT((ROWS(A$2:A148)-1)/(DATE(YEAR(Invoer!$A$5),12,31)-DATE(YEAR(Invoer!$A$5),1,1)+1))+2,1)</f>
        <v>81</v>
      </c>
      <c r="B148" t="str">
        <f ca="1">TEXT(DATE(YEAR(Invoer!$A$5),1,1)+MOD(ROWS(B$2:B148)-1,DATE(YEAR(Invoer!$A$5),12,31)-DATE(YEAR(Invoer!$A$5),1,1)+1),"jjjjmmdd")</f>
        <v>19430527</v>
      </c>
      <c r="C148" s="18">
        <v>1</v>
      </c>
      <c r="D148" s="23" t="str">
        <f t="shared" ca="1" si="4"/>
        <v>—</v>
      </c>
      <c r="E148" s="24">
        <f t="shared" ca="1" si="5"/>
        <v>7</v>
      </c>
    </row>
    <row r="149" spans="1:5" x14ac:dyDescent="0.25">
      <c r="A149" s="17">
        <f ca="1">INDEX(Stations,INT((ROWS(A$2:A149)-1)/(DATE(YEAR(Invoer!$A$5),12,31)-DATE(YEAR(Invoer!$A$5),1,1)+1))+2,1)</f>
        <v>81</v>
      </c>
      <c r="B149" t="str">
        <f ca="1">TEXT(DATE(YEAR(Invoer!$A$5),1,1)+MOD(ROWS(B$2:B149)-1,DATE(YEAR(Invoer!$A$5),12,31)-DATE(YEAR(Invoer!$A$5),1,1)+1),"jjjjmmdd")</f>
        <v>19430528</v>
      </c>
      <c r="C149" s="18">
        <v>1</v>
      </c>
      <c r="D149" s="23" t="str">
        <f t="shared" ca="1" si="4"/>
        <v>—</v>
      </c>
      <c r="E149" s="24">
        <f t="shared" ca="1" si="5"/>
        <v>7</v>
      </c>
    </row>
    <row r="150" spans="1:5" x14ac:dyDescent="0.25">
      <c r="A150" s="17">
        <f ca="1">INDEX(Stations,INT((ROWS(A$2:A150)-1)/(DATE(YEAR(Invoer!$A$5),12,31)-DATE(YEAR(Invoer!$A$5),1,1)+1))+2,1)</f>
        <v>81</v>
      </c>
      <c r="B150" t="str">
        <f ca="1">TEXT(DATE(YEAR(Invoer!$A$5),1,1)+MOD(ROWS(B$2:B150)-1,DATE(YEAR(Invoer!$A$5),12,31)-DATE(YEAR(Invoer!$A$5),1,1)+1),"jjjjmmdd")</f>
        <v>19430529</v>
      </c>
      <c r="C150" s="18">
        <v>1</v>
      </c>
      <c r="D150" s="23" t="str">
        <f t="shared" ca="1" si="4"/>
        <v>—</v>
      </c>
      <c r="E150" s="24">
        <f t="shared" ca="1" si="5"/>
        <v>7</v>
      </c>
    </row>
    <row r="151" spans="1:5" x14ac:dyDescent="0.25">
      <c r="A151" s="17">
        <f ca="1">INDEX(Stations,INT((ROWS(A$2:A151)-1)/(DATE(YEAR(Invoer!$A$5),12,31)-DATE(YEAR(Invoer!$A$5),1,1)+1))+2,1)</f>
        <v>81</v>
      </c>
      <c r="B151" t="str">
        <f ca="1">TEXT(DATE(YEAR(Invoer!$A$5),1,1)+MOD(ROWS(B$2:B151)-1,DATE(YEAR(Invoer!$A$5),12,31)-DATE(YEAR(Invoer!$A$5),1,1)+1),"jjjjmmdd")</f>
        <v>19430530</v>
      </c>
      <c r="C151" s="18">
        <v>1</v>
      </c>
      <c r="D151" s="23" t="str">
        <f t="shared" ca="1" si="4"/>
        <v>—</v>
      </c>
      <c r="E151" s="24">
        <f t="shared" ca="1" si="5"/>
        <v>7</v>
      </c>
    </row>
    <row r="152" spans="1:5" x14ac:dyDescent="0.25">
      <c r="A152" s="17">
        <f ca="1">INDEX(Stations,INT((ROWS(A$2:A152)-1)/(DATE(YEAR(Invoer!$A$5),12,31)-DATE(YEAR(Invoer!$A$5),1,1)+1))+2,1)</f>
        <v>81</v>
      </c>
      <c r="B152" t="str">
        <f ca="1">TEXT(DATE(YEAR(Invoer!$A$5),1,1)+MOD(ROWS(B$2:B152)-1,DATE(YEAR(Invoer!$A$5),12,31)-DATE(YEAR(Invoer!$A$5),1,1)+1),"jjjjmmdd")</f>
        <v>19430531</v>
      </c>
      <c r="C152" s="18">
        <v>1</v>
      </c>
      <c r="D152" s="23" t="str">
        <f t="shared" ca="1" si="4"/>
        <v>—</v>
      </c>
      <c r="E152" s="24">
        <f t="shared" ca="1" si="5"/>
        <v>7</v>
      </c>
    </row>
    <row r="153" spans="1:5" x14ac:dyDescent="0.25">
      <c r="A153" s="17">
        <f ca="1">INDEX(Stations,INT((ROWS(A$2:A153)-1)/(DATE(YEAR(Invoer!$A$5),12,31)-DATE(YEAR(Invoer!$A$5),1,1)+1))+2,1)</f>
        <v>81</v>
      </c>
      <c r="B153" t="str">
        <f ca="1">TEXT(DATE(YEAR(Invoer!$A$5),1,1)+MOD(ROWS(B$2:B153)-1,DATE(YEAR(Invoer!$A$5),12,31)-DATE(YEAR(Invoer!$A$5),1,1)+1),"jjjjmmdd")</f>
        <v>19430601</v>
      </c>
      <c r="C153" s="18">
        <v>1</v>
      </c>
      <c r="D153" s="23" t="str">
        <f t="shared" ca="1" si="4"/>
        <v>—</v>
      </c>
      <c r="E153" s="24">
        <f t="shared" ca="1" si="5"/>
        <v>7</v>
      </c>
    </row>
    <row r="154" spans="1:5" x14ac:dyDescent="0.25">
      <c r="A154" s="17">
        <f ca="1">INDEX(Stations,INT((ROWS(A$2:A154)-1)/(DATE(YEAR(Invoer!$A$5),12,31)-DATE(YEAR(Invoer!$A$5),1,1)+1))+2,1)</f>
        <v>81</v>
      </c>
      <c r="B154" t="str">
        <f ca="1">TEXT(DATE(YEAR(Invoer!$A$5),1,1)+MOD(ROWS(B$2:B154)-1,DATE(YEAR(Invoer!$A$5),12,31)-DATE(YEAR(Invoer!$A$5),1,1)+1),"jjjjmmdd")</f>
        <v>19430602</v>
      </c>
      <c r="C154" s="18">
        <v>1</v>
      </c>
      <c r="D154" s="23" t="str">
        <f t="shared" ca="1" si="4"/>
        <v>—</v>
      </c>
      <c r="E154" s="24">
        <f t="shared" ca="1" si="5"/>
        <v>7</v>
      </c>
    </row>
    <row r="155" spans="1:5" x14ac:dyDescent="0.25">
      <c r="A155" s="17">
        <f ca="1">INDEX(Stations,INT((ROWS(A$2:A155)-1)/(DATE(YEAR(Invoer!$A$5),12,31)-DATE(YEAR(Invoer!$A$5),1,1)+1))+2,1)</f>
        <v>81</v>
      </c>
      <c r="B155" t="str">
        <f ca="1">TEXT(DATE(YEAR(Invoer!$A$5),1,1)+MOD(ROWS(B$2:B155)-1,DATE(YEAR(Invoer!$A$5),12,31)-DATE(YEAR(Invoer!$A$5),1,1)+1),"jjjjmmdd")</f>
        <v>19430603</v>
      </c>
      <c r="C155" s="18">
        <v>1</v>
      </c>
      <c r="D155" s="23" t="str">
        <f t="shared" ca="1" si="4"/>
        <v>—</v>
      </c>
      <c r="E155" s="24">
        <f t="shared" ca="1" si="5"/>
        <v>7</v>
      </c>
    </row>
    <row r="156" spans="1:5" x14ac:dyDescent="0.25">
      <c r="A156" s="17">
        <f ca="1">INDEX(Stations,INT((ROWS(A$2:A156)-1)/(DATE(YEAR(Invoer!$A$5),12,31)-DATE(YEAR(Invoer!$A$5),1,1)+1))+2,1)</f>
        <v>81</v>
      </c>
      <c r="B156" t="str">
        <f ca="1">TEXT(DATE(YEAR(Invoer!$A$5),1,1)+MOD(ROWS(B$2:B156)-1,DATE(YEAR(Invoer!$A$5),12,31)-DATE(YEAR(Invoer!$A$5),1,1)+1),"jjjjmmdd")</f>
        <v>19430604</v>
      </c>
      <c r="C156" s="18">
        <v>1</v>
      </c>
      <c r="D156" s="23" t="str">
        <f t="shared" ca="1" si="4"/>
        <v>—</v>
      </c>
      <c r="E156" s="24">
        <f t="shared" ca="1" si="5"/>
        <v>7</v>
      </c>
    </row>
    <row r="157" spans="1:5" x14ac:dyDescent="0.25">
      <c r="A157" s="17">
        <f ca="1">INDEX(Stations,INT((ROWS(A$2:A157)-1)/(DATE(YEAR(Invoer!$A$5),12,31)-DATE(YEAR(Invoer!$A$5),1,1)+1))+2,1)</f>
        <v>81</v>
      </c>
      <c r="B157" t="str">
        <f ca="1">TEXT(DATE(YEAR(Invoer!$A$5),1,1)+MOD(ROWS(B$2:B157)-1,DATE(YEAR(Invoer!$A$5),12,31)-DATE(YEAR(Invoer!$A$5),1,1)+1),"jjjjmmdd")</f>
        <v>19430605</v>
      </c>
      <c r="C157" s="18">
        <v>1</v>
      </c>
      <c r="D157" s="23" t="str">
        <f t="shared" ca="1" si="4"/>
        <v>—</v>
      </c>
      <c r="E157" s="24">
        <f t="shared" ca="1" si="5"/>
        <v>7</v>
      </c>
    </row>
    <row r="158" spans="1:5" x14ac:dyDescent="0.25">
      <c r="A158" s="17">
        <f ca="1">INDEX(Stations,INT((ROWS(A$2:A158)-1)/(DATE(YEAR(Invoer!$A$5),12,31)-DATE(YEAR(Invoer!$A$5),1,1)+1))+2,1)</f>
        <v>81</v>
      </c>
      <c r="B158" t="str">
        <f ca="1">TEXT(DATE(YEAR(Invoer!$A$5),1,1)+MOD(ROWS(B$2:B158)-1,DATE(YEAR(Invoer!$A$5),12,31)-DATE(YEAR(Invoer!$A$5),1,1)+1),"jjjjmmdd")</f>
        <v>19430606</v>
      </c>
      <c r="C158" s="18">
        <v>1</v>
      </c>
      <c r="D158" s="23" t="str">
        <f t="shared" ca="1" si="4"/>
        <v>—</v>
      </c>
      <c r="E158" s="24">
        <f t="shared" ca="1" si="5"/>
        <v>7</v>
      </c>
    </row>
    <row r="159" spans="1:5" x14ac:dyDescent="0.25">
      <c r="A159" s="17">
        <f ca="1">INDEX(Stations,INT((ROWS(A$2:A159)-1)/(DATE(YEAR(Invoer!$A$5),12,31)-DATE(YEAR(Invoer!$A$5),1,1)+1))+2,1)</f>
        <v>81</v>
      </c>
      <c r="B159" t="str">
        <f ca="1">TEXT(DATE(YEAR(Invoer!$A$5),1,1)+MOD(ROWS(B$2:B159)-1,DATE(YEAR(Invoer!$A$5),12,31)-DATE(YEAR(Invoer!$A$5),1,1)+1),"jjjjmmdd")</f>
        <v>19430607</v>
      </c>
      <c r="C159" s="18">
        <v>1</v>
      </c>
      <c r="D159" s="23" t="str">
        <f t="shared" ca="1" si="4"/>
        <v>—</v>
      </c>
      <c r="E159" s="24">
        <f t="shared" ca="1" si="5"/>
        <v>7</v>
      </c>
    </row>
    <row r="160" spans="1:5" x14ac:dyDescent="0.25">
      <c r="A160" s="17">
        <f ca="1">INDEX(Stations,INT((ROWS(A$2:A160)-1)/(DATE(YEAR(Invoer!$A$5),12,31)-DATE(YEAR(Invoer!$A$5),1,1)+1))+2,1)</f>
        <v>81</v>
      </c>
      <c r="B160" t="str">
        <f ca="1">TEXT(DATE(YEAR(Invoer!$A$5),1,1)+MOD(ROWS(B$2:B160)-1,DATE(YEAR(Invoer!$A$5),12,31)-DATE(YEAR(Invoer!$A$5),1,1)+1),"jjjjmmdd")</f>
        <v>19430608</v>
      </c>
      <c r="C160" s="18">
        <v>1</v>
      </c>
      <c r="D160" s="23" t="str">
        <f t="shared" ca="1" si="4"/>
        <v>—</v>
      </c>
      <c r="E160" s="24">
        <f t="shared" ca="1" si="5"/>
        <v>7</v>
      </c>
    </row>
    <row r="161" spans="1:5" x14ac:dyDescent="0.25">
      <c r="A161" s="17">
        <f ca="1">INDEX(Stations,INT((ROWS(A$2:A161)-1)/(DATE(YEAR(Invoer!$A$5),12,31)-DATE(YEAR(Invoer!$A$5),1,1)+1))+2,1)</f>
        <v>81</v>
      </c>
      <c r="B161" t="str">
        <f ca="1">TEXT(DATE(YEAR(Invoer!$A$5),1,1)+MOD(ROWS(B$2:B161)-1,DATE(YEAR(Invoer!$A$5),12,31)-DATE(YEAR(Invoer!$A$5),1,1)+1),"jjjjmmdd")</f>
        <v>19430609</v>
      </c>
      <c r="C161" s="18">
        <v>1</v>
      </c>
      <c r="D161" s="23" t="str">
        <f t="shared" ca="1" si="4"/>
        <v>—</v>
      </c>
      <c r="E161" s="24">
        <f t="shared" ca="1" si="5"/>
        <v>7</v>
      </c>
    </row>
    <row r="162" spans="1:5" x14ac:dyDescent="0.25">
      <c r="A162" s="17">
        <f ca="1">INDEX(Stations,INT((ROWS(A$2:A162)-1)/(DATE(YEAR(Invoer!$A$5),12,31)-DATE(YEAR(Invoer!$A$5),1,1)+1))+2,1)</f>
        <v>81</v>
      </c>
      <c r="B162" t="str">
        <f ca="1">TEXT(DATE(YEAR(Invoer!$A$5),1,1)+MOD(ROWS(B$2:B162)-1,DATE(YEAR(Invoer!$A$5),12,31)-DATE(YEAR(Invoer!$A$5),1,1)+1),"jjjjmmdd")</f>
        <v>19430610</v>
      </c>
      <c r="C162" s="18">
        <v>1</v>
      </c>
      <c r="D162" s="23" t="str">
        <f t="shared" ca="1" si="4"/>
        <v>—</v>
      </c>
      <c r="E162" s="24">
        <f t="shared" ca="1" si="5"/>
        <v>7</v>
      </c>
    </row>
    <row r="163" spans="1:5" x14ac:dyDescent="0.25">
      <c r="A163" s="17">
        <f ca="1">INDEX(Stations,INT((ROWS(A$2:A163)-1)/(DATE(YEAR(Invoer!$A$5),12,31)-DATE(YEAR(Invoer!$A$5),1,1)+1))+2,1)</f>
        <v>81</v>
      </c>
      <c r="B163" t="str">
        <f ca="1">TEXT(DATE(YEAR(Invoer!$A$5),1,1)+MOD(ROWS(B$2:B163)-1,DATE(YEAR(Invoer!$A$5),12,31)-DATE(YEAR(Invoer!$A$5),1,1)+1),"jjjjmmdd")</f>
        <v>19430611</v>
      </c>
      <c r="C163" s="18">
        <v>1</v>
      </c>
      <c r="D163" s="23" t="str">
        <f t="shared" ca="1" si="4"/>
        <v>—</v>
      </c>
      <c r="E163" s="24">
        <f t="shared" ca="1" si="5"/>
        <v>7</v>
      </c>
    </row>
    <row r="164" spans="1:5" x14ac:dyDescent="0.25">
      <c r="A164" s="17">
        <f ca="1">INDEX(Stations,INT((ROWS(A$2:A164)-1)/(DATE(YEAR(Invoer!$A$5),12,31)-DATE(YEAR(Invoer!$A$5),1,1)+1))+2,1)</f>
        <v>81</v>
      </c>
      <c r="B164" t="str">
        <f ca="1">TEXT(DATE(YEAR(Invoer!$A$5),1,1)+MOD(ROWS(B$2:B164)-1,DATE(YEAR(Invoer!$A$5),12,31)-DATE(YEAR(Invoer!$A$5),1,1)+1),"jjjjmmdd")</f>
        <v>19430612</v>
      </c>
      <c r="C164" s="18">
        <v>1</v>
      </c>
      <c r="D164" s="23" t="str">
        <f t="shared" ca="1" si="4"/>
        <v>—</v>
      </c>
      <c r="E164" s="24">
        <f t="shared" ca="1" si="5"/>
        <v>7</v>
      </c>
    </row>
    <row r="165" spans="1:5" x14ac:dyDescent="0.25">
      <c r="A165" s="17">
        <f ca="1">INDEX(Stations,INT((ROWS(A$2:A165)-1)/(DATE(YEAR(Invoer!$A$5),12,31)-DATE(YEAR(Invoer!$A$5),1,1)+1))+2,1)</f>
        <v>81</v>
      </c>
      <c r="B165" t="str">
        <f ca="1">TEXT(DATE(YEAR(Invoer!$A$5),1,1)+MOD(ROWS(B$2:B165)-1,DATE(YEAR(Invoer!$A$5),12,31)-DATE(YEAR(Invoer!$A$5),1,1)+1),"jjjjmmdd")</f>
        <v>19430613</v>
      </c>
      <c r="C165" s="18">
        <v>1</v>
      </c>
      <c r="D165" s="23" t="str">
        <f t="shared" ca="1" si="4"/>
        <v>—</v>
      </c>
      <c r="E165" s="24">
        <f t="shared" ca="1" si="5"/>
        <v>7</v>
      </c>
    </row>
    <row r="166" spans="1:5" x14ac:dyDescent="0.25">
      <c r="A166" s="17">
        <f ca="1">INDEX(Stations,INT((ROWS(A$2:A166)-1)/(DATE(YEAR(Invoer!$A$5),12,31)-DATE(YEAR(Invoer!$A$5),1,1)+1))+2,1)</f>
        <v>81</v>
      </c>
      <c r="B166" t="str">
        <f ca="1">TEXT(DATE(YEAR(Invoer!$A$5),1,1)+MOD(ROWS(B$2:B166)-1,DATE(YEAR(Invoer!$A$5),12,31)-DATE(YEAR(Invoer!$A$5),1,1)+1),"jjjjmmdd")</f>
        <v>19430614</v>
      </c>
      <c r="C166" s="18">
        <v>1</v>
      </c>
      <c r="D166" s="23" t="str">
        <f t="shared" ca="1" si="4"/>
        <v>—</v>
      </c>
      <c r="E166" s="24">
        <f t="shared" ca="1" si="5"/>
        <v>7</v>
      </c>
    </row>
    <row r="167" spans="1:5" x14ac:dyDescent="0.25">
      <c r="A167" s="17">
        <f ca="1">INDEX(Stations,INT((ROWS(A$2:A167)-1)/(DATE(YEAR(Invoer!$A$5),12,31)-DATE(YEAR(Invoer!$A$5),1,1)+1))+2,1)</f>
        <v>81</v>
      </c>
      <c r="B167" t="str">
        <f ca="1">TEXT(DATE(YEAR(Invoer!$A$5),1,1)+MOD(ROWS(B$2:B167)-1,DATE(YEAR(Invoer!$A$5),12,31)-DATE(YEAR(Invoer!$A$5),1,1)+1),"jjjjmmdd")</f>
        <v>19430615</v>
      </c>
      <c r="C167" s="18">
        <v>1</v>
      </c>
      <c r="D167" s="23" t="str">
        <f t="shared" ca="1" si="4"/>
        <v>—</v>
      </c>
      <c r="E167" s="24">
        <f t="shared" ca="1" si="5"/>
        <v>7</v>
      </c>
    </row>
    <row r="168" spans="1:5" x14ac:dyDescent="0.25">
      <c r="A168" s="17">
        <f ca="1">INDEX(Stations,INT((ROWS(A$2:A168)-1)/(DATE(YEAR(Invoer!$A$5),12,31)-DATE(YEAR(Invoer!$A$5),1,1)+1))+2,1)</f>
        <v>81</v>
      </c>
      <c r="B168" t="str">
        <f ca="1">TEXT(DATE(YEAR(Invoer!$A$5),1,1)+MOD(ROWS(B$2:B168)-1,DATE(YEAR(Invoer!$A$5),12,31)-DATE(YEAR(Invoer!$A$5),1,1)+1),"jjjjmmdd")</f>
        <v>19430616</v>
      </c>
      <c r="C168" s="18">
        <v>1</v>
      </c>
      <c r="D168" s="23" t="str">
        <f t="shared" ca="1" si="4"/>
        <v>—</v>
      </c>
      <c r="E168" s="24">
        <f t="shared" ca="1" si="5"/>
        <v>7</v>
      </c>
    </row>
    <row r="169" spans="1:5" x14ac:dyDescent="0.25">
      <c r="A169" s="17">
        <f ca="1">INDEX(Stations,INT((ROWS(A$2:A169)-1)/(DATE(YEAR(Invoer!$A$5),12,31)-DATE(YEAR(Invoer!$A$5),1,1)+1))+2,1)</f>
        <v>81</v>
      </c>
      <c r="B169" t="str">
        <f ca="1">TEXT(DATE(YEAR(Invoer!$A$5),1,1)+MOD(ROWS(B$2:B169)-1,DATE(YEAR(Invoer!$A$5),12,31)-DATE(YEAR(Invoer!$A$5),1,1)+1),"jjjjmmdd")</f>
        <v>19430617</v>
      </c>
      <c r="C169" s="18">
        <v>1</v>
      </c>
      <c r="D169" s="23" t="str">
        <f t="shared" ca="1" si="4"/>
        <v>—</v>
      </c>
      <c r="E169" s="24">
        <f t="shared" ca="1" si="5"/>
        <v>7</v>
      </c>
    </row>
    <row r="170" spans="1:5" x14ac:dyDescent="0.25">
      <c r="A170" s="17">
        <f ca="1">INDEX(Stations,INT((ROWS(A$2:A170)-1)/(DATE(YEAR(Invoer!$A$5),12,31)-DATE(YEAR(Invoer!$A$5),1,1)+1))+2,1)</f>
        <v>81</v>
      </c>
      <c r="B170" t="str">
        <f ca="1">TEXT(DATE(YEAR(Invoer!$A$5),1,1)+MOD(ROWS(B$2:B170)-1,DATE(YEAR(Invoer!$A$5),12,31)-DATE(YEAR(Invoer!$A$5),1,1)+1),"jjjjmmdd")</f>
        <v>19430618</v>
      </c>
      <c r="C170" s="18">
        <v>1</v>
      </c>
      <c r="D170" s="23" t="str">
        <f t="shared" ca="1" si="4"/>
        <v>—</v>
      </c>
      <c r="E170" s="24">
        <f t="shared" ca="1" si="5"/>
        <v>7</v>
      </c>
    </row>
    <row r="171" spans="1:5" x14ac:dyDescent="0.25">
      <c r="A171" s="17">
        <f ca="1">INDEX(Stations,INT((ROWS(A$2:A171)-1)/(DATE(YEAR(Invoer!$A$5),12,31)-DATE(YEAR(Invoer!$A$5),1,1)+1))+2,1)</f>
        <v>81</v>
      </c>
      <c r="B171" t="str">
        <f ca="1">TEXT(DATE(YEAR(Invoer!$A$5),1,1)+MOD(ROWS(B$2:B171)-1,DATE(YEAR(Invoer!$A$5),12,31)-DATE(YEAR(Invoer!$A$5),1,1)+1),"jjjjmmdd")</f>
        <v>19430619</v>
      </c>
      <c r="C171" s="18">
        <v>1</v>
      </c>
      <c r="D171" s="23" t="str">
        <f t="shared" ca="1" si="4"/>
        <v>—</v>
      </c>
      <c r="E171" s="24">
        <f t="shared" ca="1" si="5"/>
        <v>7</v>
      </c>
    </row>
    <row r="172" spans="1:5" x14ac:dyDescent="0.25">
      <c r="A172" s="17">
        <f ca="1">INDEX(Stations,INT((ROWS(A$2:A172)-1)/(DATE(YEAR(Invoer!$A$5),12,31)-DATE(YEAR(Invoer!$A$5),1,1)+1))+2,1)</f>
        <v>81</v>
      </c>
      <c r="B172" t="str">
        <f ca="1">TEXT(DATE(YEAR(Invoer!$A$5),1,1)+MOD(ROWS(B$2:B172)-1,DATE(YEAR(Invoer!$A$5),12,31)-DATE(YEAR(Invoer!$A$5),1,1)+1),"jjjjmmdd")</f>
        <v>19430620</v>
      </c>
      <c r="C172" s="18">
        <v>1</v>
      </c>
      <c r="D172" s="23" t="str">
        <f t="shared" ca="1" si="4"/>
        <v>—</v>
      </c>
      <c r="E172" s="24">
        <f t="shared" ca="1" si="5"/>
        <v>7</v>
      </c>
    </row>
    <row r="173" spans="1:5" x14ac:dyDescent="0.25">
      <c r="A173" s="17">
        <f ca="1">INDEX(Stations,INT((ROWS(A$2:A173)-1)/(DATE(YEAR(Invoer!$A$5),12,31)-DATE(YEAR(Invoer!$A$5),1,1)+1))+2,1)</f>
        <v>81</v>
      </c>
      <c r="B173" t="str">
        <f ca="1">TEXT(DATE(YEAR(Invoer!$A$5),1,1)+MOD(ROWS(B$2:B173)-1,DATE(YEAR(Invoer!$A$5),12,31)-DATE(YEAR(Invoer!$A$5),1,1)+1),"jjjjmmdd")</f>
        <v>19430621</v>
      </c>
      <c r="C173" s="18">
        <v>1</v>
      </c>
      <c r="D173" s="23" t="str">
        <f t="shared" ca="1" si="4"/>
        <v>—</v>
      </c>
      <c r="E173" s="24">
        <f t="shared" ca="1" si="5"/>
        <v>7</v>
      </c>
    </row>
    <row r="174" spans="1:5" x14ac:dyDescent="0.25">
      <c r="A174" s="17">
        <f ca="1">INDEX(Stations,INT((ROWS(A$2:A174)-1)/(DATE(YEAR(Invoer!$A$5),12,31)-DATE(YEAR(Invoer!$A$5),1,1)+1))+2,1)</f>
        <v>81</v>
      </c>
      <c r="B174" t="str">
        <f ca="1">TEXT(DATE(YEAR(Invoer!$A$5),1,1)+MOD(ROWS(B$2:B174)-1,DATE(YEAR(Invoer!$A$5),12,31)-DATE(YEAR(Invoer!$A$5),1,1)+1),"jjjjmmdd")</f>
        <v>19430622</v>
      </c>
      <c r="C174" s="18">
        <v>1</v>
      </c>
      <c r="D174" s="23" t="str">
        <f t="shared" ca="1" si="4"/>
        <v>—</v>
      </c>
      <c r="E174" s="24">
        <f t="shared" ca="1" si="5"/>
        <v>7</v>
      </c>
    </row>
    <row r="175" spans="1:5" x14ac:dyDescent="0.25">
      <c r="A175" s="17">
        <f ca="1">INDEX(Stations,INT((ROWS(A$2:A175)-1)/(DATE(YEAR(Invoer!$A$5),12,31)-DATE(YEAR(Invoer!$A$5),1,1)+1))+2,1)</f>
        <v>81</v>
      </c>
      <c r="B175" t="str">
        <f ca="1">TEXT(DATE(YEAR(Invoer!$A$5),1,1)+MOD(ROWS(B$2:B175)-1,DATE(YEAR(Invoer!$A$5),12,31)-DATE(YEAR(Invoer!$A$5),1,1)+1),"jjjjmmdd")</f>
        <v>19430623</v>
      </c>
      <c r="C175" s="18">
        <v>1</v>
      </c>
      <c r="D175" s="23" t="str">
        <f t="shared" ca="1" si="4"/>
        <v>—</v>
      </c>
      <c r="E175" s="24">
        <f t="shared" ca="1" si="5"/>
        <v>7</v>
      </c>
    </row>
    <row r="176" spans="1:5" x14ac:dyDescent="0.25">
      <c r="A176" s="17">
        <f ca="1">INDEX(Stations,INT((ROWS(A$2:A176)-1)/(DATE(YEAR(Invoer!$A$5),12,31)-DATE(YEAR(Invoer!$A$5),1,1)+1))+2,1)</f>
        <v>81</v>
      </c>
      <c r="B176" t="str">
        <f ca="1">TEXT(DATE(YEAR(Invoer!$A$5),1,1)+MOD(ROWS(B$2:B176)-1,DATE(YEAR(Invoer!$A$5),12,31)-DATE(YEAR(Invoer!$A$5),1,1)+1),"jjjjmmdd")</f>
        <v>19430624</v>
      </c>
      <c r="C176" s="18">
        <v>1</v>
      </c>
      <c r="D176" s="23" t="str">
        <f t="shared" ca="1" si="4"/>
        <v>—</v>
      </c>
      <c r="E176" s="24">
        <f t="shared" ca="1" si="5"/>
        <v>7</v>
      </c>
    </row>
    <row r="177" spans="1:5" x14ac:dyDescent="0.25">
      <c r="A177" s="17">
        <f ca="1">INDEX(Stations,INT((ROWS(A$2:A177)-1)/(DATE(YEAR(Invoer!$A$5),12,31)-DATE(YEAR(Invoer!$A$5),1,1)+1))+2,1)</f>
        <v>81</v>
      </c>
      <c r="B177" t="str">
        <f ca="1">TEXT(DATE(YEAR(Invoer!$A$5),1,1)+MOD(ROWS(B$2:B177)-1,DATE(YEAR(Invoer!$A$5),12,31)-DATE(YEAR(Invoer!$A$5),1,1)+1),"jjjjmmdd")</f>
        <v>19430625</v>
      </c>
      <c r="C177" s="18">
        <v>1</v>
      </c>
      <c r="D177" s="23" t="str">
        <f t="shared" ca="1" si="4"/>
        <v>—</v>
      </c>
      <c r="E177" s="24">
        <f t="shared" ca="1" si="5"/>
        <v>7</v>
      </c>
    </row>
    <row r="178" spans="1:5" x14ac:dyDescent="0.25">
      <c r="A178" s="17">
        <f ca="1">INDEX(Stations,INT((ROWS(A$2:A178)-1)/(DATE(YEAR(Invoer!$A$5),12,31)-DATE(YEAR(Invoer!$A$5),1,1)+1))+2,1)</f>
        <v>81</v>
      </c>
      <c r="B178" t="str">
        <f ca="1">TEXT(DATE(YEAR(Invoer!$A$5),1,1)+MOD(ROWS(B$2:B178)-1,DATE(YEAR(Invoer!$A$5),12,31)-DATE(YEAR(Invoer!$A$5),1,1)+1),"jjjjmmdd")</f>
        <v>19430626</v>
      </c>
      <c r="C178" s="18">
        <v>1</v>
      </c>
      <c r="D178" s="23" t="str">
        <f t="shared" ca="1" si="4"/>
        <v>—</v>
      </c>
      <c r="E178" s="24">
        <f t="shared" ca="1" si="5"/>
        <v>7</v>
      </c>
    </row>
    <row r="179" spans="1:5" x14ac:dyDescent="0.25">
      <c r="A179" s="17">
        <f ca="1">INDEX(Stations,INT((ROWS(A$2:A179)-1)/(DATE(YEAR(Invoer!$A$5),12,31)-DATE(YEAR(Invoer!$A$5),1,1)+1))+2,1)</f>
        <v>81</v>
      </c>
      <c r="B179" t="str">
        <f ca="1">TEXT(DATE(YEAR(Invoer!$A$5),1,1)+MOD(ROWS(B$2:B179)-1,DATE(YEAR(Invoer!$A$5),12,31)-DATE(YEAR(Invoer!$A$5),1,1)+1),"jjjjmmdd")</f>
        <v>19430627</v>
      </c>
      <c r="C179" s="18">
        <v>1</v>
      </c>
      <c r="D179" s="23" t="str">
        <f t="shared" ca="1" si="4"/>
        <v>—</v>
      </c>
      <c r="E179" s="24">
        <f t="shared" ca="1" si="5"/>
        <v>7</v>
      </c>
    </row>
    <row r="180" spans="1:5" x14ac:dyDescent="0.25">
      <c r="A180" s="17">
        <f ca="1">INDEX(Stations,INT((ROWS(A$2:A180)-1)/(DATE(YEAR(Invoer!$A$5),12,31)-DATE(YEAR(Invoer!$A$5),1,1)+1))+2,1)</f>
        <v>81</v>
      </c>
      <c r="B180" t="str">
        <f ca="1">TEXT(DATE(YEAR(Invoer!$A$5),1,1)+MOD(ROWS(B$2:B180)-1,DATE(YEAR(Invoer!$A$5),12,31)-DATE(YEAR(Invoer!$A$5),1,1)+1),"jjjjmmdd")</f>
        <v>19430628</v>
      </c>
      <c r="C180" s="18">
        <v>1</v>
      </c>
      <c r="D180" s="23" t="str">
        <f t="shared" ca="1" si="4"/>
        <v>—</v>
      </c>
      <c r="E180" s="24">
        <f t="shared" ca="1" si="5"/>
        <v>7</v>
      </c>
    </row>
    <row r="181" spans="1:5" x14ac:dyDescent="0.25">
      <c r="A181" s="17">
        <f ca="1">INDEX(Stations,INT((ROWS(A$2:A181)-1)/(DATE(YEAR(Invoer!$A$5),12,31)-DATE(YEAR(Invoer!$A$5),1,1)+1))+2,1)</f>
        <v>81</v>
      </c>
      <c r="B181" t="str">
        <f ca="1">TEXT(DATE(YEAR(Invoer!$A$5),1,1)+MOD(ROWS(B$2:B181)-1,DATE(YEAR(Invoer!$A$5),12,31)-DATE(YEAR(Invoer!$A$5),1,1)+1),"jjjjmmdd")</f>
        <v>19430629</v>
      </c>
      <c r="C181" s="18">
        <v>1</v>
      </c>
      <c r="D181" s="23" t="str">
        <f t="shared" ca="1" si="4"/>
        <v>—</v>
      </c>
      <c r="E181" s="24">
        <f t="shared" ca="1" si="5"/>
        <v>7</v>
      </c>
    </row>
    <row r="182" spans="1:5" x14ac:dyDescent="0.25">
      <c r="A182" s="17">
        <f ca="1">INDEX(Stations,INT((ROWS(A$2:A182)-1)/(DATE(YEAR(Invoer!$A$5),12,31)-DATE(YEAR(Invoer!$A$5),1,1)+1))+2,1)</f>
        <v>81</v>
      </c>
      <c r="B182" t="str">
        <f ca="1">TEXT(DATE(YEAR(Invoer!$A$5),1,1)+MOD(ROWS(B$2:B182)-1,DATE(YEAR(Invoer!$A$5),12,31)-DATE(YEAR(Invoer!$A$5),1,1)+1),"jjjjmmdd")</f>
        <v>19430630</v>
      </c>
      <c r="C182" s="18">
        <v>1</v>
      </c>
      <c r="D182" s="23" t="str">
        <f t="shared" ca="1" si="4"/>
        <v>—</v>
      </c>
      <c r="E182" s="24">
        <f t="shared" ca="1" si="5"/>
        <v>7</v>
      </c>
    </row>
    <row r="183" spans="1:5" x14ac:dyDescent="0.25">
      <c r="A183" s="17">
        <f ca="1">INDEX(Stations,INT((ROWS(A$2:A183)-1)/(DATE(YEAR(Invoer!$A$5),12,31)-DATE(YEAR(Invoer!$A$5),1,1)+1))+2,1)</f>
        <v>81</v>
      </c>
      <c r="B183" t="str">
        <f ca="1">TEXT(DATE(YEAR(Invoer!$A$5),1,1)+MOD(ROWS(B$2:B183)-1,DATE(YEAR(Invoer!$A$5),12,31)-DATE(YEAR(Invoer!$A$5),1,1)+1),"jjjjmmdd")</f>
        <v>19430701</v>
      </c>
      <c r="C183" s="18">
        <v>1</v>
      </c>
      <c r="D183" s="23" t="str">
        <f t="shared" ca="1" si="4"/>
        <v>—</v>
      </c>
      <c r="E183" s="24">
        <f t="shared" ca="1" si="5"/>
        <v>7</v>
      </c>
    </row>
    <row r="184" spans="1:5" x14ac:dyDescent="0.25">
      <c r="A184" s="17">
        <f ca="1">INDEX(Stations,INT((ROWS(A$2:A184)-1)/(DATE(YEAR(Invoer!$A$5),12,31)-DATE(YEAR(Invoer!$A$5),1,1)+1))+2,1)</f>
        <v>81</v>
      </c>
      <c r="B184" t="str">
        <f ca="1">TEXT(DATE(YEAR(Invoer!$A$5),1,1)+MOD(ROWS(B$2:B184)-1,DATE(YEAR(Invoer!$A$5),12,31)-DATE(YEAR(Invoer!$A$5),1,1)+1),"jjjjmmdd")</f>
        <v>19430702</v>
      </c>
      <c r="C184" s="18">
        <v>1</v>
      </c>
      <c r="D184" s="23" t="str">
        <f t="shared" ca="1" si="4"/>
        <v>—</v>
      </c>
      <c r="E184" s="24">
        <f t="shared" ca="1" si="5"/>
        <v>7</v>
      </c>
    </row>
    <row r="185" spans="1:5" x14ac:dyDescent="0.25">
      <c r="A185" s="17">
        <f ca="1">INDEX(Stations,INT((ROWS(A$2:A185)-1)/(DATE(YEAR(Invoer!$A$5),12,31)-DATE(YEAR(Invoer!$A$5),1,1)+1))+2,1)</f>
        <v>81</v>
      </c>
      <c r="B185" t="str">
        <f ca="1">TEXT(DATE(YEAR(Invoer!$A$5),1,1)+MOD(ROWS(B$2:B185)-1,DATE(YEAR(Invoer!$A$5),12,31)-DATE(YEAR(Invoer!$A$5),1,1)+1),"jjjjmmdd")</f>
        <v>19430703</v>
      </c>
      <c r="C185" s="18">
        <v>1</v>
      </c>
      <c r="D185" s="23" t="str">
        <f t="shared" ca="1" si="4"/>
        <v>—</v>
      </c>
      <c r="E185" s="24">
        <f t="shared" ca="1" si="5"/>
        <v>7</v>
      </c>
    </row>
    <row r="186" spans="1:5" x14ac:dyDescent="0.25">
      <c r="A186" s="17">
        <f ca="1">INDEX(Stations,INT((ROWS(A$2:A186)-1)/(DATE(YEAR(Invoer!$A$5),12,31)-DATE(YEAR(Invoer!$A$5),1,1)+1))+2,1)</f>
        <v>81</v>
      </c>
      <c r="B186" t="str">
        <f ca="1">TEXT(DATE(YEAR(Invoer!$A$5),1,1)+MOD(ROWS(B$2:B186)-1,DATE(YEAR(Invoer!$A$5),12,31)-DATE(YEAR(Invoer!$A$5),1,1)+1),"jjjjmmdd")</f>
        <v>19430704</v>
      </c>
      <c r="C186" s="18">
        <v>1</v>
      </c>
      <c r="D186" s="23" t="str">
        <f t="shared" ca="1" si="4"/>
        <v>—</v>
      </c>
      <c r="E186" s="24">
        <f t="shared" ca="1" si="5"/>
        <v>7</v>
      </c>
    </row>
    <row r="187" spans="1:5" x14ac:dyDescent="0.25">
      <c r="A187" s="17">
        <f ca="1">INDEX(Stations,INT((ROWS(A$2:A187)-1)/(DATE(YEAR(Invoer!$A$5),12,31)-DATE(YEAR(Invoer!$A$5),1,1)+1))+2,1)</f>
        <v>81</v>
      </c>
      <c r="B187" t="str">
        <f ca="1">TEXT(DATE(YEAR(Invoer!$A$5),1,1)+MOD(ROWS(B$2:B187)-1,DATE(YEAR(Invoer!$A$5),12,31)-DATE(YEAR(Invoer!$A$5),1,1)+1),"jjjjmmdd")</f>
        <v>19430705</v>
      </c>
      <c r="C187" s="18">
        <v>1</v>
      </c>
      <c r="D187" s="23" t="str">
        <f t="shared" ca="1" si="4"/>
        <v>—</v>
      </c>
      <c r="E187" s="24">
        <f t="shared" ca="1" si="5"/>
        <v>7</v>
      </c>
    </row>
    <row r="188" spans="1:5" x14ac:dyDescent="0.25">
      <c r="A188" s="17">
        <f ca="1">INDEX(Stations,INT((ROWS(A$2:A188)-1)/(DATE(YEAR(Invoer!$A$5),12,31)-DATE(YEAR(Invoer!$A$5),1,1)+1))+2,1)</f>
        <v>81</v>
      </c>
      <c r="B188" t="str">
        <f ca="1">TEXT(DATE(YEAR(Invoer!$A$5),1,1)+MOD(ROWS(B$2:B188)-1,DATE(YEAR(Invoer!$A$5),12,31)-DATE(YEAR(Invoer!$A$5),1,1)+1),"jjjjmmdd")</f>
        <v>19430706</v>
      </c>
      <c r="C188" s="18">
        <v>1</v>
      </c>
      <c r="D188" s="23" t="str">
        <f t="shared" ca="1" si="4"/>
        <v>—</v>
      </c>
      <c r="E188" s="24">
        <f t="shared" ca="1" si="5"/>
        <v>7</v>
      </c>
    </row>
    <row r="189" spans="1:5" x14ac:dyDescent="0.25">
      <c r="A189" s="17">
        <f ca="1">INDEX(Stations,INT((ROWS(A$2:A189)-1)/(DATE(YEAR(Invoer!$A$5),12,31)-DATE(YEAR(Invoer!$A$5),1,1)+1))+2,1)</f>
        <v>81</v>
      </c>
      <c r="B189" t="str">
        <f ca="1">TEXT(DATE(YEAR(Invoer!$A$5),1,1)+MOD(ROWS(B$2:B189)-1,DATE(YEAR(Invoer!$A$5),12,31)-DATE(YEAR(Invoer!$A$5),1,1)+1),"jjjjmmdd")</f>
        <v>19430707</v>
      </c>
      <c r="C189" s="18">
        <v>1</v>
      </c>
      <c r="D189" s="23" t="str">
        <f t="shared" ca="1" si="4"/>
        <v>—</v>
      </c>
      <c r="E189" s="24">
        <f t="shared" ca="1" si="5"/>
        <v>7</v>
      </c>
    </row>
    <row r="190" spans="1:5" x14ac:dyDescent="0.25">
      <c r="A190" s="17">
        <f ca="1">INDEX(Stations,INT((ROWS(A$2:A190)-1)/(DATE(YEAR(Invoer!$A$5),12,31)-DATE(YEAR(Invoer!$A$5),1,1)+1))+2,1)</f>
        <v>81</v>
      </c>
      <c r="B190" t="str">
        <f ca="1">TEXT(DATE(YEAR(Invoer!$A$5),1,1)+MOD(ROWS(B$2:B190)-1,DATE(YEAR(Invoer!$A$5),12,31)-DATE(YEAR(Invoer!$A$5),1,1)+1),"jjjjmmdd")</f>
        <v>19430708</v>
      </c>
      <c r="C190" s="18">
        <v>1</v>
      </c>
      <c r="D190" s="23" t="str">
        <f t="shared" ca="1" si="4"/>
        <v>—</v>
      </c>
      <c r="E190" s="24">
        <f t="shared" ca="1" si="5"/>
        <v>7</v>
      </c>
    </row>
    <row r="191" spans="1:5" x14ac:dyDescent="0.25">
      <c r="A191" s="17">
        <f ca="1">INDEX(Stations,INT((ROWS(A$2:A191)-1)/(DATE(YEAR(Invoer!$A$5),12,31)-DATE(YEAR(Invoer!$A$5),1,1)+1))+2,1)</f>
        <v>81</v>
      </c>
      <c r="B191" t="str">
        <f ca="1">TEXT(DATE(YEAR(Invoer!$A$5),1,1)+MOD(ROWS(B$2:B191)-1,DATE(YEAR(Invoer!$A$5),12,31)-DATE(YEAR(Invoer!$A$5),1,1)+1),"jjjjmmdd")</f>
        <v>19430709</v>
      </c>
      <c r="C191" s="18">
        <v>1</v>
      </c>
      <c r="D191" s="23" t="str">
        <f t="shared" ca="1" si="4"/>
        <v>—</v>
      </c>
      <c r="E191" s="24">
        <f t="shared" ca="1" si="5"/>
        <v>7</v>
      </c>
    </row>
    <row r="192" spans="1:5" x14ac:dyDescent="0.25">
      <c r="A192" s="17">
        <f ca="1">INDEX(Stations,INT((ROWS(A$2:A192)-1)/(DATE(YEAR(Invoer!$A$5),12,31)-DATE(YEAR(Invoer!$A$5),1,1)+1))+2,1)</f>
        <v>81</v>
      </c>
      <c r="B192" t="str">
        <f ca="1">TEXT(DATE(YEAR(Invoer!$A$5),1,1)+MOD(ROWS(B$2:B192)-1,DATE(YEAR(Invoer!$A$5),12,31)-DATE(YEAR(Invoer!$A$5),1,1)+1),"jjjjmmdd")</f>
        <v>19430710</v>
      </c>
      <c r="C192" s="18">
        <v>1</v>
      </c>
      <c r="D192" s="23" t="str">
        <f t="shared" ca="1" si="4"/>
        <v>—</v>
      </c>
      <c r="E192" s="24">
        <f t="shared" ca="1" si="5"/>
        <v>7</v>
      </c>
    </row>
    <row r="193" spans="1:5" x14ac:dyDescent="0.25">
      <c r="A193" s="17">
        <f ca="1">INDEX(Stations,INT((ROWS(A$2:A193)-1)/(DATE(YEAR(Invoer!$A$5),12,31)-DATE(YEAR(Invoer!$A$5),1,1)+1))+2,1)</f>
        <v>81</v>
      </c>
      <c r="B193" t="str">
        <f ca="1">TEXT(DATE(YEAR(Invoer!$A$5),1,1)+MOD(ROWS(B$2:B193)-1,DATE(YEAR(Invoer!$A$5),12,31)-DATE(YEAR(Invoer!$A$5),1,1)+1),"jjjjmmdd")</f>
        <v>19430711</v>
      </c>
      <c r="C193" s="18">
        <v>1</v>
      </c>
      <c r="D193" s="23" t="str">
        <f t="shared" ca="1" si="4"/>
        <v>—</v>
      </c>
      <c r="E193" s="24">
        <f t="shared" ca="1" si="5"/>
        <v>7</v>
      </c>
    </row>
    <row r="194" spans="1:5" x14ac:dyDescent="0.25">
      <c r="A194" s="17">
        <f ca="1">INDEX(Stations,INT((ROWS(A$2:A194)-1)/(DATE(YEAR(Invoer!$A$5),12,31)-DATE(YEAR(Invoer!$A$5),1,1)+1))+2,1)</f>
        <v>81</v>
      </c>
      <c r="B194" t="str">
        <f ca="1">TEXT(DATE(YEAR(Invoer!$A$5),1,1)+MOD(ROWS(B$2:B194)-1,DATE(YEAR(Invoer!$A$5),12,31)-DATE(YEAR(Invoer!$A$5),1,1)+1),"jjjjmmdd")</f>
        <v>19430712</v>
      </c>
      <c r="C194" s="18">
        <v>1</v>
      </c>
      <c r="D194" s="23" t="str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—</v>
      </c>
      <c r="E194" s="24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7</v>
      </c>
    </row>
    <row r="195" spans="1:5" x14ac:dyDescent="0.25">
      <c r="A195" s="17">
        <f ca="1">INDEX(Stations,INT((ROWS(A$2:A195)-1)/(DATE(YEAR(Invoer!$A$5),12,31)-DATE(YEAR(Invoer!$A$5),1,1)+1))+2,1)</f>
        <v>81</v>
      </c>
      <c r="B195" t="str">
        <f ca="1">TEXT(DATE(YEAR(Invoer!$A$5),1,1)+MOD(ROWS(B$2:B195)-1,DATE(YEAR(Invoer!$A$5),12,31)-DATE(YEAR(Invoer!$A$5),1,1)+1),"jjjjmmdd")</f>
        <v>19430713</v>
      </c>
      <c r="C195" s="18">
        <v>1</v>
      </c>
      <c r="D195" s="23" t="str">
        <f t="shared" ca="1" si="6"/>
        <v>—</v>
      </c>
      <c r="E195" s="24">
        <f t="shared" ca="1" si="7"/>
        <v>7</v>
      </c>
    </row>
    <row r="196" spans="1:5" x14ac:dyDescent="0.25">
      <c r="A196" s="17">
        <f ca="1">INDEX(Stations,INT((ROWS(A$2:A196)-1)/(DATE(YEAR(Invoer!$A$5),12,31)-DATE(YEAR(Invoer!$A$5),1,1)+1))+2,1)</f>
        <v>81</v>
      </c>
      <c r="B196" t="str">
        <f ca="1">TEXT(DATE(YEAR(Invoer!$A$5),1,1)+MOD(ROWS(B$2:B196)-1,DATE(YEAR(Invoer!$A$5),12,31)-DATE(YEAR(Invoer!$A$5),1,1)+1),"jjjjmmdd")</f>
        <v>19430714</v>
      </c>
      <c r="C196" s="18">
        <v>1</v>
      </c>
      <c r="D196" s="23" t="str">
        <f t="shared" ca="1" si="6"/>
        <v>—</v>
      </c>
      <c r="E196" s="24">
        <f t="shared" ca="1" si="7"/>
        <v>7</v>
      </c>
    </row>
    <row r="197" spans="1:5" x14ac:dyDescent="0.25">
      <c r="A197" s="17">
        <f ca="1">INDEX(Stations,INT((ROWS(A$2:A197)-1)/(DATE(YEAR(Invoer!$A$5),12,31)-DATE(YEAR(Invoer!$A$5),1,1)+1))+2,1)</f>
        <v>81</v>
      </c>
      <c r="B197" t="str">
        <f ca="1">TEXT(DATE(YEAR(Invoer!$A$5),1,1)+MOD(ROWS(B$2:B197)-1,DATE(YEAR(Invoer!$A$5),12,31)-DATE(YEAR(Invoer!$A$5),1,1)+1),"jjjjmmdd")</f>
        <v>19430715</v>
      </c>
      <c r="C197" s="18">
        <v>1</v>
      </c>
      <c r="D197" s="23" t="str">
        <f t="shared" ca="1" si="6"/>
        <v>—</v>
      </c>
      <c r="E197" s="24">
        <f t="shared" ca="1" si="7"/>
        <v>7</v>
      </c>
    </row>
    <row r="198" spans="1:5" x14ac:dyDescent="0.25">
      <c r="A198" s="17">
        <f ca="1">INDEX(Stations,INT((ROWS(A$2:A198)-1)/(DATE(YEAR(Invoer!$A$5),12,31)-DATE(YEAR(Invoer!$A$5),1,1)+1))+2,1)</f>
        <v>81</v>
      </c>
      <c r="B198" t="str">
        <f ca="1">TEXT(DATE(YEAR(Invoer!$A$5),1,1)+MOD(ROWS(B$2:B198)-1,DATE(YEAR(Invoer!$A$5),12,31)-DATE(YEAR(Invoer!$A$5),1,1)+1),"jjjjmmdd")</f>
        <v>19430716</v>
      </c>
      <c r="C198" s="18">
        <v>1</v>
      </c>
      <c r="D198" s="23" t="str">
        <f t="shared" ca="1" si="6"/>
        <v>—</v>
      </c>
      <c r="E198" s="24">
        <f t="shared" ca="1" si="7"/>
        <v>7</v>
      </c>
    </row>
    <row r="199" spans="1:5" x14ac:dyDescent="0.25">
      <c r="A199" s="17">
        <f ca="1">INDEX(Stations,INT((ROWS(A$2:A199)-1)/(DATE(YEAR(Invoer!$A$5),12,31)-DATE(YEAR(Invoer!$A$5),1,1)+1))+2,1)</f>
        <v>81</v>
      </c>
      <c r="B199" t="str">
        <f ca="1">TEXT(DATE(YEAR(Invoer!$A$5),1,1)+MOD(ROWS(B$2:B199)-1,DATE(YEAR(Invoer!$A$5),12,31)-DATE(YEAR(Invoer!$A$5),1,1)+1),"jjjjmmdd")</f>
        <v>19430717</v>
      </c>
      <c r="C199" s="18">
        <v>1</v>
      </c>
      <c r="D199" s="23" t="str">
        <f t="shared" ca="1" si="6"/>
        <v>—</v>
      </c>
      <c r="E199" s="24">
        <f t="shared" ca="1" si="7"/>
        <v>7</v>
      </c>
    </row>
    <row r="200" spans="1:5" x14ac:dyDescent="0.25">
      <c r="A200" s="17">
        <f ca="1">INDEX(Stations,INT((ROWS(A$2:A200)-1)/(DATE(YEAR(Invoer!$A$5),12,31)-DATE(YEAR(Invoer!$A$5),1,1)+1))+2,1)</f>
        <v>81</v>
      </c>
      <c r="B200" t="str">
        <f ca="1">TEXT(DATE(YEAR(Invoer!$A$5),1,1)+MOD(ROWS(B$2:B200)-1,DATE(YEAR(Invoer!$A$5),12,31)-DATE(YEAR(Invoer!$A$5),1,1)+1),"jjjjmmdd")</f>
        <v>19430718</v>
      </c>
      <c r="C200" s="18">
        <v>1</v>
      </c>
      <c r="D200" s="23" t="str">
        <f t="shared" ca="1" si="6"/>
        <v>—</v>
      </c>
      <c r="E200" s="24">
        <f t="shared" ca="1" si="7"/>
        <v>7</v>
      </c>
    </row>
    <row r="201" spans="1:5" x14ac:dyDescent="0.25">
      <c r="A201" s="17">
        <f ca="1">INDEX(Stations,INT((ROWS(A$2:A201)-1)/(DATE(YEAR(Invoer!$A$5),12,31)-DATE(YEAR(Invoer!$A$5),1,1)+1))+2,1)</f>
        <v>81</v>
      </c>
      <c r="B201" t="str">
        <f ca="1">TEXT(DATE(YEAR(Invoer!$A$5),1,1)+MOD(ROWS(B$2:B201)-1,DATE(YEAR(Invoer!$A$5),12,31)-DATE(YEAR(Invoer!$A$5),1,1)+1),"jjjjmmdd")</f>
        <v>19430719</v>
      </c>
      <c r="C201" s="18">
        <v>1</v>
      </c>
      <c r="D201" s="23" t="str">
        <f t="shared" ca="1" si="6"/>
        <v>—</v>
      </c>
      <c r="E201" s="24">
        <f t="shared" ca="1" si="7"/>
        <v>7</v>
      </c>
    </row>
    <row r="202" spans="1:5" x14ac:dyDescent="0.25">
      <c r="A202" s="17">
        <f ca="1">INDEX(Stations,INT((ROWS(A$2:A202)-1)/(DATE(YEAR(Invoer!$A$5),12,31)-DATE(YEAR(Invoer!$A$5),1,1)+1))+2,1)</f>
        <v>81</v>
      </c>
      <c r="B202" t="str">
        <f ca="1">TEXT(DATE(YEAR(Invoer!$A$5),1,1)+MOD(ROWS(B$2:B202)-1,DATE(YEAR(Invoer!$A$5),12,31)-DATE(YEAR(Invoer!$A$5),1,1)+1),"jjjjmmdd")</f>
        <v>19430720</v>
      </c>
      <c r="C202" s="18">
        <v>1</v>
      </c>
      <c r="D202" s="23" t="str">
        <f t="shared" ca="1" si="6"/>
        <v>—</v>
      </c>
      <c r="E202" s="24">
        <f t="shared" ca="1" si="7"/>
        <v>7</v>
      </c>
    </row>
    <row r="203" spans="1:5" x14ac:dyDescent="0.25">
      <c r="A203" s="17">
        <f ca="1">INDEX(Stations,INT((ROWS(A$2:A203)-1)/(DATE(YEAR(Invoer!$A$5),12,31)-DATE(YEAR(Invoer!$A$5),1,1)+1))+2,1)</f>
        <v>81</v>
      </c>
      <c r="B203" t="str">
        <f ca="1">TEXT(DATE(YEAR(Invoer!$A$5),1,1)+MOD(ROWS(B$2:B203)-1,DATE(YEAR(Invoer!$A$5),12,31)-DATE(YEAR(Invoer!$A$5),1,1)+1),"jjjjmmdd")</f>
        <v>19430721</v>
      </c>
      <c r="C203" s="18">
        <v>1</v>
      </c>
      <c r="D203" s="23" t="str">
        <f t="shared" ca="1" si="6"/>
        <v>—</v>
      </c>
      <c r="E203" s="24">
        <f t="shared" ca="1" si="7"/>
        <v>7</v>
      </c>
    </row>
    <row r="204" spans="1:5" x14ac:dyDescent="0.25">
      <c r="A204" s="17">
        <f ca="1">INDEX(Stations,INT((ROWS(A$2:A204)-1)/(DATE(YEAR(Invoer!$A$5),12,31)-DATE(YEAR(Invoer!$A$5),1,1)+1))+2,1)</f>
        <v>81</v>
      </c>
      <c r="B204" t="str">
        <f ca="1">TEXT(DATE(YEAR(Invoer!$A$5),1,1)+MOD(ROWS(B$2:B204)-1,DATE(YEAR(Invoer!$A$5),12,31)-DATE(YEAR(Invoer!$A$5),1,1)+1),"jjjjmmdd")</f>
        <v>19430722</v>
      </c>
      <c r="C204" s="18">
        <v>1</v>
      </c>
      <c r="D204" s="23" t="str">
        <f t="shared" ca="1" si="6"/>
        <v>—</v>
      </c>
      <c r="E204" s="24">
        <f t="shared" ca="1" si="7"/>
        <v>7</v>
      </c>
    </row>
    <row r="205" spans="1:5" x14ac:dyDescent="0.25">
      <c r="A205" s="17">
        <f ca="1">INDEX(Stations,INT((ROWS(A$2:A205)-1)/(DATE(YEAR(Invoer!$A$5),12,31)-DATE(YEAR(Invoer!$A$5),1,1)+1))+2,1)</f>
        <v>81</v>
      </c>
      <c r="B205" t="str">
        <f ca="1">TEXT(DATE(YEAR(Invoer!$A$5),1,1)+MOD(ROWS(B$2:B205)-1,DATE(YEAR(Invoer!$A$5),12,31)-DATE(YEAR(Invoer!$A$5),1,1)+1),"jjjjmmdd")</f>
        <v>19430723</v>
      </c>
      <c r="C205" s="18">
        <v>1</v>
      </c>
      <c r="D205" s="23" t="str">
        <f t="shared" ca="1" si="6"/>
        <v>—</v>
      </c>
      <c r="E205" s="24">
        <f t="shared" ca="1" si="7"/>
        <v>7</v>
      </c>
    </row>
    <row r="206" spans="1:5" x14ac:dyDescent="0.25">
      <c r="A206" s="17">
        <f ca="1">INDEX(Stations,INT((ROWS(A$2:A206)-1)/(DATE(YEAR(Invoer!$A$5),12,31)-DATE(YEAR(Invoer!$A$5),1,1)+1))+2,1)</f>
        <v>81</v>
      </c>
      <c r="B206" t="str">
        <f ca="1">TEXT(DATE(YEAR(Invoer!$A$5),1,1)+MOD(ROWS(B$2:B206)-1,DATE(YEAR(Invoer!$A$5),12,31)-DATE(YEAR(Invoer!$A$5),1,1)+1),"jjjjmmdd")</f>
        <v>19430724</v>
      </c>
      <c r="C206" s="18">
        <v>1</v>
      </c>
      <c r="D206" s="23" t="str">
        <f t="shared" ca="1" si="6"/>
        <v>—</v>
      </c>
      <c r="E206" s="24">
        <f t="shared" ca="1" si="7"/>
        <v>7</v>
      </c>
    </row>
    <row r="207" spans="1:5" x14ac:dyDescent="0.25">
      <c r="A207" s="17">
        <f ca="1">INDEX(Stations,INT((ROWS(A$2:A207)-1)/(DATE(YEAR(Invoer!$A$5),12,31)-DATE(YEAR(Invoer!$A$5),1,1)+1))+2,1)</f>
        <v>81</v>
      </c>
      <c r="B207" t="str">
        <f ca="1">TEXT(DATE(YEAR(Invoer!$A$5),1,1)+MOD(ROWS(B$2:B207)-1,DATE(YEAR(Invoer!$A$5),12,31)-DATE(YEAR(Invoer!$A$5),1,1)+1),"jjjjmmdd")</f>
        <v>19430725</v>
      </c>
      <c r="C207" s="18">
        <v>1</v>
      </c>
      <c r="D207" s="23" t="str">
        <f t="shared" ca="1" si="6"/>
        <v>—</v>
      </c>
      <c r="E207" s="24">
        <f t="shared" ca="1" si="7"/>
        <v>7</v>
      </c>
    </row>
    <row r="208" spans="1:5" x14ac:dyDescent="0.25">
      <c r="A208" s="17">
        <f ca="1">INDEX(Stations,INT((ROWS(A$2:A208)-1)/(DATE(YEAR(Invoer!$A$5),12,31)-DATE(YEAR(Invoer!$A$5),1,1)+1))+2,1)</f>
        <v>81</v>
      </c>
      <c r="B208" t="str">
        <f ca="1">TEXT(DATE(YEAR(Invoer!$A$5),1,1)+MOD(ROWS(B$2:B208)-1,DATE(YEAR(Invoer!$A$5),12,31)-DATE(YEAR(Invoer!$A$5),1,1)+1),"jjjjmmdd")</f>
        <v>19430726</v>
      </c>
      <c r="C208" s="18">
        <v>1</v>
      </c>
      <c r="D208" s="23" t="str">
        <f t="shared" ca="1" si="6"/>
        <v>—</v>
      </c>
      <c r="E208" s="24">
        <f t="shared" ca="1" si="7"/>
        <v>7</v>
      </c>
    </row>
    <row r="209" spans="1:5" x14ac:dyDescent="0.25">
      <c r="A209" s="17">
        <f ca="1">INDEX(Stations,INT((ROWS(A$2:A209)-1)/(DATE(YEAR(Invoer!$A$5),12,31)-DATE(YEAR(Invoer!$A$5),1,1)+1))+2,1)</f>
        <v>81</v>
      </c>
      <c r="B209" t="str">
        <f ca="1">TEXT(DATE(YEAR(Invoer!$A$5),1,1)+MOD(ROWS(B$2:B209)-1,DATE(YEAR(Invoer!$A$5),12,31)-DATE(YEAR(Invoer!$A$5),1,1)+1),"jjjjmmdd")</f>
        <v>19430727</v>
      </c>
      <c r="C209" s="18">
        <v>1</v>
      </c>
      <c r="D209" s="23" t="str">
        <f t="shared" ca="1" si="6"/>
        <v>—</v>
      </c>
      <c r="E209" s="24">
        <f t="shared" ca="1" si="7"/>
        <v>7</v>
      </c>
    </row>
    <row r="210" spans="1:5" x14ac:dyDescent="0.25">
      <c r="A210" s="17">
        <f ca="1">INDEX(Stations,INT((ROWS(A$2:A210)-1)/(DATE(YEAR(Invoer!$A$5),12,31)-DATE(YEAR(Invoer!$A$5),1,1)+1))+2,1)</f>
        <v>81</v>
      </c>
      <c r="B210" t="str">
        <f ca="1">TEXT(DATE(YEAR(Invoer!$A$5),1,1)+MOD(ROWS(B$2:B210)-1,DATE(YEAR(Invoer!$A$5),12,31)-DATE(YEAR(Invoer!$A$5),1,1)+1),"jjjjmmdd")</f>
        <v>19430728</v>
      </c>
      <c r="C210" s="18">
        <v>1</v>
      </c>
      <c r="D210" s="23" t="str">
        <f t="shared" ca="1" si="6"/>
        <v>—</v>
      </c>
      <c r="E210" s="24">
        <f t="shared" ca="1" si="7"/>
        <v>7</v>
      </c>
    </row>
    <row r="211" spans="1:5" x14ac:dyDescent="0.25">
      <c r="A211" s="17">
        <f ca="1">INDEX(Stations,INT((ROWS(A$2:A211)-1)/(DATE(YEAR(Invoer!$A$5),12,31)-DATE(YEAR(Invoer!$A$5),1,1)+1))+2,1)</f>
        <v>81</v>
      </c>
      <c r="B211" t="str">
        <f ca="1">TEXT(DATE(YEAR(Invoer!$A$5),1,1)+MOD(ROWS(B$2:B211)-1,DATE(YEAR(Invoer!$A$5),12,31)-DATE(YEAR(Invoer!$A$5),1,1)+1),"jjjjmmdd")</f>
        <v>19430729</v>
      </c>
      <c r="C211" s="18">
        <v>1</v>
      </c>
      <c r="D211" s="23" t="str">
        <f t="shared" ca="1" si="6"/>
        <v>—</v>
      </c>
      <c r="E211" s="24">
        <f t="shared" ca="1" si="7"/>
        <v>7</v>
      </c>
    </row>
    <row r="212" spans="1:5" x14ac:dyDescent="0.25">
      <c r="A212" s="17">
        <f ca="1">INDEX(Stations,INT((ROWS(A$2:A212)-1)/(DATE(YEAR(Invoer!$A$5),12,31)-DATE(YEAR(Invoer!$A$5),1,1)+1))+2,1)</f>
        <v>81</v>
      </c>
      <c r="B212" t="str">
        <f ca="1">TEXT(DATE(YEAR(Invoer!$A$5),1,1)+MOD(ROWS(B$2:B212)-1,DATE(YEAR(Invoer!$A$5),12,31)-DATE(YEAR(Invoer!$A$5),1,1)+1),"jjjjmmdd")</f>
        <v>19430730</v>
      </c>
      <c r="C212" s="18">
        <v>1</v>
      </c>
      <c r="D212" s="23" t="str">
        <f t="shared" ca="1" si="6"/>
        <v>—</v>
      </c>
      <c r="E212" s="24">
        <f t="shared" ca="1" si="7"/>
        <v>7</v>
      </c>
    </row>
    <row r="213" spans="1:5" x14ac:dyDescent="0.25">
      <c r="A213" s="17">
        <f ca="1">INDEX(Stations,INT((ROWS(A$2:A213)-1)/(DATE(YEAR(Invoer!$A$5),12,31)-DATE(YEAR(Invoer!$A$5),1,1)+1))+2,1)</f>
        <v>81</v>
      </c>
      <c r="B213" t="str">
        <f ca="1">TEXT(DATE(YEAR(Invoer!$A$5),1,1)+MOD(ROWS(B$2:B213)-1,DATE(YEAR(Invoer!$A$5),12,31)-DATE(YEAR(Invoer!$A$5),1,1)+1),"jjjjmmdd")</f>
        <v>19430731</v>
      </c>
      <c r="C213" s="18">
        <v>1</v>
      </c>
      <c r="D213" s="23" t="str">
        <f t="shared" ca="1" si="6"/>
        <v>—</v>
      </c>
      <c r="E213" s="24">
        <f t="shared" ca="1" si="7"/>
        <v>7</v>
      </c>
    </row>
    <row r="214" spans="1:5" x14ac:dyDescent="0.25">
      <c r="A214" s="17">
        <f ca="1">INDEX(Stations,INT((ROWS(A$2:A214)-1)/(DATE(YEAR(Invoer!$A$5),12,31)-DATE(YEAR(Invoer!$A$5),1,1)+1))+2,1)</f>
        <v>81</v>
      </c>
      <c r="B214" t="str">
        <f ca="1">TEXT(DATE(YEAR(Invoer!$A$5),1,1)+MOD(ROWS(B$2:B214)-1,DATE(YEAR(Invoer!$A$5),12,31)-DATE(YEAR(Invoer!$A$5),1,1)+1),"jjjjmmdd")</f>
        <v>19430801</v>
      </c>
      <c r="C214" s="18">
        <v>1</v>
      </c>
      <c r="D214" s="23">
        <f t="shared" ca="1" si="6"/>
        <v>0</v>
      </c>
      <c r="E214" s="24">
        <f t="shared" ca="1" si="7"/>
        <v>0</v>
      </c>
    </row>
    <row r="215" spans="1:5" x14ac:dyDescent="0.25">
      <c r="A215" s="17">
        <f ca="1">INDEX(Stations,INT((ROWS(A$2:A215)-1)/(DATE(YEAR(Invoer!$A$5),12,31)-DATE(YEAR(Invoer!$A$5),1,1)+1))+2,1)</f>
        <v>81</v>
      </c>
      <c r="B215" t="str">
        <f ca="1">TEXT(DATE(YEAR(Invoer!$A$5),1,1)+MOD(ROWS(B$2:B215)-1,DATE(YEAR(Invoer!$A$5),12,31)-DATE(YEAR(Invoer!$A$5),1,1)+1),"jjjjmmdd")</f>
        <v>19430802</v>
      </c>
      <c r="C215" s="18">
        <v>1</v>
      </c>
      <c r="D215" s="23">
        <f t="shared" ca="1" si="6"/>
        <v>0</v>
      </c>
      <c r="E215" s="24">
        <f t="shared" ca="1" si="7"/>
        <v>0</v>
      </c>
    </row>
    <row r="216" spans="1:5" x14ac:dyDescent="0.25">
      <c r="A216" s="17">
        <f ca="1">INDEX(Stations,INT((ROWS(A$2:A216)-1)/(DATE(YEAR(Invoer!$A$5),12,31)-DATE(YEAR(Invoer!$A$5),1,1)+1))+2,1)</f>
        <v>81</v>
      </c>
      <c r="B216" t="str">
        <f ca="1">TEXT(DATE(YEAR(Invoer!$A$5),1,1)+MOD(ROWS(B$2:B216)-1,DATE(YEAR(Invoer!$A$5),12,31)-DATE(YEAR(Invoer!$A$5),1,1)+1),"jjjjmmdd")</f>
        <v>19430803</v>
      </c>
      <c r="C216" s="18">
        <v>1</v>
      </c>
      <c r="D216" s="23">
        <f t="shared" ca="1" si="6"/>
        <v>105</v>
      </c>
      <c r="E216" s="24">
        <f t="shared" ca="1" si="7"/>
        <v>0</v>
      </c>
    </row>
    <row r="217" spans="1:5" x14ac:dyDescent="0.25">
      <c r="A217" s="17">
        <f ca="1">INDEX(Stations,INT((ROWS(A$2:A217)-1)/(DATE(YEAR(Invoer!$A$5),12,31)-DATE(YEAR(Invoer!$A$5),1,1)+1))+2,1)</f>
        <v>81</v>
      </c>
      <c r="B217" t="str">
        <f ca="1">TEXT(DATE(YEAR(Invoer!$A$5),1,1)+MOD(ROWS(B$2:B217)-1,DATE(YEAR(Invoer!$A$5),12,31)-DATE(YEAR(Invoer!$A$5),1,1)+1),"jjjjmmdd")</f>
        <v>19430804</v>
      </c>
      <c r="C217" s="18">
        <v>1</v>
      </c>
      <c r="D217" s="23">
        <f t="shared" ca="1" si="6"/>
        <v>0</v>
      </c>
      <c r="E217" s="24">
        <f t="shared" ca="1" si="7"/>
        <v>0</v>
      </c>
    </row>
    <row r="218" spans="1:5" x14ac:dyDescent="0.25">
      <c r="A218" s="17">
        <f ca="1">INDEX(Stations,INT((ROWS(A$2:A218)-1)/(DATE(YEAR(Invoer!$A$5),12,31)-DATE(YEAR(Invoer!$A$5),1,1)+1))+2,1)</f>
        <v>81</v>
      </c>
      <c r="B218" t="str">
        <f ca="1">TEXT(DATE(YEAR(Invoer!$A$5),1,1)+MOD(ROWS(B$2:B218)-1,DATE(YEAR(Invoer!$A$5),12,31)-DATE(YEAR(Invoer!$A$5),1,1)+1),"jjjjmmdd")</f>
        <v>19430805</v>
      </c>
      <c r="C218" s="18">
        <v>1</v>
      </c>
      <c r="D218" s="23">
        <f t="shared" ca="1" si="6"/>
        <v>230</v>
      </c>
      <c r="E218" s="24">
        <f t="shared" ca="1" si="7"/>
        <v>0</v>
      </c>
    </row>
    <row r="219" spans="1:5" x14ac:dyDescent="0.25">
      <c r="A219" s="17">
        <f ca="1">INDEX(Stations,INT((ROWS(A$2:A219)-1)/(DATE(YEAR(Invoer!$A$5),12,31)-DATE(YEAR(Invoer!$A$5),1,1)+1))+2,1)</f>
        <v>81</v>
      </c>
      <c r="B219" t="str">
        <f ca="1">TEXT(DATE(YEAR(Invoer!$A$5),1,1)+MOD(ROWS(B$2:B219)-1,DATE(YEAR(Invoer!$A$5),12,31)-DATE(YEAR(Invoer!$A$5),1,1)+1),"jjjjmmdd")</f>
        <v>19430806</v>
      </c>
      <c r="C219" s="18">
        <v>1</v>
      </c>
      <c r="D219" s="23">
        <f t="shared" ca="1" si="6"/>
        <v>0</v>
      </c>
      <c r="E219" s="24">
        <f t="shared" ca="1" si="7"/>
        <v>0</v>
      </c>
    </row>
    <row r="220" spans="1:5" x14ac:dyDescent="0.25">
      <c r="A220" s="17">
        <f ca="1">INDEX(Stations,INT((ROWS(A$2:A220)-1)/(DATE(YEAR(Invoer!$A$5),12,31)-DATE(YEAR(Invoer!$A$5),1,1)+1))+2,1)</f>
        <v>81</v>
      </c>
      <c r="B220" t="str">
        <f ca="1">TEXT(DATE(YEAR(Invoer!$A$5),1,1)+MOD(ROWS(B$2:B220)-1,DATE(YEAR(Invoer!$A$5),12,31)-DATE(YEAR(Invoer!$A$5),1,1)+1),"jjjjmmdd")</f>
        <v>19430807</v>
      </c>
      <c r="C220" s="18">
        <v>1</v>
      </c>
      <c r="D220" s="23">
        <f t="shared" ca="1" si="6"/>
        <v>0</v>
      </c>
      <c r="E220" s="24">
        <f t="shared" ca="1" si="7"/>
        <v>0</v>
      </c>
    </row>
    <row r="221" spans="1:5" x14ac:dyDescent="0.25">
      <c r="A221" s="17">
        <f ca="1">INDEX(Stations,INT((ROWS(A$2:A221)-1)/(DATE(YEAR(Invoer!$A$5),12,31)-DATE(YEAR(Invoer!$A$5),1,1)+1))+2,1)</f>
        <v>81</v>
      </c>
      <c r="B221" t="str">
        <f ca="1">TEXT(DATE(YEAR(Invoer!$A$5),1,1)+MOD(ROWS(B$2:B221)-1,DATE(YEAR(Invoer!$A$5),12,31)-DATE(YEAR(Invoer!$A$5),1,1)+1),"jjjjmmdd")</f>
        <v>19430808</v>
      </c>
      <c r="C221" s="18">
        <v>1</v>
      </c>
      <c r="D221" s="23">
        <f t="shared" ca="1" si="6"/>
        <v>0</v>
      </c>
      <c r="E221" s="24">
        <f t="shared" ca="1" si="7"/>
        <v>0</v>
      </c>
    </row>
    <row r="222" spans="1:5" x14ac:dyDescent="0.25">
      <c r="A222" s="17">
        <f ca="1">INDEX(Stations,INT((ROWS(A$2:A222)-1)/(DATE(YEAR(Invoer!$A$5),12,31)-DATE(YEAR(Invoer!$A$5),1,1)+1))+2,1)</f>
        <v>81</v>
      </c>
      <c r="B222" t="str">
        <f ca="1">TEXT(DATE(YEAR(Invoer!$A$5),1,1)+MOD(ROWS(B$2:B222)-1,DATE(YEAR(Invoer!$A$5),12,31)-DATE(YEAR(Invoer!$A$5),1,1)+1),"jjjjmmdd")</f>
        <v>19430809</v>
      </c>
      <c r="C222" s="18">
        <v>1</v>
      </c>
      <c r="D222" s="23">
        <f t="shared" ca="1" si="6"/>
        <v>0</v>
      </c>
      <c r="E222" s="24">
        <f t="shared" ca="1" si="7"/>
        <v>0</v>
      </c>
    </row>
    <row r="223" spans="1:5" x14ac:dyDescent="0.25">
      <c r="A223" s="17">
        <f ca="1">INDEX(Stations,INT((ROWS(A$2:A223)-1)/(DATE(YEAR(Invoer!$A$5),12,31)-DATE(YEAR(Invoer!$A$5),1,1)+1))+2,1)</f>
        <v>81</v>
      </c>
      <c r="B223" t="str">
        <f ca="1">TEXT(DATE(YEAR(Invoer!$A$5),1,1)+MOD(ROWS(B$2:B223)-1,DATE(YEAR(Invoer!$A$5),12,31)-DATE(YEAR(Invoer!$A$5),1,1)+1),"jjjjmmdd")</f>
        <v>19430810</v>
      </c>
      <c r="C223" s="18">
        <v>1</v>
      </c>
      <c r="D223" s="23">
        <f t="shared" ca="1" si="6"/>
        <v>0</v>
      </c>
      <c r="E223" s="24">
        <f t="shared" ca="1" si="7"/>
        <v>0</v>
      </c>
    </row>
    <row r="224" spans="1:5" x14ac:dyDescent="0.25">
      <c r="A224" s="17">
        <f ca="1">INDEX(Stations,INT((ROWS(A$2:A224)-1)/(DATE(YEAR(Invoer!$A$5),12,31)-DATE(YEAR(Invoer!$A$5),1,1)+1))+2,1)</f>
        <v>81</v>
      </c>
      <c r="B224" t="str">
        <f ca="1">TEXT(DATE(YEAR(Invoer!$A$5),1,1)+MOD(ROWS(B$2:B224)-1,DATE(YEAR(Invoer!$A$5),12,31)-DATE(YEAR(Invoer!$A$5),1,1)+1),"jjjjmmdd")</f>
        <v>19430811</v>
      </c>
      <c r="C224" s="18">
        <v>1</v>
      </c>
      <c r="D224" s="23">
        <f t="shared" ca="1" si="6"/>
        <v>0</v>
      </c>
      <c r="E224" s="24">
        <f t="shared" ca="1" si="7"/>
        <v>0</v>
      </c>
    </row>
    <row r="225" spans="1:5" x14ac:dyDescent="0.25">
      <c r="A225" s="17">
        <f ca="1">INDEX(Stations,INT((ROWS(A$2:A225)-1)/(DATE(YEAR(Invoer!$A$5),12,31)-DATE(YEAR(Invoer!$A$5),1,1)+1))+2,1)</f>
        <v>81</v>
      </c>
      <c r="B225" t="str">
        <f ca="1">TEXT(DATE(YEAR(Invoer!$A$5),1,1)+MOD(ROWS(B$2:B225)-1,DATE(YEAR(Invoer!$A$5),12,31)-DATE(YEAR(Invoer!$A$5),1,1)+1),"jjjjmmdd")</f>
        <v>19430812</v>
      </c>
      <c r="C225" s="18">
        <v>1</v>
      </c>
      <c r="D225" s="23">
        <f t="shared" ca="1" si="6"/>
        <v>0</v>
      </c>
      <c r="E225" s="24">
        <f t="shared" ca="1" si="7"/>
        <v>0</v>
      </c>
    </row>
    <row r="226" spans="1:5" x14ac:dyDescent="0.25">
      <c r="A226" s="17">
        <f ca="1">INDEX(Stations,INT((ROWS(A$2:A226)-1)/(DATE(YEAR(Invoer!$A$5),12,31)-DATE(YEAR(Invoer!$A$5),1,1)+1))+2,1)</f>
        <v>81</v>
      </c>
      <c r="B226" t="str">
        <f ca="1">TEXT(DATE(YEAR(Invoer!$A$5),1,1)+MOD(ROWS(B$2:B226)-1,DATE(YEAR(Invoer!$A$5),12,31)-DATE(YEAR(Invoer!$A$5),1,1)+1),"jjjjmmdd")</f>
        <v>19430813</v>
      </c>
      <c r="C226" s="18">
        <v>1</v>
      </c>
      <c r="D226" s="23">
        <f t="shared" ca="1" si="6"/>
        <v>0</v>
      </c>
      <c r="E226" s="24">
        <f t="shared" ca="1" si="7"/>
        <v>0</v>
      </c>
    </row>
    <row r="227" spans="1:5" x14ac:dyDescent="0.25">
      <c r="A227" s="17">
        <f ca="1">INDEX(Stations,INT((ROWS(A$2:A227)-1)/(DATE(YEAR(Invoer!$A$5),12,31)-DATE(YEAR(Invoer!$A$5),1,1)+1))+2,1)</f>
        <v>81</v>
      </c>
      <c r="B227" t="str">
        <f ca="1">TEXT(DATE(YEAR(Invoer!$A$5),1,1)+MOD(ROWS(B$2:B227)-1,DATE(YEAR(Invoer!$A$5),12,31)-DATE(YEAR(Invoer!$A$5),1,1)+1),"jjjjmmdd")</f>
        <v>19430814</v>
      </c>
      <c r="C227" s="18">
        <v>1</v>
      </c>
      <c r="D227" s="23">
        <f t="shared" ca="1" si="6"/>
        <v>0</v>
      </c>
      <c r="E227" s="24">
        <f t="shared" ca="1" si="7"/>
        <v>0</v>
      </c>
    </row>
    <row r="228" spans="1:5" x14ac:dyDescent="0.25">
      <c r="A228" s="17">
        <f ca="1">INDEX(Stations,INT((ROWS(A$2:A228)-1)/(DATE(YEAR(Invoer!$A$5),12,31)-DATE(YEAR(Invoer!$A$5),1,1)+1))+2,1)</f>
        <v>81</v>
      </c>
      <c r="B228" t="str">
        <f ca="1">TEXT(DATE(YEAR(Invoer!$A$5),1,1)+MOD(ROWS(B$2:B228)-1,DATE(YEAR(Invoer!$A$5),12,31)-DATE(YEAR(Invoer!$A$5),1,1)+1),"jjjjmmdd")</f>
        <v>19430815</v>
      </c>
      <c r="C228" s="18">
        <v>1</v>
      </c>
      <c r="D228" s="23">
        <f t="shared" ca="1" si="6"/>
        <v>200</v>
      </c>
      <c r="E228" s="24">
        <f t="shared" ca="1" si="7"/>
        <v>0</v>
      </c>
    </row>
    <row r="229" spans="1:5" x14ac:dyDescent="0.25">
      <c r="A229" s="17">
        <f ca="1">INDEX(Stations,INT((ROWS(A$2:A229)-1)/(DATE(YEAR(Invoer!$A$5),12,31)-DATE(YEAR(Invoer!$A$5),1,1)+1))+2,1)</f>
        <v>81</v>
      </c>
      <c r="B229" t="str">
        <f ca="1">TEXT(DATE(YEAR(Invoer!$A$5),1,1)+MOD(ROWS(B$2:B229)-1,DATE(YEAR(Invoer!$A$5),12,31)-DATE(YEAR(Invoer!$A$5),1,1)+1),"jjjjmmdd")</f>
        <v>19430816</v>
      </c>
      <c r="C229" s="18">
        <v>1</v>
      </c>
      <c r="D229" s="23">
        <f t="shared" ca="1" si="6"/>
        <v>0</v>
      </c>
      <c r="E229" s="24">
        <f t="shared" ca="1" si="7"/>
        <v>0</v>
      </c>
    </row>
    <row r="230" spans="1:5" x14ac:dyDescent="0.25">
      <c r="A230" s="17">
        <f ca="1">INDEX(Stations,INT((ROWS(A$2:A230)-1)/(DATE(YEAR(Invoer!$A$5),12,31)-DATE(YEAR(Invoer!$A$5),1,1)+1))+2,1)</f>
        <v>81</v>
      </c>
      <c r="B230" t="str">
        <f ca="1">TEXT(DATE(YEAR(Invoer!$A$5),1,1)+MOD(ROWS(B$2:B230)-1,DATE(YEAR(Invoer!$A$5),12,31)-DATE(YEAR(Invoer!$A$5),1,1)+1),"jjjjmmdd")</f>
        <v>19430817</v>
      </c>
      <c r="C230" s="18">
        <v>1</v>
      </c>
      <c r="D230" s="23">
        <f t="shared" ca="1" si="6"/>
        <v>260</v>
      </c>
      <c r="E230" s="24">
        <f t="shared" ca="1" si="7"/>
        <v>0</v>
      </c>
    </row>
    <row r="231" spans="1:5" x14ac:dyDescent="0.25">
      <c r="A231" s="17">
        <f ca="1">INDEX(Stations,INT((ROWS(A$2:A231)-1)/(DATE(YEAR(Invoer!$A$5),12,31)-DATE(YEAR(Invoer!$A$5),1,1)+1))+2,1)</f>
        <v>81</v>
      </c>
      <c r="B231" t="str">
        <f ca="1">TEXT(DATE(YEAR(Invoer!$A$5),1,1)+MOD(ROWS(B$2:B231)-1,DATE(YEAR(Invoer!$A$5),12,31)-DATE(YEAR(Invoer!$A$5),1,1)+1),"jjjjmmdd")</f>
        <v>19430818</v>
      </c>
      <c r="C231" s="18">
        <v>1</v>
      </c>
      <c r="D231" s="23">
        <f t="shared" ca="1" si="6"/>
        <v>0</v>
      </c>
      <c r="E231" s="24">
        <f t="shared" ca="1" si="7"/>
        <v>0</v>
      </c>
    </row>
    <row r="232" spans="1:5" x14ac:dyDescent="0.25">
      <c r="A232" s="17">
        <f ca="1">INDEX(Stations,INT((ROWS(A$2:A232)-1)/(DATE(YEAR(Invoer!$A$5),12,31)-DATE(YEAR(Invoer!$A$5),1,1)+1))+2,1)</f>
        <v>81</v>
      </c>
      <c r="B232" t="str">
        <f ca="1">TEXT(DATE(YEAR(Invoer!$A$5),1,1)+MOD(ROWS(B$2:B232)-1,DATE(YEAR(Invoer!$A$5),12,31)-DATE(YEAR(Invoer!$A$5),1,1)+1),"jjjjmmdd")</f>
        <v>19430819</v>
      </c>
      <c r="C232" s="18">
        <v>1</v>
      </c>
      <c r="D232" s="23">
        <f t="shared" ca="1" si="6"/>
        <v>0</v>
      </c>
      <c r="E232" s="24">
        <f t="shared" ca="1" si="7"/>
        <v>0</v>
      </c>
    </row>
    <row r="233" spans="1:5" x14ac:dyDescent="0.25">
      <c r="A233" s="17">
        <f ca="1">INDEX(Stations,INT((ROWS(A$2:A233)-1)/(DATE(YEAR(Invoer!$A$5),12,31)-DATE(YEAR(Invoer!$A$5),1,1)+1))+2,1)</f>
        <v>81</v>
      </c>
      <c r="B233" t="str">
        <f ca="1">TEXT(DATE(YEAR(Invoer!$A$5),1,1)+MOD(ROWS(B$2:B233)-1,DATE(YEAR(Invoer!$A$5),12,31)-DATE(YEAR(Invoer!$A$5),1,1)+1),"jjjjmmdd")</f>
        <v>19430820</v>
      </c>
      <c r="C233" s="18">
        <v>1</v>
      </c>
      <c r="D233" s="23">
        <f t="shared" ca="1" si="6"/>
        <v>0</v>
      </c>
      <c r="E233" s="24">
        <f t="shared" ca="1" si="7"/>
        <v>0</v>
      </c>
    </row>
    <row r="234" spans="1:5" x14ac:dyDescent="0.25">
      <c r="A234" s="17">
        <f ca="1">INDEX(Stations,INT((ROWS(A$2:A234)-1)/(DATE(YEAR(Invoer!$A$5),12,31)-DATE(YEAR(Invoer!$A$5),1,1)+1))+2,1)</f>
        <v>81</v>
      </c>
      <c r="B234" t="str">
        <f ca="1">TEXT(DATE(YEAR(Invoer!$A$5),1,1)+MOD(ROWS(B$2:B234)-1,DATE(YEAR(Invoer!$A$5),12,31)-DATE(YEAR(Invoer!$A$5),1,1)+1),"jjjjmmdd")</f>
        <v>19430821</v>
      </c>
      <c r="C234" s="18">
        <v>1</v>
      </c>
      <c r="D234" s="23">
        <f t="shared" ca="1" si="6"/>
        <v>0</v>
      </c>
      <c r="E234" s="24">
        <f t="shared" ca="1" si="7"/>
        <v>0</v>
      </c>
    </row>
    <row r="235" spans="1:5" x14ac:dyDescent="0.25">
      <c r="A235" s="17">
        <f ca="1">INDEX(Stations,INT((ROWS(A$2:A235)-1)/(DATE(YEAR(Invoer!$A$5),12,31)-DATE(YEAR(Invoer!$A$5),1,1)+1))+2,1)</f>
        <v>81</v>
      </c>
      <c r="B235" t="str">
        <f ca="1">TEXT(DATE(YEAR(Invoer!$A$5),1,1)+MOD(ROWS(B$2:B235)-1,DATE(YEAR(Invoer!$A$5),12,31)-DATE(YEAR(Invoer!$A$5),1,1)+1),"jjjjmmdd")</f>
        <v>19430822</v>
      </c>
      <c r="C235" s="18">
        <v>1</v>
      </c>
      <c r="D235" s="23">
        <f t="shared" ca="1" si="6"/>
        <v>0</v>
      </c>
      <c r="E235" s="24">
        <f t="shared" ca="1" si="7"/>
        <v>0</v>
      </c>
    </row>
    <row r="236" spans="1:5" x14ac:dyDescent="0.25">
      <c r="A236" s="17">
        <f ca="1">INDEX(Stations,INT((ROWS(A$2:A236)-1)/(DATE(YEAR(Invoer!$A$5),12,31)-DATE(YEAR(Invoer!$A$5),1,1)+1))+2,1)</f>
        <v>81</v>
      </c>
      <c r="B236" t="str">
        <f ca="1">TEXT(DATE(YEAR(Invoer!$A$5),1,1)+MOD(ROWS(B$2:B236)-1,DATE(YEAR(Invoer!$A$5),12,31)-DATE(YEAR(Invoer!$A$5),1,1)+1),"jjjjmmdd")</f>
        <v>19430823</v>
      </c>
      <c r="C236" s="18">
        <v>1</v>
      </c>
      <c r="D236" s="23">
        <f t="shared" ca="1" si="6"/>
        <v>0</v>
      </c>
      <c r="E236" s="24">
        <f t="shared" ca="1" si="7"/>
        <v>0</v>
      </c>
    </row>
    <row r="237" spans="1:5" x14ac:dyDescent="0.25">
      <c r="A237" s="17">
        <f ca="1">INDEX(Stations,INT((ROWS(A$2:A237)-1)/(DATE(YEAR(Invoer!$A$5),12,31)-DATE(YEAR(Invoer!$A$5),1,1)+1))+2,1)</f>
        <v>81</v>
      </c>
      <c r="B237" t="str">
        <f ca="1">TEXT(DATE(YEAR(Invoer!$A$5),1,1)+MOD(ROWS(B$2:B237)-1,DATE(YEAR(Invoer!$A$5),12,31)-DATE(YEAR(Invoer!$A$5),1,1)+1),"jjjjmmdd")</f>
        <v>19430824</v>
      </c>
      <c r="C237" s="18">
        <v>1</v>
      </c>
      <c r="D237" s="23">
        <f t="shared" ca="1" si="6"/>
        <v>0</v>
      </c>
      <c r="E237" s="24">
        <f t="shared" ca="1" si="7"/>
        <v>0</v>
      </c>
    </row>
    <row r="238" spans="1:5" x14ac:dyDescent="0.25">
      <c r="A238" s="17">
        <f ca="1">INDEX(Stations,INT((ROWS(A$2:A238)-1)/(DATE(YEAR(Invoer!$A$5),12,31)-DATE(YEAR(Invoer!$A$5),1,1)+1))+2,1)</f>
        <v>81</v>
      </c>
      <c r="B238" t="str">
        <f ca="1">TEXT(DATE(YEAR(Invoer!$A$5),1,1)+MOD(ROWS(B$2:B238)-1,DATE(YEAR(Invoer!$A$5),12,31)-DATE(YEAR(Invoer!$A$5),1,1)+1),"jjjjmmdd")</f>
        <v>19430825</v>
      </c>
      <c r="C238" s="18">
        <v>1</v>
      </c>
      <c r="D238" s="23">
        <f t="shared" ca="1" si="6"/>
        <v>0</v>
      </c>
      <c r="E238" s="24">
        <f t="shared" ca="1" si="7"/>
        <v>0</v>
      </c>
    </row>
    <row r="239" spans="1:5" x14ac:dyDescent="0.25">
      <c r="A239" s="17">
        <f ca="1">INDEX(Stations,INT((ROWS(A$2:A239)-1)/(DATE(YEAR(Invoer!$A$5),12,31)-DATE(YEAR(Invoer!$A$5),1,1)+1))+2,1)</f>
        <v>81</v>
      </c>
      <c r="B239" t="str">
        <f ca="1">TEXT(DATE(YEAR(Invoer!$A$5),1,1)+MOD(ROWS(B$2:B239)-1,DATE(YEAR(Invoer!$A$5),12,31)-DATE(YEAR(Invoer!$A$5),1,1)+1),"jjjjmmdd")</f>
        <v>19430826</v>
      </c>
      <c r="C239" s="18">
        <v>1</v>
      </c>
      <c r="D239" s="23">
        <f t="shared" ca="1" si="6"/>
        <v>145</v>
      </c>
      <c r="E239" s="24">
        <f t="shared" ca="1" si="7"/>
        <v>0</v>
      </c>
    </row>
    <row r="240" spans="1:5" x14ac:dyDescent="0.25">
      <c r="A240" s="17">
        <f ca="1">INDEX(Stations,INT((ROWS(A$2:A240)-1)/(DATE(YEAR(Invoer!$A$5),12,31)-DATE(YEAR(Invoer!$A$5),1,1)+1))+2,1)</f>
        <v>81</v>
      </c>
      <c r="B240" t="str">
        <f ca="1">TEXT(DATE(YEAR(Invoer!$A$5),1,1)+MOD(ROWS(B$2:B240)-1,DATE(YEAR(Invoer!$A$5),12,31)-DATE(YEAR(Invoer!$A$5),1,1)+1),"jjjjmmdd")</f>
        <v>19430827</v>
      </c>
      <c r="C240" s="18">
        <v>1</v>
      </c>
      <c r="D240" s="23">
        <f t="shared" ca="1" si="6"/>
        <v>0</v>
      </c>
      <c r="E240" s="24">
        <f t="shared" ca="1" si="7"/>
        <v>0</v>
      </c>
    </row>
    <row r="241" spans="1:5" x14ac:dyDescent="0.25">
      <c r="A241" s="17">
        <f ca="1">INDEX(Stations,INT((ROWS(A$2:A241)-1)/(DATE(YEAR(Invoer!$A$5),12,31)-DATE(YEAR(Invoer!$A$5),1,1)+1))+2,1)</f>
        <v>81</v>
      </c>
      <c r="B241" t="str">
        <f ca="1">TEXT(DATE(YEAR(Invoer!$A$5),1,1)+MOD(ROWS(B$2:B241)-1,DATE(YEAR(Invoer!$A$5),12,31)-DATE(YEAR(Invoer!$A$5),1,1)+1),"jjjjmmdd")</f>
        <v>19430828</v>
      </c>
      <c r="C241" s="18">
        <v>1</v>
      </c>
      <c r="D241" s="23">
        <f t="shared" ca="1" si="6"/>
        <v>0</v>
      </c>
      <c r="E241" s="24">
        <f t="shared" ca="1" si="7"/>
        <v>0</v>
      </c>
    </row>
    <row r="242" spans="1:5" x14ac:dyDescent="0.25">
      <c r="A242" s="17">
        <f ca="1">INDEX(Stations,INT((ROWS(A$2:A242)-1)/(DATE(YEAR(Invoer!$A$5),12,31)-DATE(YEAR(Invoer!$A$5),1,1)+1))+2,1)</f>
        <v>81</v>
      </c>
      <c r="B242" t="str">
        <f ca="1">TEXT(DATE(YEAR(Invoer!$A$5),1,1)+MOD(ROWS(B$2:B242)-1,DATE(YEAR(Invoer!$A$5),12,31)-DATE(YEAR(Invoer!$A$5),1,1)+1),"jjjjmmdd")</f>
        <v>19430829</v>
      </c>
      <c r="C242" s="18">
        <v>1</v>
      </c>
      <c r="D242" s="23">
        <f t="shared" ca="1" si="6"/>
        <v>0</v>
      </c>
      <c r="E242" s="24">
        <f t="shared" ca="1" si="7"/>
        <v>0</v>
      </c>
    </row>
    <row r="243" spans="1:5" x14ac:dyDescent="0.25">
      <c r="A243" s="17">
        <f ca="1">INDEX(Stations,INT((ROWS(A$2:A243)-1)/(DATE(YEAR(Invoer!$A$5),12,31)-DATE(YEAR(Invoer!$A$5),1,1)+1))+2,1)</f>
        <v>81</v>
      </c>
      <c r="B243" t="str">
        <f ca="1">TEXT(DATE(YEAR(Invoer!$A$5),1,1)+MOD(ROWS(B$2:B243)-1,DATE(YEAR(Invoer!$A$5),12,31)-DATE(YEAR(Invoer!$A$5),1,1)+1),"jjjjmmdd")</f>
        <v>19430830</v>
      </c>
      <c r="C243" s="18">
        <v>1</v>
      </c>
      <c r="D243" s="23">
        <f t="shared" ca="1" si="6"/>
        <v>0</v>
      </c>
      <c r="E243" s="24">
        <f t="shared" ca="1" si="7"/>
        <v>0</v>
      </c>
    </row>
    <row r="244" spans="1:5" x14ac:dyDescent="0.25">
      <c r="A244" s="17">
        <f ca="1">INDEX(Stations,INT((ROWS(A$2:A244)-1)/(DATE(YEAR(Invoer!$A$5),12,31)-DATE(YEAR(Invoer!$A$5),1,1)+1))+2,1)</f>
        <v>81</v>
      </c>
      <c r="B244" t="str">
        <f ca="1">TEXT(DATE(YEAR(Invoer!$A$5),1,1)+MOD(ROWS(B$2:B244)-1,DATE(YEAR(Invoer!$A$5),12,31)-DATE(YEAR(Invoer!$A$5),1,1)+1),"jjjjmmdd")</f>
        <v>19430831</v>
      </c>
      <c r="C244" s="18">
        <v>1</v>
      </c>
      <c r="D244" s="23">
        <f t="shared" ca="1" si="6"/>
        <v>0</v>
      </c>
      <c r="E244" s="24">
        <f t="shared" ca="1" si="7"/>
        <v>0</v>
      </c>
    </row>
    <row r="245" spans="1:5" x14ac:dyDescent="0.25">
      <c r="A245" s="17">
        <f ca="1">INDEX(Stations,INT((ROWS(A$2:A245)-1)/(DATE(YEAR(Invoer!$A$5),12,31)-DATE(YEAR(Invoer!$A$5),1,1)+1))+2,1)</f>
        <v>81</v>
      </c>
      <c r="B245" t="str">
        <f ca="1">TEXT(DATE(YEAR(Invoer!$A$5),1,1)+MOD(ROWS(B$2:B245)-1,DATE(YEAR(Invoer!$A$5),12,31)-DATE(YEAR(Invoer!$A$5),1,1)+1),"jjjjmmdd")</f>
        <v>19430901</v>
      </c>
      <c r="C245" s="18">
        <v>1</v>
      </c>
      <c r="D245" s="23" t="str">
        <f t="shared" ca="1" si="6"/>
        <v>—</v>
      </c>
      <c r="E245" s="24">
        <f t="shared" ca="1" si="7"/>
        <v>7</v>
      </c>
    </row>
    <row r="246" spans="1:5" x14ac:dyDescent="0.25">
      <c r="A246" s="17">
        <f ca="1">INDEX(Stations,INT((ROWS(A$2:A246)-1)/(DATE(YEAR(Invoer!$A$5),12,31)-DATE(YEAR(Invoer!$A$5),1,1)+1))+2,1)</f>
        <v>81</v>
      </c>
      <c r="B246" t="str">
        <f ca="1">TEXT(DATE(YEAR(Invoer!$A$5),1,1)+MOD(ROWS(B$2:B246)-1,DATE(YEAR(Invoer!$A$5),12,31)-DATE(YEAR(Invoer!$A$5),1,1)+1),"jjjjmmdd")</f>
        <v>19430902</v>
      </c>
      <c r="C246" s="18">
        <v>1</v>
      </c>
      <c r="D246" s="23" t="str">
        <f t="shared" ca="1" si="6"/>
        <v>—</v>
      </c>
      <c r="E246" s="24">
        <f t="shared" ca="1" si="7"/>
        <v>7</v>
      </c>
    </row>
    <row r="247" spans="1:5" x14ac:dyDescent="0.25">
      <c r="A247" s="17">
        <f ca="1">INDEX(Stations,INT((ROWS(A$2:A247)-1)/(DATE(YEAR(Invoer!$A$5),12,31)-DATE(YEAR(Invoer!$A$5),1,1)+1))+2,1)</f>
        <v>81</v>
      </c>
      <c r="B247" t="str">
        <f ca="1">TEXT(DATE(YEAR(Invoer!$A$5),1,1)+MOD(ROWS(B$2:B247)-1,DATE(YEAR(Invoer!$A$5),12,31)-DATE(YEAR(Invoer!$A$5),1,1)+1),"jjjjmmdd")</f>
        <v>19430903</v>
      </c>
      <c r="C247" s="18">
        <v>1</v>
      </c>
      <c r="D247" s="23" t="str">
        <f t="shared" ca="1" si="6"/>
        <v>—</v>
      </c>
      <c r="E247" s="24">
        <f t="shared" ca="1" si="7"/>
        <v>7</v>
      </c>
    </row>
    <row r="248" spans="1:5" x14ac:dyDescent="0.25">
      <c r="A248" s="17">
        <f ca="1">INDEX(Stations,INT((ROWS(A$2:A248)-1)/(DATE(YEAR(Invoer!$A$5),12,31)-DATE(YEAR(Invoer!$A$5),1,1)+1))+2,1)</f>
        <v>81</v>
      </c>
      <c r="B248" t="str">
        <f ca="1">TEXT(DATE(YEAR(Invoer!$A$5),1,1)+MOD(ROWS(B$2:B248)-1,DATE(YEAR(Invoer!$A$5),12,31)-DATE(YEAR(Invoer!$A$5),1,1)+1),"jjjjmmdd")</f>
        <v>19430904</v>
      </c>
      <c r="C248" s="18">
        <v>1</v>
      </c>
      <c r="D248" s="23" t="str">
        <f t="shared" ca="1" si="6"/>
        <v>—</v>
      </c>
      <c r="E248" s="24">
        <f t="shared" ca="1" si="7"/>
        <v>7</v>
      </c>
    </row>
    <row r="249" spans="1:5" x14ac:dyDescent="0.25">
      <c r="A249" s="17">
        <f ca="1">INDEX(Stations,INT((ROWS(A$2:A249)-1)/(DATE(YEAR(Invoer!$A$5),12,31)-DATE(YEAR(Invoer!$A$5),1,1)+1))+2,1)</f>
        <v>81</v>
      </c>
      <c r="B249" t="str">
        <f ca="1">TEXT(DATE(YEAR(Invoer!$A$5),1,1)+MOD(ROWS(B$2:B249)-1,DATE(YEAR(Invoer!$A$5),12,31)-DATE(YEAR(Invoer!$A$5),1,1)+1),"jjjjmmdd")</f>
        <v>19430905</v>
      </c>
      <c r="C249" s="18">
        <v>1</v>
      </c>
      <c r="D249" s="23" t="str">
        <f t="shared" ca="1" si="6"/>
        <v>—</v>
      </c>
      <c r="E249" s="24">
        <f t="shared" ca="1" si="7"/>
        <v>7</v>
      </c>
    </row>
    <row r="250" spans="1:5" x14ac:dyDescent="0.25">
      <c r="A250" s="17">
        <f ca="1">INDEX(Stations,INT((ROWS(A$2:A250)-1)/(DATE(YEAR(Invoer!$A$5),12,31)-DATE(YEAR(Invoer!$A$5),1,1)+1))+2,1)</f>
        <v>81</v>
      </c>
      <c r="B250" t="str">
        <f ca="1">TEXT(DATE(YEAR(Invoer!$A$5),1,1)+MOD(ROWS(B$2:B250)-1,DATE(YEAR(Invoer!$A$5),12,31)-DATE(YEAR(Invoer!$A$5),1,1)+1),"jjjjmmdd")</f>
        <v>19430906</v>
      </c>
      <c r="C250" s="18">
        <v>1</v>
      </c>
      <c r="D250" s="23" t="str">
        <f t="shared" ca="1" si="6"/>
        <v>—</v>
      </c>
      <c r="E250" s="24">
        <f t="shared" ca="1" si="7"/>
        <v>7</v>
      </c>
    </row>
    <row r="251" spans="1:5" x14ac:dyDescent="0.25">
      <c r="A251" s="17">
        <f ca="1">INDEX(Stations,INT((ROWS(A$2:A251)-1)/(DATE(YEAR(Invoer!$A$5),12,31)-DATE(YEAR(Invoer!$A$5),1,1)+1))+2,1)</f>
        <v>81</v>
      </c>
      <c r="B251" t="str">
        <f ca="1">TEXT(DATE(YEAR(Invoer!$A$5),1,1)+MOD(ROWS(B$2:B251)-1,DATE(YEAR(Invoer!$A$5),12,31)-DATE(YEAR(Invoer!$A$5),1,1)+1),"jjjjmmdd")</f>
        <v>19430907</v>
      </c>
      <c r="C251" s="18">
        <v>1</v>
      </c>
      <c r="D251" s="23" t="str">
        <f t="shared" ca="1" si="6"/>
        <v>—</v>
      </c>
      <c r="E251" s="24">
        <f t="shared" ca="1" si="7"/>
        <v>7</v>
      </c>
    </row>
    <row r="252" spans="1:5" x14ac:dyDescent="0.25">
      <c r="A252" s="17">
        <f ca="1">INDEX(Stations,INT((ROWS(A$2:A252)-1)/(DATE(YEAR(Invoer!$A$5),12,31)-DATE(YEAR(Invoer!$A$5),1,1)+1))+2,1)</f>
        <v>81</v>
      </c>
      <c r="B252" t="str">
        <f ca="1">TEXT(DATE(YEAR(Invoer!$A$5),1,1)+MOD(ROWS(B$2:B252)-1,DATE(YEAR(Invoer!$A$5),12,31)-DATE(YEAR(Invoer!$A$5),1,1)+1),"jjjjmmdd")</f>
        <v>19430908</v>
      </c>
      <c r="C252" s="18">
        <v>1</v>
      </c>
      <c r="D252" s="23" t="str">
        <f t="shared" ca="1" si="6"/>
        <v>—</v>
      </c>
      <c r="E252" s="24">
        <f t="shared" ca="1" si="7"/>
        <v>7</v>
      </c>
    </row>
    <row r="253" spans="1:5" x14ac:dyDescent="0.25">
      <c r="A253" s="17">
        <f ca="1">INDEX(Stations,INT((ROWS(A$2:A253)-1)/(DATE(YEAR(Invoer!$A$5),12,31)-DATE(YEAR(Invoer!$A$5),1,1)+1))+2,1)</f>
        <v>81</v>
      </c>
      <c r="B253" t="str">
        <f ca="1">TEXT(DATE(YEAR(Invoer!$A$5),1,1)+MOD(ROWS(B$2:B253)-1,DATE(YEAR(Invoer!$A$5),12,31)-DATE(YEAR(Invoer!$A$5),1,1)+1),"jjjjmmdd")</f>
        <v>19430909</v>
      </c>
      <c r="C253" s="18">
        <v>1</v>
      </c>
      <c r="D253" s="23" t="str">
        <f t="shared" ca="1" si="6"/>
        <v>—</v>
      </c>
      <c r="E253" s="24">
        <f t="shared" ca="1" si="7"/>
        <v>7</v>
      </c>
    </row>
    <row r="254" spans="1:5" x14ac:dyDescent="0.25">
      <c r="A254" s="17">
        <f ca="1">INDEX(Stations,INT((ROWS(A$2:A254)-1)/(DATE(YEAR(Invoer!$A$5),12,31)-DATE(YEAR(Invoer!$A$5),1,1)+1))+2,1)</f>
        <v>81</v>
      </c>
      <c r="B254" t="str">
        <f ca="1">TEXT(DATE(YEAR(Invoer!$A$5),1,1)+MOD(ROWS(B$2:B254)-1,DATE(YEAR(Invoer!$A$5),12,31)-DATE(YEAR(Invoer!$A$5),1,1)+1),"jjjjmmdd")</f>
        <v>19430910</v>
      </c>
      <c r="C254" s="18">
        <v>1</v>
      </c>
      <c r="D254" s="23" t="str">
        <f t="shared" ca="1" si="6"/>
        <v>—</v>
      </c>
      <c r="E254" s="24">
        <f t="shared" ca="1" si="7"/>
        <v>7</v>
      </c>
    </row>
    <row r="255" spans="1:5" x14ac:dyDescent="0.25">
      <c r="A255" s="17">
        <f ca="1">INDEX(Stations,INT((ROWS(A$2:A255)-1)/(DATE(YEAR(Invoer!$A$5),12,31)-DATE(YEAR(Invoer!$A$5),1,1)+1))+2,1)</f>
        <v>81</v>
      </c>
      <c r="B255" t="str">
        <f ca="1">TEXT(DATE(YEAR(Invoer!$A$5),1,1)+MOD(ROWS(B$2:B255)-1,DATE(YEAR(Invoer!$A$5),12,31)-DATE(YEAR(Invoer!$A$5),1,1)+1),"jjjjmmdd")</f>
        <v>19430911</v>
      </c>
      <c r="C255" s="18">
        <v>1</v>
      </c>
      <c r="D255" s="23" t="str">
        <f t="shared" ca="1" si="6"/>
        <v>—</v>
      </c>
      <c r="E255" s="24">
        <f t="shared" ca="1" si="7"/>
        <v>7</v>
      </c>
    </row>
    <row r="256" spans="1:5" x14ac:dyDescent="0.25">
      <c r="A256" s="17">
        <f ca="1">INDEX(Stations,INT((ROWS(A$2:A256)-1)/(DATE(YEAR(Invoer!$A$5),12,31)-DATE(YEAR(Invoer!$A$5),1,1)+1))+2,1)</f>
        <v>81</v>
      </c>
      <c r="B256" t="str">
        <f ca="1">TEXT(DATE(YEAR(Invoer!$A$5),1,1)+MOD(ROWS(B$2:B256)-1,DATE(YEAR(Invoer!$A$5),12,31)-DATE(YEAR(Invoer!$A$5),1,1)+1),"jjjjmmdd")</f>
        <v>19430912</v>
      </c>
      <c r="C256" s="18">
        <v>1</v>
      </c>
      <c r="D256" s="23" t="str">
        <f t="shared" ca="1" si="6"/>
        <v>—</v>
      </c>
      <c r="E256" s="24">
        <f t="shared" ca="1" si="7"/>
        <v>7</v>
      </c>
    </row>
    <row r="257" spans="1:5" x14ac:dyDescent="0.25">
      <c r="A257" s="17">
        <f ca="1">INDEX(Stations,INT((ROWS(A$2:A257)-1)/(DATE(YEAR(Invoer!$A$5),12,31)-DATE(YEAR(Invoer!$A$5),1,1)+1))+2,1)</f>
        <v>81</v>
      </c>
      <c r="B257" t="str">
        <f ca="1">TEXT(DATE(YEAR(Invoer!$A$5),1,1)+MOD(ROWS(B$2:B257)-1,DATE(YEAR(Invoer!$A$5),12,31)-DATE(YEAR(Invoer!$A$5),1,1)+1),"jjjjmmdd")</f>
        <v>19430913</v>
      </c>
      <c r="C257" s="18">
        <v>1</v>
      </c>
      <c r="D257" s="23" t="str">
        <f t="shared" ca="1" si="6"/>
        <v>—</v>
      </c>
      <c r="E257" s="24">
        <f t="shared" ca="1" si="7"/>
        <v>7</v>
      </c>
    </row>
    <row r="258" spans="1:5" x14ac:dyDescent="0.25">
      <c r="A258" s="17">
        <f ca="1">INDEX(Stations,INT((ROWS(A$2:A258)-1)/(DATE(YEAR(Invoer!$A$5),12,31)-DATE(YEAR(Invoer!$A$5),1,1)+1))+2,1)</f>
        <v>81</v>
      </c>
      <c r="B258" t="str">
        <f ca="1">TEXT(DATE(YEAR(Invoer!$A$5),1,1)+MOD(ROWS(B$2:B258)-1,DATE(YEAR(Invoer!$A$5),12,31)-DATE(YEAR(Invoer!$A$5),1,1)+1),"jjjjmmdd")</f>
        <v>19430914</v>
      </c>
      <c r="C258" s="18">
        <v>1</v>
      </c>
      <c r="D258" s="23" t="str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—</v>
      </c>
      <c r="E258" s="24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7</v>
      </c>
    </row>
    <row r="259" spans="1:5" x14ac:dyDescent="0.25">
      <c r="A259" s="17">
        <f ca="1">INDEX(Stations,INT((ROWS(A$2:A259)-1)/(DATE(YEAR(Invoer!$A$5),12,31)-DATE(YEAR(Invoer!$A$5),1,1)+1))+2,1)</f>
        <v>81</v>
      </c>
      <c r="B259" t="str">
        <f ca="1">TEXT(DATE(YEAR(Invoer!$A$5),1,1)+MOD(ROWS(B$2:B259)-1,DATE(YEAR(Invoer!$A$5),12,31)-DATE(YEAR(Invoer!$A$5),1,1)+1),"jjjjmmdd")</f>
        <v>19430915</v>
      </c>
      <c r="C259" s="18">
        <v>1</v>
      </c>
      <c r="D259" s="23" t="str">
        <f t="shared" ca="1" si="8"/>
        <v>—</v>
      </c>
      <c r="E259" s="24">
        <f t="shared" ca="1" si="9"/>
        <v>7</v>
      </c>
    </row>
    <row r="260" spans="1:5" x14ac:dyDescent="0.25">
      <c r="A260" s="17">
        <f ca="1">INDEX(Stations,INT((ROWS(A$2:A260)-1)/(DATE(YEAR(Invoer!$A$5),12,31)-DATE(YEAR(Invoer!$A$5),1,1)+1))+2,1)</f>
        <v>81</v>
      </c>
      <c r="B260" t="str">
        <f ca="1">TEXT(DATE(YEAR(Invoer!$A$5),1,1)+MOD(ROWS(B$2:B260)-1,DATE(YEAR(Invoer!$A$5),12,31)-DATE(YEAR(Invoer!$A$5),1,1)+1),"jjjjmmdd")</f>
        <v>19430916</v>
      </c>
      <c r="C260" s="18">
        <v>1</v>
      </c>
      <c r="D260" s="23" t="str">
        <f t="shared" ca="1" si="8"/>
        <v>—</v>
      </c>
      <c r="E260" s="24">
        <f t="shared" ca="1" si="9"/>
        <v>7</v>
      </c>
    </row>
    <row r="261" spans="1:5" x14ac:dyDescent="0.25">
      <c r="A261" s="17">
        <f ca="1">INDEX(Stations,INT((ROWS(A$2:A261)-1)/(DATE(YEAR(Invoer!$A$5),12,31)-DATE(YEAR(Invoer!$A$5),1,1)+1))+2,1)</f>
        <v>81</v>
      </c>
      <c r="B261" t="str">
        <f ca="1">TEXT(DATE(YEAR(Invoer!$A$5),1,1)+MOD(ROWS(B$2:B261)-1,DATE(YEAR(Invoer!$A$5),12,31)-DATE(YEAR(Invoer!$A$5),1,1)+1),"jjjjmmdd")</f>
        <v>19430917</v>
      </c>
      <c r="C261" s="18">
        <v>1</v>
      </c>
      <c r="D261" s="23" t="str">
        <f t="shared" ca="1" si="8"/>
        <v>—</v>
      </c>
      <c r="E261" s="24">
        <f t="shared" ca="1" si="9"/>
        <v>7</v>
      </c>
    </row>
    <row r="262" spans="1:5" x14ac:dyDescent="0.25">
      <c r="A262" s="17">
        <f ca="1">INDEX(Stations,INT((ROWS(A$2:A262)-1)/(DATE(YEAR(Invoer!$A$5),12,31)-DATE(YEAR(Invoer!$A$5),1,1)+1))+2,1)</f>
        <v>81</v>
      </c>
      <c r="B262" t="str">
        <f ca="1">TEXT(DATE(YEAR(Invoer!$A$5),1,1)+MOD(ROWS(B$2:B262)-1,DATE(YEAR(Invoer!$A$5),12,31)-DATE(YEAR(Invoer!$A$5),1,1)+1),"jjjjmmdd")</f>
        <v>19430918</v>
      </c>
      <c r="C262" s="18">
        <v>1</v>
      </c>
      <c r="D262" s="23" t="str">
        <f t="shared" ca="1" si="8"/>
        <v>—</v>
      </c>
      <c r="E262" s="24">
        <f t="shared" ca="1" si="9"/>
        <v>7</v>
      </c>
    </row>
    <row r="263" spans="1:5" x14ac:dyDescent="0.25">
      <c r="A263" s="17">
        <f ca="1">INDEX(Stations,INT((ROWS(A$2:A263)-1)/(DATE(YEAR(Invoer!$A$5),12,31)-DATE(YEAR(Invoer!$A$5),1,1)+1))+2,1)</f>
        <v>81</v>
      </c>
      <c r="B263" t="str">
        <f ca="1">TEXT(DATE(YEAR(Invoer!$A$5),1,1)+MOD(ROWS(B$2:B263)-1,DATE(YEAR(Invoer!$A$5),12,31)-DATE(YEAR(Invoer!$A$5),1,1)+1),"jjjjmmdd")</f>
        <v>19430919</v>
      </c>
      <c r="C263" s="18">
        <v>1</v>
      </c>
      <c r="D263" s="23" t="str">
        <f t="shared" ca="1" si="8"/>
        <v>—</v>
      </c>
      <c r="E263" s="24">
        <f t="shared" ca="1" si="9"/>
        <v>7</v>
      </c>
    </row>
    <row r="264" spans="1:5" x14ac:dyDescent="0.25">
      <c r="A264" s="17">
        <f ca="1">INDEX(Stations,INT((ROWS(A$2:A264)-1)/(DATE(YEAR(Invoer!$A$5),12,31)-DATE(YEAR(Invoer!$A$5),1,1)+1))+2,1)</f>
        <v>81</v>
      </c>
      <c r="B264" t="str">
        <f ca="1">TEXT(DATE(YEAR(Invoer!$A$5),1,1)+MOD(ROWS(B$2:B264)-1,DATE(YEAR(Invoer!$A$5),12,31)-DATE(YEAR(Invoer!$A$5),1,1)+1),"jjjjmmdd")</f>
        <v>19430920</v>
      </c>
      <c r="C264" s="18">
        <v>1</v>
      </c>
      <c r="D264" s="23" t="str">
        <f t="shared" ca="1" si="8"/>
        <v>—</v>
      </c>
      <c r="E264" s="24">
        <f t="shared" ca="1" si="9"/>
        <v>7</v>
      </c>
    </row>
    <row r="265" spans="1:5" x14ac:dyDescent="0.25">
      <c r="A265" s="17">
        <f ca="1">INDEX(Stations,INT((ROWS(A$2:A265)-1)/(DATE(YEAR(Invoer!$A$5),12,31)-DATE(YEAR(Invoer!$A$5),1,1)+1))+2,1)</f>
        <v>81</v>
      </c>
      <c r="B265" t="str">
        <f ca="1">TEXT(DATE(YEAR(Invoer!$A$5),1,1)+MOD(ROWS(B$2:B265)-1,DATE(YEAR(Invoer!$A$5),12,31)-DATE(YEAR(Invoer!$A$5),1,1)+1),"jjjjmmdd")</f>
        <v>19430921</v>
      </c>
      <c r="C265" s="18">
        <v>1</v>
      </c>
      <c r="D265" s="23" t="str">
        <f t="shared" ca="1" si="8"/>
        <v>—</v>
      </c>
      <c r="E265" s="24">
        <f t="shared" ca="1" si="9"/>
        <v>7</v>
      </c>
    </row>
    <row r="266" spans="1:5" x14ac:dyDescent="0.25">
      <c r="A266" s="17">
        <f ca="1">INDEX(Stations,INT((ROWS(A$2:A266)-1)/(DATE(YEAR(Invoer!$A$5),12,31)-DATE(YEAR(Invoer!$A$5),1,1)+1))+2,1)</f>
        <v>81</v>
      </c>
      <c r="B266" t="str">
        <f ca="1">TEXT(DATE(YEAR(Invoer!$A$5),1,1)+MOD(ROWS(B$2:B266)-1,DATE(YEAR(Invoer!$A$5),12,31)-DATE(YEAR(Invoer!$A$5),1,1)+1),"jjjjmmdd")</f>
        <v>19430922</v>
      </c>
      <c r="C266" s="18">
        <v>1</v>
      </c>
      <c r="D266" s="23" t="str">
        <f t="shared" ca="1" si="8"/>
        <v>—</v>
      </c>
      <c r="E266" s="24">
        <f t="shared" ca="1" si="9"/>
        <v>7</v>
      </c>
    </row>
    <row r="267" spans="1:5" x14ac:dyDescent="0.25">
      <c r="A267" s="17">
        <f ca="1">INDEX(Stations,INT((ROWS(A$2:A267)-1)/(DATE(YEAR(Invoer!$A$5),12,31)-DATE(YEAR(Invoer!$A$5),1,1)+1))+2,1)</f>
        <v>81</v>
      </c>
      <c r="B267" t="str">
        <f ca="1">TEXT(DATE(YEAR(Invoer!$A$5),1,1)+MOD(ROWS(B$2:B267)-1,DATE(YEAR(Invoer!$A$5),12,31)-DATE(YEAR(Invoer!$A$5),1,1)+1),"jjjjmmdd")</f>
        <v>19430923</v>
      </c>
      <c r="C267" s="18">
        <v>1</v>
      </c>
      <c r="D267" s="23" t="str">
        <f t="shared" ca="1" si="8"/>
        <v>—</v>
      </c>
      <c r="E267" s="24">
        <f t="shared" ca="1" si="9"/>
        <v>7</v>
      </c>
    </row>
    <row r="268" spans="1:5" x14ac:dyDescent="0.25">
      <c r="A268" s="17">
        <f ca="1">INDEX(Stations,INT((ROWS(A$2:A268)-1)/(DATE(YEAR(Invoer!$A$5),12,31)-DATE(YEAR(Invoer!$A$5),1,1)+1))+2,1)</f>
        <v>81</v>
      </c>
      <c r="B268" t="str">
        <f ca="1">TEXT(DATE(YEAR(Invoer!$A$5),1,1)+MOD(ROWS(B$2:B268)-1,DATE(YEAR(Invoer!$A$5),12,31)-DATE(YEAR(Invoer!$A$5),1,1)+1),"jjjjmmdd")</f>
        <v>19430924</v>
      </c>
      <c r="C268" s="18">
        <v>1</v>
      </c>
      <c r="D268" s="23" t="str">
        <f t="shared" ca="1" si="8"/>
        <v>—</v>
      </c>
      <c r="E268" s="24">
        <f t="shared" ca="1" si="9"/>
        <v>7</v>
      </c>
    </row>
    <row r="269" spans="1:5" x14ac:dyDescent="0.25">
      <c r="A269" s="17">
        <f ca="1">INDEX(Stations,INT((ROWS(A$2:A269)-1)/(DATE(YEAR(Invoer!$A$5),12,31)-DATE(YEAR(Invoer!$A$5),1,1)+1))+2,1)</f>
        <v>81</v>
      </c>
      <c r="B269" t="str">
        <f ca="1">TEXT(DATE(YEAR(Invoer!$A$5),1,1)+MOD(ROWS(B$2:B269)-1,DATE(YEAR(Invoer!$A$5),12,31)-DATE(YEAR(Invoer!$A$5),1,1)+1),"jjjjmmdd")</f>
        <v>19430925</v>
      </c>
      <c r="C269" s="18">
        <v>1</v>
      </c>
      <c r="D269" s="23" t="str">
        <f t="shared" ca="1" si="8"/>
        <v>—</v>
      </c>
      <c r="E269" s="24">
        <f t="shared" ca="1" si="9"/>
        <v>7</v>
      </c>
    </row>
    <row r="270" spans="1:5" x14ac:dyDescent="0.25">
      <c r="A270" s="17">
        <f ca="1">INDEX(Stations,INT((ROWS(A$2:A270)-1)/(DATE(YEAR(Invoer!$A$5),12,31)-DATE(YEAR(Invoer!$A$5),1,1)+1))+2,1)</f>
        <v>81</v>
      </c>
      <c r="B270" t="str">
        <f ca="1">TEXT(DATE(YEAR(Invoer!$A$5),1,1)+MOD(ROWS(B$2:B270)-1,DATE(YEAR(Invoer!$A$5),12,31)-DATE(YEAR(Invoer!$A$5),1,1)+1),"jjjjmmdd")</f>
        <v>19430926</v>
      </c>
      <c r="C270" s="18">
        <v>1</v>
      </c>
      <c r="D270" s="23" t="str">
        <f t="shared" ca="1" si="8"/>
        <v>—</v>
      </c>
      <c r="E270" s="24">
        <f t="shared" ca="1" si="9"/>
        <v>7</v>
      </c>
    </row>
    <row r="271" spans="1:5" x14ac:dyDescent="0.25">
      <c r="A271" s="17">
        <f ca="1">INDEX(Stations,INT((ROWS(A$2:A271)-1)/(DATE(YEAR(Invoer!$A$5),12,31)-DATE(YEAR(Invoer!$A$5),1,1)+1))+2,1)</f>
        <v>81</v>
      </c>
      <c r="B271" t="str">
        <f ca="1">TEXT(DATE(YEAR(Invoer!$A$5),1,1)+MOD(ROWS(B$2:B271)-1,DATE(YEAR(Invoer!$A$5),12,31)-DATE(YEAR(Invoer!$A$5),1,1)+1),"jjjjmmdd")</f>
        <v>19430927</v>
      </c>
      <c r="C271" s="18">
        <v>1</v>
      </c>
      <c r="D271" s="23" t="str">
        <f t="shared" ca="1" si="8"/>
        <v>—</v>
      </c>
      <c r="E271" s="24">
        <f t="shared" ca="1" si="9"/>
        <v>7</v>
      </c>
    </row>
    <row r="272" spans="1:5" x14ac:dyDescent="0.25">
      <c r="A272" s="17">
        <f ca="1">INDEX(Stations,INT((ROWS(A$2:A272)-1)/(DATE(YEAR(Invoer!$A$5),12,31)-DATE(YEAR(Invoer!$A$5),1,1)+1))+2,1)</f>
        <v>81</v>
      </c>
      <c r="B272" t="str">
        <f ca="1">TEXT(DATE(YEAR(Invoer!$A$5),1,1)+MOD(ROWS(B$2:B272)-1,DATE(YEAR(Invoer!$A$5),12,31)-DATE(YEAR(Invoer!$A$5),1,1)+1),"jjjjmmdd")</f>
        <v>19430928</v>
      </c>
      <c r="C272" s="18">
        <v>1</v>
      </c>
      <c r="D272" s="23" t="str">
        <f t="shared" ca="1" si="8"/>
        <v>—</v>
      </c>
      <c r="E272" s="24">
        <f t="shared" ca="1" si="9"/>
        <v>7</v>
      </c>
    </row>
    <row r="273" spans="1:5" x14ac:dyDescent="0.25">
      <c r="A273" s="17">
        <f ca="1">INDEX(Stations,INT((ROWS(A$2:A273)-1)/(DATE(YEAR(Invoer!$A$5),12,31)-DATE(YEAR(Invoer!$A$5),1,1)+1))+2,1)</f>
        <v>81</v>
      </c>
      <c r="B273" t="str">
        <f ca="1">TEXT(DATE(YEAR(Invoer!$A$5),1,1)+MOD(ROWS(B$2:B273)-1,DATE(YEAR(Invoer!$A$5),12,31)-DATE(YEAR(Invoer!$A$5),1,1)+1),"jjjjmmdd")</f>
        <v>19430929</v>
      </c>
      <c r="C273" s="18">
        <v>1</v>
      </c>
      <c r="D273" s="23" t="str">
        <f t="shared" ca="1" si="8"/>
        <v>—</v>
      </c>
      <c r="E273" s="24">
        <f t="shared" ca="1" si="9"/>
        <v>7</v>
      </c>
    </row>
    <row r="274" spans="1:5" x14ac:dyDescent="0.25">
      <c r="A274" s="17">
        <f ca="1">INDEX(Stations,INT((ROWS(A$2:A274)-1)/(DATE(YEAR(Invoer!$A$5),12,31)-DATE(YEAR(Invoer!$A$5),1,1)+1))+2,1)</f>
        <v>81</v>
      </c>
      <c r="B274" t="str">
        <f ca="1">TEXT(DATE(YEAR(Invoer!$A$5),1,1)+MOD(ROWS(B$2:B274)-1,DATE(YEAR(Invoer!$A$5),12,31)-DATE(YEAR(Invoer!$A$5),1,1)+1),"jjjjmmdd")</f>
        <v>19430930</v>
      </c>
      <c r="C274" s="18">
        <v>1</v>
      </c>
      <c r="D274" s="23" t="str">
        <f t="shared" ca="1" si="8"/>
        <v>—</v>
      </c>
      <c r="E274" s="24">
        <f t="shared" ca="1" si="9"/>
        <v>7</v>
      </c>
    </row>
    <row r="275" spans="1:5" x14ac:dyDescent="0.25">
      <c r="A275" s="17">
        <f ca="1">INDEX(Stations,INT((ROWS(A$2:A275)-1)/(DATE(YEAR(Invoer!$A$5),12,31)-DATE(YEAR(Invoer!$A$5),1,1)+1))+2,1)</f>
        <v>81</v>
      </c>
      <c r="B275" t="str">
        <f ca="1">TEXT(DATE(YEAR(Invoer!$A$5),1,1)+MOD(ROWS(B$2:B275)-1,DATE(YEAR(Invoer!$A$5),12,31)-DATE(YEAR(Invoer!$A$5),1,1)+1),"jjjjmmdd")</f>
        <v>19431001</v>
      </c>
      <c r="C275" s="18">
        <v>1</v>
      </c>
      <c r="D275" s="23" t="str">
        <f t="shared" ca="1" si="8"/>
        <v>—</v>
      </c>
      <c r="E275" s="24">
        <f t="shared" ca="1" si="9"/>
        <v>7</v>
      </c>
    </row>
    <row r="276" spans="1:5" x14ac:dyDescent="0.25">
      <c r="A276" s="17">
        <f ca="1">INDEX(Stations,INT((ROWS(A$2:A276)-1)/(DATE(YEAR(Invoer!$A$5),12,31)-DATE(YEAR(Invoer!$A$5),1,1)+1))+2,1)</f>
        <v>81</v>
      </c>
      <c r="B276" t="str">
        <f ca="1">TEXT(DATE(YEAR(Invoer!$A$5),1,1)+MOD(ROWS(B$2:B276)-1,DATE(YEAR(Invoer!$A$5),12,31)-DATE(YEAR(Invoer!$A$5),1,1)+1),"jjjjmmdd")</f>
        <v>19431002</v>
      </c>
      <c r="C276" s="18">
        <v>1</v>
      </c>
      <c r="D276" s="23" t="str">
        <f t="shared" ca="1" si="8"/>
        <v>—</v>
      </c>
      <c r="E276" s="24">
        <f t="shared" ca="1" si="9"/>
        <v>7</v>
      </c>
    </row>
    <row r="277" spans="1:5" x14ac:dyDescent="0.25">
      <c r="A277" s="17">
        <f ca="1">INDEX(Stations,INT((ROWS(A$2:A277)-1)/(DATE(YEAR(Invoer!$A$5),12,31)-DATE(YEAR(Invoer!$A$5),1,1)+1))+2,1)</f>
        <v>81</v>
      </c>
      <c r="B277" t="str">
        <f ca="1">TEXT(DATE(YEAR(Invoer!$A$5),1,1)+MOD(ROWS(B$2:B277)-1,DATE(YEAR(Invoer!$A$5),12,31)-DATE(YEAR(Invoer!$A$5),1,1)+1),"jjjjmmdd")</f>
        <v>19431003</v>
      </c>
      <c r="C277" s="18">
        <v>1</v>
      </c>
      <c r="D277" s="23" t="str">
        <f t="shared" ca="1" si="8"/>
        <v>—</v>
      </c>
      <c r="E277" s="24">
        <f t="shared" ca="1" si="9"/>
        <v>7</v>
      </c>
    </row>
    <row r="278" spans="1:5" x14ac:dyDescent="0.25">
      <c r="A278" s="17">
        <f ca="1">INDEX(Stations,INT((ROWS(A$2:A278)-1)/(DATE(YEAR(Invoer!$A$5),12,31)-DATE(YEAR(Invoer!$A$5),1,1)+1))+2,1)</f>
        <v>81</v>
      </c>
      <c r="B278" t="str">
        <f ca="1">TEXT(DATE(YEAR(Invoer!$A$5),1,1)+MOD(ROWS(B$2:B278)-1,DATE(YEAR(Invoer!$A$5),12,31)-DATE(YEAR(Invoer!$A$5),1,1)+1),"jjjjmmdd")</f>
        <v>19431004</v>
      </c>
      <c r="C278" s="18">
        <v>1</v>
      </c>
      <c r="D278" s="23" t="str">
        <f t="shared" ca="1" si="8"/>
        <v>—</v>
      </c>
      <c r="E278" s="24">
        <f t="shared" ca="1" si="9"/>
        <v>7</v>
      </c>
    </row>
    <row r="279" spans="1:5" x14ac:dyDescent="0.25">
      <c r="A279" s="17">
        <f ca="1">INDEX(Stations,INT((ROWS(A$2:A279)-1)/(DATE(YEAR(Invoer!$A$5),12,31)-DATE(YEAR(Invoer!$A$5),1,1)+1))+2,1)</f>
        <v>81</v>
      </c>
      <c r="B279" t="str">
        <f ca="1">TEXT(DATE(YEAR(Invoer!$A$5),1,1)+MOD(ROWS(B$2:B279)-1,DATE(YEAR(Invoer!$A$5),12,31)-DATE(YEAR(Invoer!$A$5),1,1)+1),"jjjjmmdd")</f>
        <v>19431005</v>
      </c>
      <c r="C279" s="18">
        <v>1</v>
      </c>
      <c r="D279" s="23" t="str">
        <f t="shared" ca="1" si="8"/>
        <v>—</v>
      </c>
      <c r="E279" s="24">
        <f t="shared" ca="1" si="9"/>
        <v>7</v>
      </c>
    </row>
    <row r="280" spans="1:5" x14ac:dyDescent="0.25">
      <c r="A280" s="17">
        <f ca="1">INDEX(Stations,INT((ROWS(A$2:A280)-1)/(DATE(YEAR(Invoer!$A$5),12,31)-DATE(YEAR(Invoer!$A$5),1,1)+1))+2,1)</f>
        <v>81</v>
      </c>
      <c r="B280" t="str">
        <f ca="1">TEXT(DATE(YEAR(Invoer!$A$5),1,1)+MOD(ROWS(B$2:B280)-1,DATE(YEAR(Invoer!$A$5),12,31)-DATE(YEAR(Invoer!$A$5),1,1)+1),"jjjjmmdd")</f>
        <v>19431006</v>
      </c>
      <c r="C280" s="18">
        <v>1</v>
      </c>
      <c r="D280" s="23" t="str">
        <f t="shared" ca="1" si="8"/>
        <v>—</v>
      </c>
      <c r="E280" s="24">
        <f t="shared" ca="1" si="9"/>
        <v>7</v>
      </c>
    </row>
    <row r="281" spans="1:5" x14ac:dyDescent="0.25">
      <c r="A281" s="17">
        <f ca="1">INDEX(Stations,INT((ROWS(A$2:A281)-1)/(DATE(YEAR(Invoer!$A$5),12,31)-DATE(YEAR(Invoer!$A$5),1,1)+1))+2,1)</f>
        <v>81</v>
      </c>
      <c r="B281" t="str">
        <f ca="1">TEXT(DATE(YEAR(Invoer!$A$5),1,1)+MOD(ROWS(B$2:B281)-1,DATE(YEAR(Invoer!$A$5),12,31)-DATE(YEAR(Invoer!$A$5),1,1)+1),"jjjjmmdd")</f>
        <v>19431007</v>
      </c>
      <c r="C281" s="18">
        <v>1</v>
      </c>
      <c r="D281" s="23" t="str">
        <f t="shared" ca="1" si="8"/>
        <v>—</v>
      </c>
      <c r="E281" s="24">
        <f t="shared" ca="1" si="9"/>
        <v>7</v>
      </c>
    </row>
    <row r="282" spans="1:5" x14ac:dyDescent="0.25">
      <c r="A282" s="17">
        <f ca="1">INDEX(Stations,INT((ROWS(A$2:A282)-1)/(DATE(YEAR(Invoer!$A$5),12,31)-DATE(YEAR(Invoer!$A$5),1,1)+1))+2,1)</f>
        <v>81</v>
      </c>
      <c r="B282" t="str">
        <f ca="1">TEXT(DATE(YEAR(Invoer!$A$5),1,1)+MOD(ROWS(B$2:B282)-1,DATE(YEAR(Invoer!$A$5),12,31)-DATE(YEAR(Invoer!$A$5),1,1)+1),"jjjjmmdd")</f>
        <v>19431008</v>
      </c>
      <c r="C282" s="18">
        <v>1</v>
      </c>
      <c r="D282" s="23" t="str">
        <f t="shared" ca="1" si="8"/>
        <v>—</v>
      </c>
      <c r="E282" s="24">
        <f t="shared" ca="1" si="9"/>
        <v>7</v>
      </c>
    </row>
    <row r="283" spans="1:5" x14ac:dyDescent="0.25">
      <c r="A283" s="17">
        <f ca="1">INDEX(Stations,INT((ROWS(A$2:A283)-1)/(DATE(YEAR(Invoer!$A$5),12,31)-DATE(YEAR(Invoer!$A$5),1,1)+1))+2,1)</f>
        <v>81</v>
      </c>
      <c r="B283" t="str">
        <f ca="1">TEXT(DATE(YEAR(Invoer!$A$5),1,1)+MOD(ROWS(B$2:B283)-1,DATE(YEAR(Invoer!$A$5),12,31)-DATE(YEAR(Invoer!$A$5),1,1)+1),"jjjjmmdd")</f>
        <v>19431009</v>
      </c>
      <c r="C283" s="18">
        <v>1</v>
      </c>
      <c r="D283" s="23" t="str">
        <f t="shared" ca="1" si="8"/>
        <v>—</v>
      </c>
      <c r="E283" s="24">
        <f t="shared" ca="1" si="9"/>
        <v>7</v>
      </c>
    </row>
    <row r="284" spans="1:5" x14ac:dyDescent="0.25">
      <c r="A284" s="17">
        <f ca="1">INDEX(Stations,INT((ROWS(A$2:A284)-1)/(DATE(YEAR(Invoer!$A$5),12,31)-DATE(YEAR(Invoer!$A$5),1,1)+1))+2,1)</f>
        <v>81</v>
      </c>
      <c r="B284" t="str">
        <f ca="1">TEXT(DATE(YEAR(Invoer!$A$5),1,1)+MOD(ROWS(B$2:B284)-1,DATE(YEAR(Invoer!$A$5),12,31)-DATE(YEAR(Invoer!$A$5),1,1)+1),"jjjjmmdd")</f>
        <v>19431010</v>
      </c>
      <c r="C284" s="18">
        <v>1</v>
      </c>
      <c r="D284" s="23" t="str">
        <f t="shared" ca="1" si="8"/>
        <v>—</v>
      </c>
      <c r="E284" s="24">
        <f t="shared" ca="1" si="9"/>
        <v>7</v>
      </c>
    </row>
    <row r="285" spans="1:5" x14ac:dyDescent="0.25">
      <c r="A285" s="17">
        <f ca="1">INDEX(Stations,INT((ROWS(A$2:A285)-1)/(DATE(YEAR(Invoer!$A$5),12,31)-DATE(YEAR(Invoer!$A$5),1,1)+1))+2,1)</f>
        <v>81</v>
      </c>
      <c r="B285" t="str">
        <f ca="1">TEXT(DATE(YEAR(Invoer!$A$5),1,1)+MOD(ROWS(B$2:B285)-1,DATE(YEAR(Invoer!$A$5),12,31)-DATE(YEAR(Invoer!$A$5),1,1)+1),"jjjjmmdd")</f>
        <v>19431011</v>
      </c>
      <c r="C285" s="18">
        <v>1</v>
      </c>
      <c r="D285" s="23" t="str">
        <f t="shared" ca="1" si="8"/>
        <v>—</v>
      </c>
      <c r="E285" s="24">
        <f t="shared" ca="1" si="9"/>
        <v>7</v>
      </c>
    </row>
    <row r="286" spans="1:5" x14ac:dyDescent="0.25">
      <c r="A286" s="17">
        <f ca="1">INDEX(Stations,INT((ROWS(A$2:A286)-1)/(DATE(YEAR(Invoer!$A$5),12,31)-DATE(YEAR(Invoer!$A$5),1,1)+1))+2,1)</f>
        <v>81</v>
      </c>
      <c r="B286" t="str">
        <f ca="1">TEXT(DATE(YEAR(Invoer!$A$5),1,1)+MOD(ROWS(B$2:B286)-1,DATE(YEAR(Invoer!$A$5),12,31)-DATE(YEAR(Invoer!$A$5),1,1)+1),"jjjjmmdd")</f>
        <v>19431012</v>
      </c>
      <c r="C286" s="18">
        <v>1</v>
      </c>
      <c r="D286" s="23" t="str">
        <f t="shared" ca="1" si="8"/>
        <v>—</v>
      </c>
      <c r="E286" s="24">
        <f t="shared" ca="1" si="9"/>
        <v>7</v>
      </c>
    </row>
    <row r="287" spans="1:5" x14ac:dyDescent="0.25">
      <c r="A287" s="17">
        <f ca="1">INDEX(Stations,INT((ROWS(A$2:A287)-1)/(DATE(YEAR(Invoer!$A$5),12,31)-DATE(YEAR(Invoer!$A$5),1,1)+1))+2,1)</f>
        <v>81</v>
      </c>
      <c r="B287" t="str">
        <f ca="1">TEXT(DATE(YEAR(Invoer!$A$5),1,1)+MOD(ROWS(B$2:B287)-1,DATE(YEAR(Invoer!$A$5),12,31)-DATE(YEAR(Invoer!$A$5),1,1)+1),"jjjjmmdd")</f>
        <v>19431013</v>
      </c>
      <c r="C287" s="18">
        <v>1</v>
      </c>
      <c r="D287" s="23" t="str">
        <f t="shared" ca="1" si="8"/>
        <v>—</v>
      </c>
      <c r="E287" s="24">
        <f t="shared" ca="1" si="9"/>
        <v>7</v>
      </c>
    </row>
    <row r="288" spans="1:5" x14ac:dyDescent="0.25">
      <c r="A288" s="17">
        <f ca="1">INDEX(Stations,INT((ROWS(A$2:A288)-1)/(DATE(YEAR(Invoer!$A$5),12,31)-DATE(YEAR(Invoer!$A$5),1,1)+1))+2,1)</f>
        <v>81</v>
      </c>
      <c r="B288" t="str">
        <f ca="1">TEXT(DATE(YEAR(Invoer!$A$5),1,1)+MOD(ROWS(B$2:B288)-1,DATE(YEAR(Invoer!$A$5),12,31)-DATE(YEAR(Invoer!$A$5),1,1)+1),"jjjjmmdd")</f>
        <v>19431014</v>
      </c>
      <c r="C288" s="18">
        <v>1</v>
      </c>
      <c r="D288" s="23" t="str">
        <f t="shared" ca="1" si="8"/>
        <v>—</v>
      </c>
      <c r="E288" s="24">
        <f t="shared" ca="1" si="9"/>
        <v>7</v>
      </c>
    </row>
    <row r="289" spans="1:5" x14ac:dyDescent="0.25">
      <c r="A289" s="17">
        <f ca="1">INDEX(Stations,INT((ROWS(A$2:A289)-1)/(DATE(YEAR(Invoer!$A$5),12,31)-DATE(YEAR(Invoer!$A$5),1,1)+1))+2,1)</f>
        <v>81</v>
      </c>
      <c r="B289" t="str">
        <f ca="1">TEXT(DATE(YEAR(Invoer!$A$5),1,1)+MOD(ROWS(B$2:B289)-1,DATE(YEAR(Invoer!$A$5),12,31)-DATE(YEAR(Invoer!$A$5),1,1)+1),"jjjjmmdd")</f>
        <v>19431015</v>
      </c>
      <c r="C289" s="18">
        <v>1</v>
      </c>
      <c r="D289" s="23" t="str">
        <f t="shared" ca="1" si="8"/>
        <v>—</v>
      </c>
      <c r="E289" s="24">
        <f t="shared" ca="1" si="9"/>
        <v>7</v>
      </c>
    </row>
    <row r="290" spans="1:5" x14ac:dyDescent="0.25">
      <c r="A290" s="17">
        <f ca="1">INDEX(Stations,INT((ROWS(A$2:A290)-1)/(DATE(YEAR(Invoer!$A$5),12,31)-DATE(YEAR(Invoer!$A$5),1,1)+1))+2,1)</f>
        <v>81</v>
      </c>
      <c r="B290" t="str">
        <f ca="1">TEXT(DATE(YEAR(Invoer!$A$5),1,1)+MOD(ROWS(B$2:B290)-1,DATE(YEAR(Invoer!$A$5),12,31)-DATE(YEAR(Invoer!$A$5),1,1)+1),"jjjjmmdd")</f>
        <v>19431016</v>
      </c>
      <c r="C290" s="18">
        <v>1</v>
      </c>
      <c r="D290" s="23" t="str">
        <f t="shared" ca="1" si="8"/>
        <v>—</v>
      </c>
      <c r="E290" s="24">
        <f t="shared" ca="1" si="9"/>
        <v>7</v>
      </c>
    </row>
    <row r="291" spans="1:5" x14ac:dyDescent="0.25">
      <c r="A291" s="17">
        <f ca="1">INDEX(Stations,INT((ROWS(A$2:A291)-1)/(DATE(YEAR(Invoer!$A$5),12,31)-DATE(YEAR(Invoer!$A$5),1,1)+1))+2,1)</f>
        <v>81</v>
      </c>
      <c r="B291" t="str">
        <f ca="1">TEXT(DATE(YEAR(Invoer!$A$5),1,1)+MOD(ROWS(B$2:B291)-1,DATE(YEAR(Invoer!$A$5),12,31)-DATE(YEAR(Invoer!$A$5),1,1)+1),"jjjjmmdd")</f>
        <v>19431017</v>
      </c>
      <c r="C291" s="18">
        <v>1</v>
      </c>
      <c r="D291" s="23" t="str">
        <f t="shared" ca="1" si="8"/>
        <v>—</v>
      </c>
      <c r="E291" s="24">
        <f t="shared" ca="1" si="9"/>
        <v>7</v>
      </c>
    </row>
    <row r="292" spans="1:5" x14ac:dyDescent="0.25">
      <c r="A292" s="17">
        <f ca="1">INDEX(Stations,INT((ROWS(A$2:A292)-1)/(DATE(YEAR(Invoer!$A$5),12,31)-DATE(YEAR(Invoer!$A$5),1,1)+1))+2,1)</f>
        <v>81</v>
      </c>
      <c r="B292" t="str">
        <f ca="1">TEXT(DATE(YEAR(Invoer!$A$5),1,1)+MOD(ROWS(B$2:B292)-1,DATE(YEAR(Invoer!$A$5),12,31)-DATE(YEAR(Invoer!$A$5),1,1)+1),"jjjjmmdd")</f>
        <v>19431018</v>
      </c>
      <c r="C292" s="18">
        <v>1</v>
      </c>
      <c r="D292" s="23" t="str">
        <f t="shared" ca="1" si="8"/>
        <v>—</v>
      </c>
      <c r="E292" s="24">
        <f t="shared" ca="1" si="9"/>
        <v>7</v>
      </c>
    </row>
    <row r="293" spans="1:5" x14ac:dyDescent="0.25">
      <c r="A293" s="17">
        <f ca="1">INDEX(Stations,INT((ROWS(A$2:A293)-1)/(DATE(YEAR(Invoer!$A$5),12,31)-DATE(YEAR(Invoer!$A$5),1,1)+1))+2,1)</f>
        <v>81</v>
      </c>
      <c r="B293" t="str">
        <f ca="1">TEXT(DATE(YEAR(Invoer!$A$5),1,1)+MOD(ROWS(B$2:B293)-1,DATE(YEAR(Invoer!$A$5),12,31)-DATE(YEAR(Invoer!$A$5),1,1)+1),"jjjjmmdd")</f>
        <v>19431019</v>
      </c>
      <c r="C293" s="18">
        <v>1</v>
      </c>
      <c r="D293" s="23" t="str">
        <f t="shared" ca="1" si="8"/>
        <v>—</v>
      </c>
      <c r="E293" s="24">
        <f t="shared" ca="1" si="9"/>
        <v>7</v>
      </c>
    </row>
    <row r="294" spans="1:5" x14ac:dyDescent="0.25">
      <c r="A294" s="17">
        <f ca="1">INDEX(Stations,INT((ROWS(A$2:A294)-1)/(DATE(YEAR(Invoer!$A$5),12,31)-DATE(YEAR(Invoer!$A$5),1,1)+1))+2,1)</f>
        <v>81</v>
      </c>
      <c r="B294" t="str">
        <f ca="1">TEXT(DATE(YEAR(Invoer!$A$5),1,1)+MOD(ROWS(B$2:B294)-1,DATE(YEAR(Invoer!$A$5),12,31)-DATE(YEAR(Invoer!$A$5),1,1)+1),"jjjjmmdd")</f>
        <v>19431020</v>
      </c>
      <c r="C294" s="18">
        <v>1</v>
      </c>
      <c r="D294" s="23" t="str">
        <f t="shared" ca="1" si="8"/>
        <v>—</v>
      </c>
      <c r="E294" s="24">
        <f t="shared" ca="1" si="9"/>
        <v>7</v>
      </c>
    </row>
    <row r="295" spans="1:5" x14ac:dyDescent="0.25">
      <c r="A295" s="17">
        <f ca="1">INDEX(Stations,INT((ROWS(A$2:A295)-1)/(DATE(YEAR(Invoer!$A$5),12,31)-DATE(YEAR(Invoer!$A$5),1,1)+1))+2,1)</f>
        <v>81</v>
      </c>
      <c r="B295" t="str">
        <f ca="1">TEXT(DATE(YEAR(Invoer!$A$5),1,1)+MOD(ROWS(B$2:B295)-1,DATE(YEAR(Invoer!$A$5),12,31)-DATE(YEAR(Invoer!$A$5),1,1)+1),"jjjjmmdd")</f>
        <v>19431021</v>
      </c>
      <c r="C295" s="18">
        <v>1</v>
      </c>
      <c r="D295" s="23" t="str">
        <f t="shared" ca="1" si="8"/>
        <v>—</v>
      </c>
      <c r="E295" s="24">
        <f t="shared" ca="1" si="9"/>
        <v>7</v>
      </c>
    </row>
    <row r="296" spans="1:5" x14ac:dyDescent="0.25">
      <c r="A296" s="17">
        <f ca="1">INDEX(Stations,INT((ROWS(A$2:A296)-1)/(DATE(YEAR(Invoer!$A$5),12,31)-DATE(YEAR(Invoer!$A$5),1,1)+1))+2,1)</f>
        <v>81</v>
      </c>
      <c r="B296" t="str">
        <f ca="1">TEXT(DATE(YEAR(Invoer!$A$5),1,1)+MOD(ROWS(B$2:B296)-1,DATE(YEAR(Invoer!$A$5),12,31)-DATE(YEAR(Invoer!$A$5),1,1)+1),"jjjjmmdd")</f>
        <v>19431022</v>
      </c>
      <c r="C296" s="18">
        <v>1</v>
      </c>
      <c r="D296" s="23" t="str">
        <f t="shared" ca="1" si="8"/>
        <v>—</v>
      </c>
      <c r="E296" s="24">
        <f t="shared" ca="1" si="9"/>
        <v>7</v>
      </c>
    </row>
    <row r="297" spans="1:5" x14ac:dyDescent="0.25">
      <c r="A297" s="17">
        <f ca="1">INDEX(Stations,INT((ROWS(A$2:A297)-1)/(DATE(YEAR(Invoer!$A$5),12,31)-DATE(YEAR(Invoer!$A$5),1,1)+1))+2,1)</f>
        <v>81</v>
      </c>
      <c r="B297" t="str">
        <f ca="1">TEXT(DATE(YEAR(Invoer!$A$5),1,1)+MOD(ROWS(B$2:B297)-1,DATE(YEAR(Invoer!$A$5),12,31)-DATE(YEAR(Invoer!$A$5),1,1)+1),"jjjjmmdd")</f>
        <v>19431023</v>
      </c>
      <c r="C297" s="18">
        <v>1</v>
      </c>
      <c r="D297" s="23" t="str">
        <f t="shared" ca="1" si="8"/>
        <v>—</v>
      </c>
      <c r="E297" s="24">
        <f t="shared" ca="1" si="9"/>
        <v>7</v>
      </c>
    </row>
    <row r="298" spans="1:5" x14ac:dyDescent="0.25">
      <c r="A298" s="17">
        <f ca="1">INDEX(Stations,INT((ROWS(A$2:A298)-1)/(DATE(YEAR(Invoer!$A$5),12,31)-DATE(YEAR(Invoer!$A$5),1,1)+1))+2,1)</f>
        <v>81</v>
      </c>
      <c r="B298" t="str">
        <f ca="1">TEXT(DATE(YEAR(Invoer!$A$5),1,1)+MOD(ROWS(B$2:B298)-1,DATE(YEAR(Invoer!$A$5),12,31)-DATE(YEAR(Invoer!$A$5),1,1)+1),"jjjjmmdd")</f>
        <v>19431024</v>
      </c>
      <c r="C298" s="18">
        <v>1</v>
      </c>
      <c r="D298" s="23" t="str">
        <f t="shared" ca="1" si="8"/>
        <v>—</v>
      </c>
      <c r="E298" s="24">
        <f t="shared" ca="1" si="9"/>
        <v>7</v>
      </c>
    </row>
    <row r="299" spans="1:5" x14ac:dyDescent="0.25">
      <c r="A299" s="17">
        <f ca="1">INDEX(Stations,INT((ROWS(A$2:A299)-1)/(DATE(YEAR(Invoer!$A$5),12,31)-DATE(YEAR(Invoer!$A$5),1,1)+1))+2,1)</f>
        <v>81</v>
      </c>
      <c r="B299" t="str">
        <f ca="1">TEXT(DATE(YEAR(Invoer!$A$5),1,1)+MOD(ROWS(B$2:B299)-1,DATE(YEAR(Invoer!$A$5),12,31)-DATE(YEAR(Invoer!$A$5),1,1)+1),"jjjjmmdd")</f>
        <v>19431025</v>
      </c>
      <c r="C299" s="18">
        <v>1</v>
      </c>
      <c r="D299" s="23" t="str">
        <f t="shared" ca="1" si="8"/>
        <v>—</v>
      </c>
      <c r="E299" s="24">
        <f t="shared" ca="1" si="9"/>
        <v>7</v>
      </c>
    </row>
    <row r="300" spans="1:5" x14ac:dyDescent="0.25">
      <c r="A300" s="17">
        <f ca="1">INDEX(Stations,INT((ROWS(A$2:A300)-1)/(DATE(YEAR(Invoer!$A$5),12,31)-DATE(YEAR(Invoer!$A$5),1,1)+1))+2,1)</f>
        <v>81</v>
      </c>
      <c r="B300" t="str">
        <f ca="1">TEXT(DATE(YEAR(Invoer!$A$5),1,1)+MOD(ROWS(B$2:B300)-1,DATE(YEAR(Invoer!$A$5),12,31)-DATE(YEAR(Invoer!$A$5),1,1)+1),"jjjjmmdd")</f>
        <v>19431026</v>
      </c>
      <c r="C300" s="18">
        <v>1</v>
      </c>
      <c r="D300" s="23" t="str">
        <f t="shared" ca="1" si="8"/>
        <v>—</v>
      </c>
      <c r="E300" s="24">
        <f t="shared" ca="1" si="9"/>
        <v>7</v>
      </c>
    </row>
    <row r="301" spans="1:5" x14ac:dyDescent="0.25">
      <c r="A301" s="17">
        <f ca="1">INDEX(Stations,INT((ROWS(A$2:A301)-1)/(DATE(YEAR(Invoer!$A$5),12,31)-DATE(YEAR(Invoer!$A$5),1,1)+1))+2,1)</f>
        <v>81</v>
      </c>
      <c r="B301" t="str">
        <f ca="1">TEXT(DATE(YEAR(Invoer!$A$5),1,1)+MOD(ROWS(B$2:B301)-1,DATE(YEAR(Invoer!$A$5),12,31)-DATE(YEAR(Invoer!$A$5),1,1)+1),"jjjjmmdd")</f>
        <v>19431027</v>
      </c>
      <c r="C301" s="18">
        <v>1</v>
      </c>
      <c r="D301" s="23" t="str">
        <f t="shared" ca="1" si="8"/>
        <v>—</v>
      </c>
      <c r="E301" s="24">
        <f t="shared" ca="1" si="9"/>
        <v>7</v>
      </c>
    </row>
    <row r="302" spans="1:5" x14ac:dyDescent="0.25">
      <c r="A302" s="17">
        <f ca="1">INDEX(Stations,INT((ROWS(A$2:A302)-1)/(DATE(YEAR(Invoer!$A$5),12,31)-DATE(YEAR(Invoer!$A$5),1,1)+1))+2,1)</f>
        <v>81</v>
      </c>
      <c r="B302" t="str">
        <f ca="1">TEXT(DATE(YEAR(Invoer!$A$5),1,1)+MOD(ROWS(B$2:B302)-1,DATE(YEAR(Invoer!$A$5),12,31)-DATE(YEAR(Invoer!$A$5),1,1)+1),"jjjjmmdd")</f>
        <v>19431028</v>
      </c>
      <c r="C302" s="18">
        <v>1</v>
      </c>
      <c r="D302" s="23" t="str">
        <f t="shared" ca="1" si="8"/>
        <v>—</v>
      </c>
      <c r="E302" s="24">
        <f t="shared" ca="1" si="9"/>
        <v>7</v>
      </c>
    </row>
    <row r="303" spans="1:5" x14ac:dyDescent="0.25">
      <c r="A303" s="17">
        <f ca="1">INDEX(Stations,INT((ROWS(A$2:A303)-1)/(DATE(YEAR(Invoer!$A$5),12,31)-DATE(YEAR(Invoer!$A$5),1,1)+1))+2,1)</f>
        <v>81</v>
      </c>
      <c r="B303" t="str">
        <f ca="1">TEXT(DATE(YEAR(Invoer!$A$5),1,1)+MOD(ROWS(B$2:B303)-1,DATE(YEAR(Invoer!$A$5),12,31)-DATE(YEAR(Invoer!$A$5),1,1)+1),"jjjjmmdd")</f>
        <v>19431029</v>
      </c>
      <c r="C303" s="18">
        <v>1</v>
      </c>
      <c r="D303" s="23" t="str">
        <f t="shared" ca="1" si="8"/>
        <v>—</v>
      </c>
      <c r="E303" s="24">
        <f t="shared" ca="1" si="9"/>
        <v>7</v>
      </c>
    </row>
    <row r="304" spans="1:5" x14ac:dyDescent="0.25">
      <c r="A304" s="17">
        <f ca="1">INDEX(Stations,INT((ROWS(A$2:A304)-1)/(DATE(YEAR(Invoer!$A$5),12,31)-DATE(YEAR(Invoer!$A$5),1,1)+1))+2,1)</f>
        <v>81</v>
      </c>
      <c r="B304" t="str">
        <f ca="1">TEXT(DATE(YEAR(Invoer!$A$5),1,1)+MOD(ROWS(B$2:B304)-1,DATE(YEAR(Invoer!$A$5),12,31)-DATE(YEAR(Invoer!$A$5),1,1)+1),"jjjjmmdd")</f>
        <v>19431030</v>
      </c>
      <c r="C304" s="18">
        <v>1</v>
      </c>
      <c r="D304" s="23" t="str">
        <f t="shared" ca="1" si="8"/>
        <v>—</v>
      </c>
      <c r="E304" s="24">
        <f t="shared" ca="1" si="9"/>
        <v>7</v>
      </c>
    </row>
    <row r="305" spans="1:5" x14ac:dyDescent="0.25">
      <c r="A305" s="17">
        <f ca="1">INDEX(Stations,INT((ROWS(A$2:A305)-1)/(DATE(YEAR(Invoer!$A$5),12,31)-DATE(YEAR(Invoer!$A$5),1,1)+1))+2,1)</f>
        <v>81</v>
      </c>
      <c r="B305" t="str">
        <f ca="1">TEXT(DATE(YEAR(Invoer!$A$5),1,1)+MOD(ROWS(B$2:B305)-1,DATE(YEAR(Invoer!$A$5),12,31)-DATE(YEAR(Invoer!$A$5),1,1)+1),"jjjjmmdd")</f>
        <v>19431031</v>
      </c>
      <c r="C305" s="18">
        <v>1</v>
      </c>
      <c r="D305" s="23" t="str">
        <f t="shared" ca="1" si="8"/>
        <v>—</v>
      </c>
      <c r="E305" s="24">
        <f t="shared" ca="1" si="9"/>
        <v>7</v>
      </c>
    </row>
    <row r="306" spans="1:5" x14ac:dyDescent="0.25">
      <c r="A306" s="17">
        <f ca="1">INDEX(Stations,INT((ROWS(A$2:A306)-1)/(DATE(YEAR(Invoer!$A$5),12,31)-DATE(YEAR(Invoer!$A$5),1,1)+1))+2,1)</f>
        <v>81</v>
      </c>
      <c r="B306" t="str">
        <f ca="1">TEXT(DATE(YEAR(Invoer!$A$5),1,1)+MOD(ROWS(B$2:B306)-1,DATE(YEAR(Invoer!$A$5),12,31)-DATE(YEAR(Invoer!$A$5),1,1)+1),"jjjjmmdd")</f>
        <v>19431101</v>
      </c>
      <c r="C306" s="18">
        <v>1</v>
      </c>
      <c r="D306" s="23" t="str">
        <f t="shared" ca="1" si="8"/>
        <v>—</v>
      </c>
      <c r="E306" s="24">
        <f t="shared" ca="1" si="9"/>
        <v>7</v>
      </c>
    </row>
    <row r="307" spans="1:5" x14ac:dyDescent="0.25">
      <c r="A307" s="17">
        <f ca="1">INDEX(Stations,INT((ROWS(A$2:A307)-1)/(DATE(YEAR(Invoer!$A$5),12,31)-DATE(YEAR(Invoer!$A$5),1,1)+1))+2,1)</f>
        <v>81</v>
      </c>
      <c r="B307" t="str">
        <f ca="1">TEXT(DATE(YEAR(Invoer!$A$5),1,1)+MOD(ROWS(B$2:B307)-1,DATE(YEAR(Invoer!$A$5),12,31)-DATE(YEAR(Invoer!$A$5),1,1)+1),"jjjjmmdd")</f>
        <v>19431102</v>
      </c>
      <c r="C307" s="18">
        <v>1</v>
      </c>
      <c r="D307" s="23" t="str">
        <f t="shared" ca="1" si="8"/>
        <v>—</v>
      </c>
      <c r="E307" s="24">
        <f t="shared" ca="1" si="9"/>
        <v>7</v>
      </c>
    </row>
    <row r="308" spans="1:5" x14ac:dyDescent="0.25">
      <c r="A308" s="17">
        <f ca="1">INDEX(Stations,INT((ROWS(A$2:A308)-1)/(DATE(YEAR(Invoer!$A$5),12,31)-DATE(YEAR(Invoer!$A$5),1,1)+1))+2,1)</f>
        <v>81</v>
      </c>
      <c r="B308" t="str">
        <f ca="1">TEXT(DATE(YEAR(Invoer!$A$5),1,1)+MOD(ROWS(B$2:B308)-1,DATE(YEAR(Invoer!$A$5),12,31)-DATE(YEAR(Invoer!$A$5),1,1)+1),"jjjjmmdd")</f>
        <v>19431103</v>
      </c>
      <c r="C308" s="18">
        <v>1</v>
      </c>
      <c r="D308" s="23" t="str">
        <f t="shared" ca="1" si="8"/>
        <v>—</v>
      </c>
      <c r="E308" s="24">
        <f t="shared" ca="1" si="9"/>
        <v>7</v>
      </c>
    </row>
    <row r="309" spans="1:5" x14ac:dyDescent="0.25">
      <c r="A309" s="17">
        <f ca="1">INDEX(Stations,INT((ROWS(A$2:A309)-1)/(DATE(YEAR(Invoer!$A$5),12,31)-DATE(YEAR(Invoer!$A$5),1,1)+1))+2,1)</f>
        <v>81</v>
      </c>
      <c r="B309" t="str">
        <f ca="1">TEXT(DATE(YEAR(Invoer!$A$5),1,1)+MOD(ROWS(B$2:B309)-1,DATE(YEAR(Invoer!$A$5),12,31)-DATE(YEAR(Invoer!$A$5),1,1)+1),"jjjjmmdd")</f>
        <v>19431104</v>
      </c>
      <c r="C309" s="18">
        <v>1</v>
      </c>
      <c r="D309" s="23" t="str">
        <f t="shared" ca="1" si="8"/>
        <v>—</v>
      </c>
      <c r="E309" s="24">
        <f t="shared" ca="1" si="9"/>
        <v>7</v>
      </c>
    </row>
    <row r="310" spans="1:5" x14ac:dyDescent="0.25">
      <c r="A310" s="17">
        <f ca="1">INDEX(Stations,INT((ROWS(A$2:A310)-1)/(DATE(YEAR(Invoer!$A$5),12,31)-DATE(YEAR(Invoer!$A$5),1,1)+1))+2,1)</f>
        <v>81</v>
      </c>
      <c r="B310" t="str">
        <f ca="1">TEXT(DATE(YEAR(Invoer!$A$5),1,1)+MOD(ROWS(B$2:B310)-1,DATE(YEAR(Invoer!$A$5),12,31)-DATE(YEAR(Invoer!$A$5),1,1)+1),"jjjjmmdd")</f>
        <v>19431105</v>
      </c>
      <c r="C310" s="18">
        <v>1</v>
      </c>
      <c r="D310" s="23" t="str">
        <f t="shared" ca="1" si="8"/>
        <v>—</v>
      </c>
      <c r="E310" s="24">
        <f t="shared" ca="1" si="9"/>
        <v>7</v>
      </c>
    </row>
    <row r="311" spans="1:5" x14ac:dyDescent="0.25">
      <c r="A311" s="17">
        <f ca="1">INDEX(Stations,INT((ROWS(A$2:A311)-1)/(DATE(YEAR(Invoer!$A$5),12,31)-DATE(YEAR(Invoer!$A$5),1,1)+1))+2,1)</f>
        <v>81</v>
      </c>
      <c r="B311" t="str">
        <f ca="1">TEXT(DATE(YEAR(Invoer!$A$5),1,1)+MOD(ROWS(B$2:B311)-1,DATE(YEAR(Invoer!$A$5),12,31)-DATE(YEAR(Invoer!$A$5),1,1)+1),"jjjjmmdd")</f>
        <v>19431106</v>
      </c>
      <c r="C311" s="18">
        <v>1</v>
      </c>
      <c r="D311" s="23" t="str">
        <f t="shared" ca="1" si="8"/>
        <v>—</v>
      </c>
      <c r="E311" s="24">
        <f t="shared" ca="1" si="9"/>
        <v>7</v>
      </c>
    </row>
    <row r="312" spans="1:5" x14ac:dyDescent="0.25">
      <c r="A312" s="17">
        <f ca="1">INDEX(Stations,INT((ROWS(A$2:A312)-1)/(DATE(YEAR(Invoer!$A$5),12,31)-DATE(YEAR(Invoer!$A$5),1,1)+1))+2,1)</f>
        <v>81</v>
      </c>
      <c r="B312" t="str">
        <f ca="1">TEXT(DATE(YEAR(Invoer!$A$5),1,1)+MOD(ROWS(B$2:B312)-1,DATE(YEAR(Invoer!$A$5),12,31)-DATE(YEAR(Invoer!$A$5),1,1)+1),"jjjjmmdd")</f>
        <v>19431107</v>
      </c>
      <c r="C312" s="18">
        <v>1</v>
      </c>
      <c r="D312" s="23" t="str">
        <f t="shared" ca="1" si="8"/>
        <v>—</v>
      </c>
      <c r="E312" s="24">
        <f t="shared" ca="1" si="9"/>
        <v>7</v>
      </c>
    </row>
    <row r="313" spans="1:5" x14ac:dyDescent="0.25">
      <c r="A313" s="17">
        <f ca="1">INDEX(Stations,INT((ROWS(A$2:A313)-1)/(DATE(YEAR(Invoer!$A$5),12,31)-DATE(YEAR(Invoer!$A$5),1,1)+1))+2,1)</f>
        <v>81</v>
      </c>
      <c r="B313" t="str">
        <f ca="1">TEXT(DATE(YEAR(Invoer!$A$5),1,1)+MOD(ROWS(B$2:B313)-1,DATE(YEAR(Invoer!$A$5),12,31)-DATE(YEAR(Invoer!$A$5),1,1)+1),"jjjjmmdd")</f>
        <v>19431108</v>
      </c>
      <c r="C313" s="18">
        <v>1</v>
      </c>
      <c r="D313" s="23" t="str">
        <f t="shared" ca="1" si="8"/>
        <v>—</v>
      </c>
      <c r="E313" s="24">
        <f t="shared" ca="1" si="9"/>
        <v>7</v>
      </c>
    </row>
    <row r="314" spans="1:5" x14ac:dyDescent="0.25">
      <c r="A314" s="17">
        <f ca="1">INDEX(Stations,INT((ROWS(A$2:A314)-1)/(DATE(YEAR(Invoer!$A$5),12,31)-DATE(YEAR(Invoer!$A$5),1,1)+1))+2,1)</f>
        <v>81</v>
      </c>
      <c r="B314" t="str">
        <f ca="1">TEXT(DATE(YEAR(Invoer!$A$5),1,1)+MOD(ROWS(B$2:B314)-1,DATE(YEAR(Invoer!$A$5),12,31)-DATE(YEAR(Invoer!$A$5),1,1)+1),"jjjjmmdd")</f>
        <v>19431109</v>
      </c>
      <c r="C314" s="18">
        <v>1</v>
      </c>
      <c r="D314" s="23" t="str">
        <f t="shared" ca="1" si="8"/>
        <v>—</v>
      </c>
      <c r="E314" s="24">
        <f t="shared" ca="1" si="9"/>
        <v>7</v>
      </c>
    </row>
    <row r="315" spans="1:5" x14ac:dyDescent="0.25">
      <c r="A315" s="17">
        <f ca="1">INDEX(Stations,INT((ROWS(A$2:A315)-1)/(DATE(YEAR(Invoer!$A$5),12,31)-DATE(YEAR(Invoer!$A$5),1,1)+1))+2,1)</f>
        <v>81</v>
      </c>
      <c r="B315" t="str">
        <f ca="1">TEXT(DATE(YEAR(Invoer!$A$5),1,1)+MOD(ROWS(B$2:B315)-1,DATE(YEAR(Invoer!$A$5),12,31)-DATE(YEAR(Invoer!$A$5),1,1)+1),"jjjjmmdd")</f>
        <v>19431110</v>
      </c>
      <c r="C315" s="18">
        <v>1</v>
      </c>
      <c r="D315" s="23" t="str">
        <f t="shared" ca="1" si="8"/>
        <v>—</v>
      </c>
      <c r="E315" s="24">
        <f t="shared" ca="1" si="9"/>
        <v>7</v>
      </c>
    </row>
    <row r="316" spans="1:5" x14ac:dyDescent="0.25">
      <c r="A316" s="17">
        <f ca="1">INDEX(Stations,INT((ROWS(A$2:A316)-1)/(DATE(YEAR(Invoer!$A$5),12,31)-DATE(YEAR(Invoer!$A$5),1,1)+1))+2,1)</f>
        <v>81</v>
      </c>
      <c r="B316" t="str">
        <f ca="1">TEXT(DATE(YEAR(Invoer!$A$5),1,1)+MOD(ROWS(B$2:B316)-1,DATE(YEAR(Invoer!$A$5),12,31)-DATE(YEAR(Invoer!$A$5),1,1)+1),"jjjjmmdd")</f>
        <v>19431111</v>
      </c>
      <c r="C316" s="18">
        <v>1</v>
      </c>
      <c r="D316" s="23" t="str">
        <f t="shared" ca="1" si="8"/>
        <v>—</v>
      </c>
      <c r="E316" s="24">
        <f t="shared" ca="1" si="9"/>
        <v>7</v>
      </c>
    </row>
    <row r="317" spans="1:5" x14ac:dyDescent="0.25">
      <c r="A317" s="17">
        <f ca="1">INDEX(Stations,INT((ROWS(A$2:A317)-1)/(DATE(YEAR(Invoer!$A$5),12,31)-DATE(YEAR(Invoer!$A$5),1,1)+1))+2,1)</f>
        <v>81</v>
      </c>
      <c r="B317" t="str">
        <f ca="1">TEXT(DATE(YEAR(Invoer!$A$5),1,1)+MOD(ROWS(B$2:B317)-1,DATE(YEAR(Invoer!$A$5),12,31)-DATE(YEAR(Invoer!$A$5),1,1)+1),"jjjjmmdd")</f>
        <v>19431112</v>
      </c>
      <c r="C317" s="18">
        <v>1</v>
      </c>
      <c r="D317" s="23" t="str">
        <f t="shared" ca="1" si="8"/>
        <v>—</v>
      </c>
      <c r="E317" s="24">
        <f t="shared" ca="1" si="9"/>
        <v>7</v>
      </c>
    </row>
    <row r="318" spans="1:5" x14ac:dyDescent="0.25">
      <c r="A318" s="17">
        <f ca="1">INDEX(Stations,INT((ROWS(A$2:A318)-1)/(DATE(YEAR(Invoer!$A$5),12,31)-DATE(YEAR(Invoer!$A$5),1,1)+1))+2,1)</f>
        <v>81</v>
      </c>
      <c r="B318" t="str">
        <f ca="1">TEXT(DATE(YEAR(Invoer!$A$5),1,1)+MOD(ROWS(B$2:B318)-1,DATE(YEAR(Invoer!$A$5),12,31)-DATE(YEAR(Invoer!$A$5),1,1)+1),"jjjjmmdd")</f>
        <v>19431113</v>
      </c>
      <c r="C318" s="18">
        <v>1</v>
      </c>
      <c r="D318" s="23" t="str">
        <f t="shared" ca="1" si="8"/>
        <v>—</v>
      </c>
      <c r="E318" s="24">
        <f t="shared" ca="1" si="9"/>
        <v>7</v>
      </c>
    </row>
    <row r="319" spans="1:5" x14ac:dyDescent="0.25">
      <c r="A319" s="17">
        <f ca="1">INDEX(Stations,INT((ROWS(A$2:A319)-1)/(DATE(YEAR(Invoer!$A$5),12,31)-DATE(YEAR(Invoer!$A$5),1,1)+1))+2,1)</f>
        <v>81</v>
      </c>
      <c r="B319" t="str">
        <f ca="1">TEXT(DATE(YEAR(Invoer!$A$5),1,1)+MOD(ROWS(B$2:B319)-1,DATE(YEAR(Invoer!$A$5),12,31)-DATE(YEAR(Invoer!$A$5),1,1)+1),"jjjjmmdd")</f>
        <v>19431114</v>
      </c>
      <c r="C319" s="18">
        <v>1</v>
      </c>
      <c r="D319" s="23" t="str">
        <f t="shared" ca="1" si="8"/>
        <v>—</v>
      </c>
      <c r="E319" s="24">
        <f t="shared" ca="1" si="9"/>
        <v>7</v>
      </c>
    </row>
    <row r="320" spans="1:5" x14ac:dyDescent="0.25">
      <c r="A320" s="17">
        <f ca="1">INDEX(Stations,INT((ROWS(A$2:A320)-1)/(DATE(YEAR(Invoer!$A$5),12,31)-DATE(YEAR(Invoer!$A$5),1,1)+1))+2,1)</f>
        <v>81</v>
      </c>
      <c r="B320" t="str">
        <f ca="1">TEXT(DATE(YEAR(Invoer!$A$5),1,1)+MOD(ROWS(B$2:B320)-1,DATE(YEAR(Invoer!$A$5),12,31)-DATE(YEAR(Invoer!$A$5),1,1)+1),"jjjjmmdd")</f>
        <v>19431115</v>
      </c>
      <c r="C320" s="18">
        <v>1</v>
      </c>
      <c r="D320" s="23" t="str">
        <f t="shared" ca="1" si="8"/>
        <v>—</v>
      </c>
      <c r="E320" s="24">
        <f t="shared" ca="1" si="9"/>
        <v>7</v>
      </c>
    </row>
    <row r="321" spans="1:5" x14ac:dyDescent="0.25">
      <c r="A321" s="17">
        <f ca="1">INDEX(Stations,INT((ROWS(A$2:A321)-1)/(DATE(YEAR(Invoer!$A$5),12,31)-DATE(YEAR(Invoer!$A$5),1,1)+1))+2,1)</f>
        <v>81</v>
      </c>
      <c r="B321" t="str">
        <f ca="1">TEXT(DATE(YEAR(Invoer!$A$5),1,1)+MOD(ROWS(B$2:B321)-1,DATE(YEAR(Invoer!$A$5),12,31)-DATE(YEAR(Invoer!$A$5),1,1)+1),"jjjjmmdd")</f>
        <v>19431116</v>
      </c>
      <c r="C321" s="18">
        <v>1</v>
      </c>
      <c r="D321" s="23" t="str">
        <f t="shared" ca="1" si="8"/>
        <v>—</v>
      </c>
      <c r="E321" s="24">
        <f t="shared" ca="1" si="9"/>
        <v>7</v>
      </c>
    </row>
    <row r="322" spans="1:5" x14ac:dyDescent="0.25">
      <c r="A322" s="17">
        <f ca="1">INDEX(Stations,INT((ROWS(A$2:A322)-1)/(DATE(YEAR(Invoer!$A$5),12,31)-DATE(YEAR(Invoer!$A$5),1,1)+1))+2,1)</f>
        <v>81</v>
      </c>
      <c r="B322" t="str">
        <f ca="1">TEXT(DATE(YEAR(Invoer!$A$5),1,1)+MOD(ROWS(B$2:B322)-1,DATE(YEAR(Invoer!$A$5),12,31)-DATE(YEAR(Invoer!$A$5),1,1)+1),"jjjjmmdd")</f>
        <v>19431117</v>
      </c>
      <c r="C322" s="18">
        <v>1</v>
      </c>
      <c r="D322" s="23" t="str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—</v>
      </c>
      <c r="E322" s="24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7</v>
      </c>
    </row>
    <row r="323" spans="1:5" x14ac:dyDescent="0.25">
      <c r="A323" s="17">
        <f ca="1">INDEX(Stations,INT((ROWS(A$2:A323)-1)/(DATE(YEAR(Invoer!$A$5),12,31)-DATE(YEAR(Invoer!$A$5),1,1)+1))+2,1)</f>
        <v>81</v>
      </c>
      <c r="B323" t="str">
        <f ca="1">TEXT(DATE(YEAR(Invoer!$A$5),1,1)+MOD(ROWS(B$2:B323)-1,DATE(YEAR(Invoer!$A$5),12,31)-DATE(YEAR(Invoer!$A$5),1,1)+1),"jjjjmmdd")</f>
        <v>19431118</v>
      </c>
      <c r="C323" s="18">
        <v>1</v>
      </c>
      <c r="D323" s="23" t="str">
        <f t="shared" ca="1" si="10"/>
        <v>—</v>
      </c>
      <c r="E323" s="24">
        <f t="shared" ca="1" si="11"/>
        <v>7</v>
      </c>
    </row>
    <row r="324" spans="1:5" x14ac:dyDescent="0.25">
      <c r="A324" s="17">
        <f ca="1">INDEX(Stations,INT((ROWS(A$2:A324)-1)/(DATE(YEAR(Invoer!$A$5),12,31)-DATE(YEAR(Invoer!$A$5),1,1)+1))+2,1)</f>
        <v>81</v>
      </c>
      <c r="B324" t="str">
        <f ca="1">TEXT(DATE(YEAR(Invoer!$A$5),1,1)+MOD(ROWS(B$2:B324)-1,DATE(YEAR(Invoer!$A$5),12,31)-DATE(YEAR(Invoer!$A$5),1,1)+1),"jjjjmmdd")</f>
        <v>19431119</v>
      </c>
      <c r="C324" s="18">
        <v>1</v>
      </c>
      <c r="D324" s="23" t="str">
        <f t="shared" ca="1" si="10"/>
        <v>—</v>
      </c>
      <c r="E324" s="24">
        <f t="shared" ca="1" si="11"/>
        <v>7</v>
      </c>
    </row>
    <row r="325" spans="1:5" x14ac:dyDescent="0.25">
      <c r="A325" s="17">
        <f ca="1">INDEX(Stations,INT((ROWS(A$2:A325)-1)/(DATE(YEAR(Invoer!$A$5),12,31)-DATE(YEAR(Invoer!$A$5),1,1)+1))+2,1)</f>
        <v>81</v>
      </c>
      <c r="B325" t="str">
        <f ca="1">TEXT(DATE(YEAR(Invoer!$A$5),1,1)+MOD(ROWS(B$2:B325)-1,DATE(YEAR(Invoer!$A$5),12,31)-DATE(YEAR(Invoer!$A$5),1,1)+1),"jjjjmmdd")</f>
        <v>19431120</v>
      </c>
      <c r="C325" s="18">
        <v>1</v>
      </c>
      <c r="D325" s="23" t="str">
        <f t="shared" ca="1" si="10"/>
        <v>—</v>
      </c>
      <c r="E325" s="24">
        <f t="shared" ca="1" si="11"/>
        <v>7</v>
      </c>
    </row>
    <row r="326" spans="1:5" x14ac:dyDescent="0.25">
      <c r="A326" s="17">
        <f ca="1">INDEX(Stations,INT((ROWS(A$2:A326)-1)/(DATE(YEAR(Invoer!$A$5),12,31)-DATE(YEAR(Invoer!$A$5),1,1)+1))+2,1)</f>
        <v>81</v>
      </c>
      <c r="B326" t="str">
        <f ca="1">TEXT(DATE(YEAR(Invoer!$A$5),1,1)+MOD(ROWS(B$2:B326)-1,DATE(YEAR(Invoer!$A$5),12,31)-DATE(YEAR(Invoer!$A$5),1,1)+1),"jjjjmmdd")</f>
        <v>19431121</v>
      </c>
      <c r="C326" s="18">
        <v>1</v>
      </c>
      <c r="D326" s="23" t="str">
        <f t="shared" ca="1" si="10"/>
        <v>—</v>
      </c>
      <c r="E326" s="24">
        <f t="shared" ca="1" si="11"/>
        <v>7</v>
      </c>
    </row>
    <row r="327" spans="1:5" x14ac:dyDescent="0.25">
      <c r="A327" s="17">
        <f ca="1">INDEX(Stations,INT((ROWS(A$2:A327)-1)/(DATE(YEAR(Invoer!$A$5),12,31)-DATE(YEAR(Invoer!$A$5),1,1)+1))+2,1)</f>
        <v>81</v>
      </c>
      <c r="B327" t="str">
        <f ca="1">TEXT(DATE(YEAR(Invoer!$A$5),1,1)+MOD(ROWS(B$2:B327)-1,DATE(YEAR(Invoer!$A$5),12,31)-DATE(YEAR(Invoer!$A$5),1,1)+1),"jjjjmmdd")</f>
        <v>19431122</v>
      </c>
      <c r="C327" s="18">
        <v>1</v>
      </c>
      <c r="D327" s="23" t="str">
        <f t="shared" ca="1" si="10"/>
        <v>—</v>
      </c>
      <c r="E327" s="24">
        <f t="shared" ca="1" si="11"/>
        <v>7</v>
      </c>
    </row>
    <row r="328" spans="1:5" x14ac:dyDescent="0.25">
      <c r="A328" s="17">
        <f ca="1">INDEX(Stations,INT((ROWS(A$2:A328)-1)/(DATE(YEAR(Invoer!$A$5),12,31)-DATE(YEAR(Invoer!$A$5),1,1)+1))+2,1)</f>
        <v>81</v>
      </c>
      <c r="B328" t="str">
        <f ca="1">TEXT(DATE(YEAR(Invoer!$A$5),1,1)+MOD(ROWS(B$2:B328)-1,DATE(YEAR(Invoer!$A$5),12,31)-DATE(YEAR(Invoer!$A$5),1,1)+1),"jjjjmmdd")</f>
        <v>19431123</v>
      </c>
      <c r="C328" s="18">
        <v>1</v>
      </c>
      <c r="D328" s="23" t="str">
        <f t="shared" ca="1" si="10"/>
        <v>—</v>
      </c>
      <c r="E328" s="24">
        <f t="shared" ca="1" si="11"/>
        <v>7</v>
      </c>
    </row>
    <row r="329" spans="1:5" x14ac:dyDescent="0.25">
      <c r="A329" s="17">
        <f ca="1">INDEX(Stations,INT((ROWS(A$2:A329)-1)/(DATE(YEAR(Invoer!$A$5),12,31)-DATE(YEAR(Invoer!$A$5),1,1)+1))+2,1)</f>
        <v>81</v>
      </c>
      <c r="B329" t="str">
        <f ca="1">TEXT(DATE(YEAR(Invoer!$A$5),1,1)+MOD(ROWS(B$2:B329)-1,DATE(YEAR(Invoer!$A$5),12,31)-DATE(YEAR(Invoer!$A$5),1,1)+1),"jjjjmmdd")</f>
        <v>19431124</v>
      </c>
      <c r="C329" s="18">
        <v>1</v>
      </c>
      <c r="D329" s="23" t="str">
        <f t="shared" ca="1" si="10"/>
        <v>—</v>
      </c>
      <c r="E329" s="24">
        <f t="shared" ca="1" si="11"/>
        <v>7</v>
      </c>
    </row>
    <row r="330" spans="1:5" x14ac:dyDescent="0.25">
      <c r="A330" s="17">
        <f ca="1">INDEX(Stations,INT((ROWS(A$2:A330)-1)/(DATE(YEAR(Invoer!$A$5),12,31)-DATE(YEAR(Invoer!$A$5),1,1)+1))+2,1)</f>
        <v>81</v>
      </c>
      <c r="B330" t="str">
        <f ca="1">TEXT(DATE(YEAR(Invoer!$A$5),1,1)+MOD(ROWS(B$2:B330)-1,DATE(YEAR(Invoer!$A$5),12,31)-DATE(YEAR(Invoer!$A$5),1,1)+1),"jjjjmmdd")</f>
        <v>19431125</v>
      </c>
      <c r="C330" s="18">
        <v>1</v>
      </c>
      <c r="D330" s="23" t="str">
        <f t="shared" ca="1" si="10"/>
        <v>—</v>
      </c>
      <c r="E330" s="24">
        <f t="shared" ca="1" si="11"/>
        <v>7</v>
      </c>
    </row>
    <row r="331" spans="1:5" x14ac:dyDescent="0.25">
      <c r="A331" s="17">
        <f ca="1">INDEX(Stations,INT((ROWS(A$2:A331)-1)/(DATE(YEAR(Invoer!$A$5),12,31)-DATE(YEAR(Invoer!$A$5),1,1)+1))+2,1)</f>
        <v>81</v>
      </c>
      <c r="B331" t="str">
        <f ca="1">TEXT(DATE(YEAR(Invoer!$A$5),1,1)+MOD(ROWS(B$2:B331)-1,DATE(YEAR(Invoer!$A$5),12,31)-DATE(YEAR(Invoer!$A$5),1,1)+1),"jjjjmmdd")</f>
        <v>19431126</v>
      </c>
      <c r="C331" s="18">
        <v>1</v>
      </c>
      <c r="D331" s="23" t="str">
        <f t="shared" ca="1" si="10"/>
        <v>—</v>
      </c>
      <c r="E331" s="24">
        <f t="shared" ca="1" si="11"/>
        <v>7</v>
      </c>
    </row>
    <row r="332" spans="1:5" x14ac:dyDescent="0.25">
      <c r="A332" s="17">
        <f ca="1">INDEX(Stations,INT((ROWS(A$2:A332)-1)/(DATE(YEAR(Invoer!$A$5),12,31)-DATE(YEAR(Invoer!$A$5),1,1)+1))+2,1)</f>
        <v>81</v>
      </c>
      <c r="B332" t="str">
        <f ca="1">TEXT(DATE(YEAR(Invoer!$A$5),1,1)+MOD(ROWS(B$2:B332)-1,DATE(YEAR(Invoer!$A$5),12,31)-DATE(YEAR(Invoer!$A$5),1,1)+1),"jjjjmmdd")</f>
        <v>19431127</v>
      </c>
      <c r="C332" s="18">
        <v>1</v>
      </c>
      <c r="D332" s="23" t="str">
        <f t="shared" ca="1" si="10"/>
        <v>—</v>
      </c>
      <c r="E332" s="24">
        <f t="shared" ca="1" si="11"/>
        <v>7</v>
      </c>
    </row>
    <row r="333" spans="1:5" x14ac:dyDescent="0.25">
      <c r="A333" s="17">
        <f ca="1">INDEX(Stations,INT((ROWS(A$2:A333)-1)/(DATE(YEAR(Invoer!$A$5),12,31)-DATE(YEAR(Invoer!$A$5),1,1)+1))+2,1)</f>
        <v>81</v>
      </c>
      <c r="B333" t="str">
        <f ca="1">TEXT(DATE(YEAR(Invoer!$A$5),1,1)+MOD(ROWS(B$2:B333)-1,DATE(YEAR(Invoer!$A$5),12,31)-DATE(YEAR(Invoer!$A$5),1,1)+1),"jjjjmmdd")</f>
        <v>19431128</v>
      </c>
      <c r="C333" s="18">
        <v>1</v>
      </c>
      <c r="D333" s="23" t="str">
        <f t="shared" ca="1" si="10"/>
        <v>—</v>
      </c>
      <c r="E333" s="24">
        <f t="shared" ca="1" si="11"/>
        <v>7</v>
      </c>
    </row>
    <row r="334" spans="1:5" x14ac:dyDescent="0.25">
      <c r="A334" s="17">
        <f ca="1">INDEX(Stations,INT((ROWS(A$2:A334)-1)/(DATE(YEAR(Invoer!$A$5),12,31)-DATE(YEAR(Invoer!$A$5),1,1)+1))+2,1)</f>
        <v>81</v>
      </c>
      <c r="B334" t="str">
        <f ca="1">TEXT(DATE(YEAR(Invoer!$A$5),1,1)+MOD(ROWS(B$2:B334)-1,DATE(YEAR(Invoer!$A$5),12,31)-DATE(YEAR(Invoer!$A$5),1,1)+1),"jjjjmmdd")</f>
        <v>19431129</v>
      </c>
      <c r="C334" s="18">
        <v>1</v>
      </c>
      <c r="D334" s="23" t="str">
        <f t="shared" ca="1" si="10"/>
        <v>—</v>
      </c>
      <c r="E334" s="24">
        <f t="shared" ca="1" si="11"/>
        <v>7</v>
      </c>
    </row>
    <row r="335" spans="1:5" x14ac:dyDescent="0.25">
      <c r="A335" s="17">
        <f ca="1">INDEX(Stations,INT((ROWS(A$2:A335)-1)/(DATE(YEAR(Invoer!$A$5),12,31)-DATE(YEAR(Invoer!$A$5),1,1)+1))+2,1)</f>
        <v>81</v>
      </c>
      <c r="B335" t="str">
        <f ca="1">TEXT(DATE(YEAR(Invoer!$A$5),1,1)+MOD(ROWS(B$2:B335)-1,DATE(YEAR(Invoer!$A$5),12,31)-DATE(YEAR(Invoer!$A$5),1,1)+1),"jjjjmmdd")</f>
        <v>19431130</v>
      </c>
      <c r="C335" s="18">
        <v>1</v>
      </c>
      <c r="D335" s="23" t="str">
        <f t="shared" ca="1" si="10"/>
        <v>—</v>
      </c>
      <c r="E335" s="24">
        <f t="shared" ca="1" si="11"/>
        <v>7</v>
      </c>
    </row>
    <row r="336" spans="1:5" x14ac:dyDescent="0.25">
      <c r="A336" s="17">
        <f ca="1">INDEX(Stations,INT((ROWS(A$2:A336)-1)/(DATE(YEAR(Invoer!$A$5),12,31)-DATE(YEAR(Invoer!$A$5),1,1)+1))+2,1)</f>
        <v>81</v>
      </c>
      <c r="B336" t="str">
        <f ca="1">TEXT(DATE(YEAR(Invoer!$A$5),1,1)+MOD(ROWS(B$2:B336)-1,DATE(YEAR(Invoer!$A$5),12,31)-DATE(YEAR(Invoer!$A$5),1,1)+1),"jjjjmmdd")</f>
        <v>19431201</v>
      </c>
      <c r="C336" s="18">
        <v>1</v>
      </c>
      <c r="D336" s="23" t="str">
        <f t="shared" ca="1" si="10"/>
        <v>—</v>
      </c>
      <c r="E336" s="24">
        <f t="shared" ca="1" si="11"/>
        <v>7</v>
      </c>
    </row>
    <row r="337" spans="1:5" x14ac:dyDescent="0.25">
      <c r="A337" s="17">
        <f ca="1">INDEX(Stations,INT((ROWS(A$2:A337)-1)/(DATE(YEAR(Invoer!$A$5),12,31)-DATE(YEAR(Invoer!$A$5),1,1)+1))+2,1)</f>
        <v>81</v>
      </c>
      <c r="B337" t="str">
        <f ca="1">TEXT(DATE(YEAR(Invoer!$A$5),1,1)+MOD(ROWS(B$2:B337)-1,DATE(YEAR(Invoer!$A$5),12,31)-DATE(YEAR(Invoer!$A$5),1,1)+1),"jjjjmmdd")</f>
        <v>19431202</v>
      </c>
      <c r="C337" s="18">
        <v>1</v>
      </c>
      <c r="D337" s="23" t="str">
        <f t="shared" ca="1" si="10"/>
        <v>—</v>
      </c>
      <c r="E337" s="24">
        <f t="shared" ca="1" si="11"/>
        <v>7</v>
      </c>
    </row>
    <row r="338" spans="1:5" x14ac:dyDescent="0.25">
      <c r="A338" s="17">
        <f ca="1">INDEX(Stations,INT((ROWS(A$2:A338)-1)/(DATE(YEAR(Invoer!$A$5),12,31)-DATE(YEAR(Invoer!$A$5),1,1)+1))+2,1)</f>
        <v>81</v>
      </c>
      <c r="B338" t="str">
        <f ca="1">TEXT(DATE(YEAR(Invoer!$A$5),1,1)+MOD(ROWS(B$2:B338)-1,DATE(YEAR(Invoer!$A$5),12,31)-DATE(YEAR(Invoer!$A$5),1,1)+1),"jjjjmmdd")</f>
        <v>19431203</v>
      </c>
      <c r="C338" s="18">
        <v>1</v>
      </c>
      <c r="D338" s="23" t="str">
        <f t="shared" ca="1" si="10"/>
        <v>—</v>
      </c>
      <c r="E338" s="24">
        <f t="shared" ca="1" si="11"/>
        <v>7</v>
      </c>
    </row>
    <row r="339" spans="1:5" x14ac:dyDescent="0.25">
      <c r="A339" s="17">
        <f ca="1">INDEX(Stations,INT((ROWS(A$2:A339)-1)/(DATE(YEAR(Invoer!$A$5),12,31)-DATE(YEAR(Invoer!$A$5),1,1)+1))+2,1)</f>
        <v>81</v>
      </c>
      <c r="B339" t="str">
        <f ca="1">TEXT(DATE(YEAR(Invoer!$A$5),1,1)+MOD(ROWS(B$2:B339)-1,DATE(YEAR(Invoer!$A$5),12,31)-DATE(YEAR(Invoer!$A$5),1,1)+1),"jjjjmmdd")</f>
        <v>19431204</v>
      </c>
      <c r="C339" s="18">
        <v>1</v>
      </c>
      <c r="D339" s="23" t="str">
        <f t="shared" ca="1" si="10"/>
        <v>—</v>
      </c>
      <c r="E339" s="24">
        <f t="shared" ca="1" si="11"/>
        <v>7</v>
      </c>
    </row>
    <row r="340" spans="1:5" x14ac:dyDescent="0.25">
      <c r="A340" s="17">
        <f ca="1">INDEX(Stations,INT((ROWS(A$2:A340)-1)/(DATE(YEAR(Invoer!$A$5),12,31)-DATE(YEAR(Invoer!$A$5),1,1)+1))+2,1)</f>
        <v>81</v>
      </c>
      <c r="B340" t="str">
        <f ca="1">TEXT(DATE(YEAR(Invoer!$A$5),1,1)+MOD(ROWS(B$2:B340)-1,DATE(YEAR(Invoer!$A$5),12,31)-DATE(YEAR(Invoer!$A$5),1,1)+1),"jjjjmmdd")</f>
        <v>19431205</v>
      </c>
      <c r="C340" s="18">
        <v>1</v>
      </c>
      <c r="D340" s="23" t="str">
        <f t="shared" ca="1" si="10"/>
        <v>—</v>
      </c>
      <c r="E340" s="24">
        <f t="shared" ca="1" si="11"/>
        <v>7</v>
      </c>
    </row>
    <row r="341" spans="1:5" x14ac:dyDescent="0.25">
      <c r="A341" s="17">
        <f ca="1">INDEX(Stations,INT((ROWS(A$2:A341)-1)/(DATE(YEAR(Invoer!$A$5),12,31)-DATE(YEAR(Invoer!$A$5),1,1)+1))+2,1)</f>
        <v>81</v>
      </c>
      <c r="B341" t="str">
        <f ca="1">TEXT(DATE(YEAR(Invoer!$A$5),1,1)+MOD(ROWS(B$2:B341)-1,DATE(YEAR(Invoer!$A$5),12,31)-DATE(YEAR(Invoer!$A$5),1,1)+1),"jjjjmmdd")</f>
        <v>19431206</v>
      </c>
      <c r="C341" s="18">
        <v>1</v>
      </c>
      <c r="D341" s="23" t="str">
        <f t="shared" ca="1" si="10"/>
        <v>—</v>
      </c>
      <c r="E341" s="24">
        <f t="shared" ca="1" si="11"/>
        <v>7</v>
      </c>
    </row>
    <row r="342" spans="1:5" x14ac:dyDescent="0.25">
      <c r="A342" s="17">
        <f ca="1">INDEX(Stations,INT((ROWS(A$2:A342)-1)/(DATE(YEAR(Invoer!$A$5),12,31)-DATE(YEAR(Invoer!$A$5),1,1)+1))+2,1)</f>
        <v>81</v>
      </c>
      <c r="B342" t="str">
        <f ca="1">TEXT(DATE(YEAR(Invoer!$A$5),1,1)+MOD(ROWS(B$2:B342)-1,DATE(YEAR(Invoer!$A$5),12,31)-DATE(YEAR(Invoer!$A$5),1,1)+1),"jjjjmmdd")</f>
        <v>19431207</v>
      </c>
      <c r="C342" s="18">
        <v>1</v>
      </c>
      <c r="D342" s="23" t="str">
        <f t="shared" ca="1" si="10"/>
        <v>—</v>
      </c>
      <c r="E342" s="24">
        <f t="shared" ca="1" si="11"/>
        <v>7</v>
      </c>
    </row>
    <row r="343" spans="1:5" x14ac:dyDescent="0.25">
      <c r="A343" s="17">
        <f ca="1">INDEX(Stations,INT((ROWS(A$2:A343)-1)/(DATE(YEAR(Invoer!$A$5),12,31)-DATE(YEAR(Invoer!$A$5),1,1)+1))+2,1)</f>
        <v>81</v>
      </c>
      <c r="B343" t="str">
        <f ca="1">TEXT(DATE(YEAR(Invoer!$A$5),1,1)+MOD(ROWS(B$2:B343)-1,DATE(YEAR(Invoer!$A$5),12,31)-DATE(YEAR(Invoer!$A$5),1,1)+1),"jjjjmmdd")</f>
        <v>19431208</v>
      </c>
      <c r="C343" s="18">
        <v>1</v>
      </c>
      <c r="D343" s="23" t="str">
        <f t="shared" ca="1" si="10"/>
        <v>—</v>
      </c>
      <c r="E343" s="24">
        <f t="shared" ca="1" si="11"/>
        <v>7</v>
      </c>
    </row>
    <row r="344" spans="1:5" x14ac:dyDescent="0.25">
      <c r="A344" s="17">
        <f ca="1">INDEX(Stations,INT((ROWS(A$2:A344)-1)/(DATE(YEAR(Invoer!$A$5),12,31)-DATE(YEAR(Invoer!$A$5),1,1)+1))+2,1)</f>
        <v>81</v>
      </c>
      <c r="B344" t="str">
        <f ca="1">TEXT(DATE(YEAR(Invoer!$A$5),1,1)+MOD(ROWS(B$2:B344)-1,DATE(YEAR(Invoer!$A$5),12,31)-DATE(YEAR(Invoer!$A$5),1,1)+1),"jjjjmmdd")</f>
        <v>19431209</v>
      </c>
      <c r="C344" s="18">
        <v>1</v>
      </c>
      <c r="D344" s="23" t="str">
        <f t="shared" ca="1" si="10"/>
        <v>—</v>
      </c>
      <c r="E344" s="24">
        <f t="shared" ca="1" si="11"/>
        <v>7</v>
      </c>
    </row>
    <row r="345" spans="1:5" x14ac:dyDescent="0.25">
      <c r="A345" s="17">
        <f ca="1">INDEX(Stations,INT((ROWS(A$2:A345)-1)/(DATE(YEAR(Invoer!$A$5),12,31)-DATE(YEAR(Invoer!$A$5),1,1)+1))+2,1)</f>
        <v>81</v>
      </c>
      <c r="B345" t="str">
        <f ca="1">TEXT(DATE(YEAR(Invoer!$A$5),1,1)+MOD(ROWS(B$2:B345)-1,DATE(YEAR(Invoer!$A$5),12,31)-DATE(YEAR(Invoer!$A$5),1,1)+1),"jjjjmmdd")</f>
        <v>19431210</v>
      </c>
      <c r="C345" s="18">
        <v>1</v>
      </c>
      <c r="D345" s="23" t="str">
        <f t="shared" ca="1" si="10"/>
        <v>—</v>
      </c>
      <c r="E345" s="24">
        <f t="shared" ca="1" si="11"/>
        <v>7</v>
      </c>
    </row>
    <row r="346" spans="1:5" x14ac:dyDescent="0.25">
      <c r="A346" s="17">
        <f ca="1">INDEX(Stations,INT((ROWS(A$2:A346)-1)/(DATE(YEAR(Invoer!$A$5),12,31)-DATE(YEAR(Invoer!$A$5),1,1)+1))+2,1)</f>
        <v>81</v>
      </c>
      <c r="B346" t="str">
        <f ca="1">TEXT(DATE(YEAR(Invoer!$A$5),1,1)+MOD(ROWS(B$2:B346)-1,DATE(YEAR(Invoer!$A$5),12,31)-DATE(YEAR(Invoer!$A$5),1,1)+1),"jjjjmmdd")</f>
        <v>19431211</v>
      </c>
      <c r="C346" s="18">
        <v>1</v>
      </c>
      <c r="D346" s="23" t="str">
        <f t="shared" ca="1" si="10"/>
        <v>—</v>
      </c>
      <c r="E346" s="24">
        <f t="shared" ca="1" si="11"/>
        <v>7</v>
      </c>
    </row>
    <row r="347" spans="1:5" x14ac:dyDescent="0.25">
      <c r="A347" s="17">
        <f ca="1">INDEX(Stations,INT((ROWS(A$2:A347)-1)/(DATE(YEAR(Invoer!$A$5),12,31)-DATE(YEAR(Invoer!$A$5),1,1)+1))+2,1)</f>
        <v>81</v>
      </c>
      <c r="B347" t="str">
        <f ca="1">TEXT(DATE(YEAR(Invoer!$A$5),1,1)+MOD(ROWS(B$2:B347)-1,DATE(YEAR(Invoer!$A$5),12,31)-DATE(YEAR(Invoer!$A$5),1,1)+1),"jjjjmmdd")</f>
        <v>19431212</v>
      </c>
      <c r="C347" s="18">
        <v>1</v>
      </c>
      <c r="D347" s="23" t="str">
        <f t="shared" ca="1" si="10"/>
        <v>—</v>
      </c>
      <c r="E347" s="24">
        <f t="shared" ca="1" si="11"/>
        <v>7</v>
      </c>
    </row>
    <row r="348" spans="1:5" x14ac:dyDescent="0.25">
      <c r="A348" s="17">
        <f ca="1">INDEX(Stations,INT((ROWS(A$2:A348)-1)/(DATE(YEAR(Invoer!$A$5),12,31)-DATE(YEAR(Invoer!$A$5),1,1)+1))+2,1)</f>
        <v>81</v>
      </c>
      <c r="B348" t="str">
        <f ca="1">TEXT(DATE(YEAR(Invoer!$A$5),1,1)+MOD(ROWS(B$2:B348)-1,DATE(YEAR(Invoer!$A$5),12,31)-DATE(YEAR(Invoer!$A$5),1,1)+1),"jjjjmmdd")</f>
        <v>19431213</v>
      </c>
      <c r="C348" s="18">
        <v>1</v>
      </c>
      <c r="D348" s="23" t="str">
        <f t="shared" ca="1" si="10"/>
        <v>—</v>
      </c>
      <c r="E348" s="24">
        <f t="shared" ca="1" si="11"/>
        <v>7</v>
      </c>
    </row>
    <row r="349" spans="1:5" x14ac:dyDescent="0.25">
      <c r="A349" s="17">
        <f ca="1">INDEX(Stations,INT((ROWS(A$2:A349)-1)/(DATE(YEAR(Invoer!$A$5),12,31)-DATE(YEAR(Invoer!$A$5),1,1)+1))+2,1)</f>
        <v>81</v>
      </c>
      <c r="B349" t="str">
        <f ca="1">TEXT(DATE(YEAR(Invoer!$A$5),1,1)+MOD(ROWS(B$2:B349)-1,DATE(YEAR(Invoer!$A$5),12,31)-DATE(YEAR(Invoer!$A$5),1,1)+1),"jjjjmmdd")</f>
        <v>19431214</v>
      </c>
      <c r="C349" s="18">
        <v>1</v>
      </c>
      <c r="D349" s="23" t="str">
        <f t="shared" ca="1" si="10"/>
        <v>—</v>
      </c>
      <c r="E349" s="24">
        <f t="shared" ca="1" si="11"/>
        <v>7</v>
      </c>
    </row>
    <row r="350" spans="1:5" x14ac:dyDescent="0.25">
      <c r="A350" s="17">
        <f ca="1">INDEX(Stations,INT((ROWS(A$2:A350)-1)/(DATE(YEAR(Invoer!$A$5),12,31)-DATE(YEAR(Invoer!$A$5),1,1)+1))+2,1)</f>
        <v>81</v>
      </c>
      <c r="B350" t="str">
        <f ca="1">TEXT(DATE(YEAR(Invoer!$A$5),1,1)+MOD(ROWS(B$2:B350)-1,DATE(YEAR(Invoer!$A$5),12,31)-DATE(YEAR(Invoer!$A$5),1,1)+1),"jjjjmmdd")</f>
        <v>19431215</v>
      </c>
      <c r="C350" s="18">
        <v>1</v>
      </c>
      <c r="D350" s="23" t="str">
        <f t="shared" ca="1" si="10"/>
        <v>—</v>
      </c>
      <c r="E350" s="24">
        <f t="shared" ca="1" si="11"/>
        <v>7</v>
      </c>
    </row>
    <row r="351" spans="1:5" x14ac:dyDescent="0.25">
      <c r="A351" s="17">
        <f ca="1">INDEX(Stations,INT((ROWS(A$2:A351)-1)/(DATE(YEAR(Invoer!$A$5),12,31)-DATE(YEAR(Invoer!$A$5),1,1)+1))+2,1)</f>
        <v>81</v>
      </c>
      <c r="B351" t="str">
        <f ca="1">TEXT(DATE(YEAR(Invoer!$A$5),1,1)+MOD(ROWS(B$2:B351)-1,DATE(YEAR(Invoer!$A$5),12,31)-DATE(YEAR(Invoer!$A$5),1,1)+1),"jjjjmmdd")</f>
        <v>19431216</v>
      </c>
      <c r="C351" s="18">
        <v>1</v>
      </c>
      <c r="D351" s="23" t="str">
        <f t="shared" ca="1" si="10"/>
        <v>—</v>
      </c>
      <c r="E351" s="24">
        <f t="shared" ca="1" si="11"/>
        <v>7</v>
      </c>
    </row>
    <row r="352" spans="1:5" x14ac:dyDescent="0.25">
      <c r="A352" s="17">
        <f ca="1">INDEX(Stations,INT((ROWS(A$2:A352)-1)/(DATE(YEAR(Invoer!$A$5),12,31)-DATE(YEAR(Invoer!$A$5),1,1)+1))+2,1)</f>
        <v>81</v>
      </c>
      <c r="B352" t="str">
        <f ca="1">TEXT(DATE(YEAR(Invoer!$A$5),1,1)+MOD(ROWS(B$2:B352)-1,DATE(YEAR(Invoer!$A$5),12,31)-DATE(YEAR(Invoer!$A$5),1,1)+1),"jjjjmmdd")</f>
        <v>19431217</v>
      </c>
      <c r="C352" s="18">
        <v>1</v>
      </c>
      <c r="D352" s="23" t="str">
        <f t="shared" ca="1" si="10"/>
        <v>—</v>
      </c>
      <c r="E352" s="24">
        <f t="shared" ca="1" si="11"/>
        <v>7</v>
      </c>
    </row>
    <row r="353" spans="1:5" x14ac:dyDescent="0.25">
      <c r="A353" s="17">
        <f ca="1">INDEX(Stations,INT((ROWS(A$2:A353)-1)/(DATE(YEAR(Invoer!$A$5),12,31)-DATE(YEAR(Invoer!$A$5),1,1)+1))+2,1)</f>
        <v>81</v>
      </c>
      <c r="B353" t="str">
        <f ca="1">TEXT(DATE(YEAR(Invoer!$A$5),1,1)+MOD(ROWS(B$2:B353)-1,DATE(YEAR(Invoer!$A$5),12,31)-DATE(YEAR(Invoer!$A$5),1,1)+1),"jjjjmmdd")</f>
        <v>19431218</v>
      </c>
      <c r="C353" s="18">
        <v>1</v>
      </c>
      <c r="D353" s="23" t="str">
        <f t="shared" ca="1" si="10"/>
        <v>—</v>
      </c>
      <c r="E353" s="24">
        <f t="shared" ca="1" si="11"/>
        <v>7</v>
      </c>
    </row>
    <row r="354" spans="1:5" x14ac:dyDescent="0.25">
      <c r="A354" s="17">
        <f ca="1">INDEX(Stations,INT((ROWS(A$2:A354)-1)/(DATE(YEAR(Invoer!$A$5),12,31)-DATE(YEAR(Invoer!$A$5),1,1)+1))+2,1)</f>
        <v>81</v>
      </c>
      <c r="B354" t="str">
        <f ca="1">TEXT(DATE(YEAR(Invoer!$A$5),1,1)+MOD(ROWS(B$2:B354)-1,DATE(YEAR(Invoer!$A$5),12,31)-DATE(YEAR(Invoer!$A$5),1,1)+1),"jjjjmmdd")</f>
        <v>19431219</v>
      </c>
      <c r="C354" s="18">
        <v>1</v>
      </c>
      <c r="D354" s="23" t="str">
        <f t="shared" ca="1" si="10"/>
        <v>—</v>
      </c>
      <c r="E354" s="24">
        <f t="shared" ca="1" si="11"/>
        <v>7</v>
      </c>
    </row>
    <row r="355" spans="1:5" x14ac:dyDescent="0.25">
      <c r="A355" s="17">
        <f ca="1">INDEX(Stations,INT((ROWS(A$2:A355)-1)/(DATE(YEAR(Invoer!$A$5),12,31)-DATE(YEAR(Invoer!$A$5),1,1)+1))+2,1)</f>
        <v>81</v>
      </c>
      <c r="B355" t="str">
        <f ca="1">TEXT(DATE(YEAR(Invoer!$A$5),1,1)+MOD(ROWS(B$2:B355)-1,DATE(YEAR(Invoer!$A$5),12,31)-DATE(YEAR(Invoer!$A$5),1,1)+1),"jjjjmmdd")</f>
        <v>19431220</v>
      </c>
      <c r="C355" s="18">
        <v>1</v>
      </c>
      <c r="D355" s="23" t="str">
        <f t="shared" ca="1" si="10"/>
        <v>—</v>
      </c>
      <c r="E355" s="24">
        <f t="shared" ca="1" si="11"/>
        <v>7</v>
      </c>
    </row>
    <row r="356" spans="1:5" x14ac:dyDescent="0.25">
      <c r="A356" s="17">
        <f ca="1">INDEX(Stations,INT((ROWS(A$2:A356)-1)/(DATE(YEAR(Invoer!$A$5),12,31)-DATE(YEAR(Invoer!$A$5),1,1)+1))+2,1)</f>
        <v>81</v>
      </c>
      <c r="B356" t="str">
        <f ca="1">TEXT(DATE(YEAR(Invoer!$A$5),1,1)+MOD(ROWS(B$2:B356)-1,DATE(YEAR(Invoer!$A$5),12,31)-DATE(YEAR(Invoer!$A$5),1,1)+1),"jjjjmmdd")</f>
        <v>19431221</v>
      </c>
      <c r="C356" s="18">
        <v>1</v>
      </c>
      <c r="D356" s="23" t="str">
        <f t="shared" ca="1" si="10"/>
        <v>—</v>
      </c>
      <c r="E356" s="24">
        <f t="shared" ca="1" si="11"/>
        <v>7</v>
      </c>
    </row>
    <row r="357" spans="1:5" x14ac:dyDescent="0.25">
      <c r="A357" s="17">
        <f ca="1">INDEX(Stations,INT((ROWS(A$2:A357)-1)/(DATE(YEAR(Invoer!$A$5),12,31)-DATE(YEAR(Invoer!$A$5),1,1)+1))+2,1)</f>
        <v>81</v>
      </c>
      <c r="B357" t="str">
        <f ca="1">TEXT(DATE(YEAR(Invoer!$A$5),1,1)+MOD(ROWS(B$2:B357)-1,DATE(YEAR(Invoer!$A$5),12,31)-DATE(YEAR(Invoer!$A$5),1,1)+1),"jjjjmmdd")</f>
        <v>19431222</v>
      </c>
      <c r="C357" s="18">
        <v>1</v>
      </c>
      <c r="D357" s="23" t="str">
        <f t="shared" ca="1" si="10"/>
        <v>—</v>
      </c>
      <c r="E357" s="24">
        <f t="shared" ca="1" si="11"/>
        <v>7</v>
      </c>
    </row>
    <row r="358" spans="1:5" x14ac:dyDescent="0.25">
      <c r="A358" s="17">
        <f ca="1">INDEX(Stations,INT((ROWS(A$2:A358)-1)/(DATE(YEAR(Invoer!$A$5),12,31)-DATE(YEAR(Invoer!$A$5),1,1)+1))+2,1)</f>
        <v>81</v>
      </c>
      <c r="B358" t="str">
        <f ca="1">TEXT(DATE(YEAR(Invoer!$A$5),1,1)+MOD(ROWS(B$2:B358)-1,DATE(YEAR(Invoer!$A$5),12,31)-DATE(YEAR(Invoer!$A$5),1,1)+1),"jjjjmmdd")</f>
        <v>19431223</v>
      </c>
      <c r="C358" s="18">
        <v>1</v>
      </c>
      <c r="D358" s="23" t="str">
        <f t="shared" ca="1" si="10"/>
        <v>—</v>
      </c>
      <c r="E358" s="24">
        <f t="shared" ca="1" si="11"/>
        <v>7</v>
      </c>
    </row>
    <row r="359" spans="1:5" x14ac:dyDescent="0.25">
      <c r="A359" s="17">
        <f ca="1">INDEX(Stations,INT((ROWS(A$2:A359)-1)/(DATE(YEAR(Invoer!$A$5),12,31)-DATE(YEAR(Invoer!$A$5),1,1)+1))+2,1)</f>
        <v>81</v>
      </c>
      <c r="B359" t="str">
        <f ca="1">TEXT(DATE(YEAR(Invoer!$A$5),1,1)+MOD(ROWS(B$2:B359)-1,DATE(YEAR(Invoer!$A$5),12,31)-DATE(YEAR(Invoer!$A$5),1,1)+1),"jjjjmmdd")</f>
        <v>19431224</v>
      </c>
      <c r="C359" s="18">
        <v>1</v>
      </c>
      <c r="D359" s="23" t="str">
        <f t="shared" ca="1" si="10"/>
        <v>—</v>
      </c>
      <c r="E359" s="24">
        <f t="shared" ca="1" si="11"/>
        <v>7</v>
      </c>
    </row>
    <row r="360" spans="1:5" x14ac:dyDescent="0.25">
      <c r="A360" s="17">
        <f ca="1">INDEX(Stations,INT((ROWS(A$2:A360)-1)/(DATE(YEAR(Invoer!$A$5),12,31)-DATE(YEAR(Invoer!$A$5),1,1)+1))+2,1)</f>
        <v>81</v>
      </c>
      <c r="B360" t="str">
        <f ca="1">TEXT(DATE(YEAR(Invoer!$A$5),1,1)+MOD(ROWS(B$2:B360)-1,DATE(YEAR(Invoer!$A$5),12,31)-DATE(YEAR(Invoer!$A$5),1,1)+1),"jjjjmmdd")</f>
        <v>19431225</v>
      </c>
      <c r="C360" s="18">
        <v>1</v>
      </c>
      <c r="D360" s="23" t="str">
        <f t="shared" ca="1" si="10"/>
        <v>—</v>
      </c>
      <c r="E360" s="24">
        <f t="shared" ca="1" si="11"/>
        <v>7</v>
      </c>
    </row>
    <row r="361" spans="1:5" x14ac:dyDescent="0.25">
      <c r="A361" s="17">
        <f ca="1">INDEX(Stations,INT((ROWS(A$2:A361)-1)/(DATE(YEAR(Invoer!$A$5),12,31)-DATE(YEAR(Invoer!$A$5),1,1)+1))+2,1)</f>
        <v>81</v>
      </c>
      <c r="B361" t="str">
        <f ca="1">TEXT(DATE(YEAR(Invoer!$A$5),1,1)+MOD(ROWS(B$2:B361)-1,DATE(YEAR(Invoer!$A$5),12,31)-DATE(YEAR(Invoer!$A$5),1,1)+1),"jjjjmmdd")</f>
        <v>19431226</v>
      </c>
      <c r="C361" s="18">
        <v>1</v>
      </c>
      <c r="D361" s="23" t="str">
        <f t="shared" ca="1" si="10"/>
        <v>—</v>
      </c>
      <c r="E361" s="24">
        <f t="shared" ca="1" si="11"/>
        <v>7</v>
      </c>
    </row>
    <row r="362" spans="1:5" x14ac:dyDescent="0.25">
      <c r="A362" s="17">
        <f ca="1">INDEX(Stations,INT((ROWS(A$2:A362)-1)/(DATE(YEAR(Invoer!$A$5),12,31)-DATE(YEAR(Invoer!$A$5),1,1)+1))+2,1)</f>
        <v>81</v>
      </c>
      <c r="B362" t="str">
        <f ca="1">TEXT(DATE(YEAR(Invoer!$A$5),1,1)+MOD(ROWS(B$2:B362)-1,DATE(YEAR(Invoer!$A$5),12,31)-DATE(YEAR(Invoer!$A$5),1,1)+1),"jjjjmmdd")</f>
        <v>19431227</v>
      </c>
      <c r="C362" s="18">
        <v>1</v>
      </c>
      <c r="D362" s="23" t="str">
        <f t="shared" ca="1" si="10"/>
        <v>—</v>
      </c>
      <c r="E362" s="24">
        <f t="shared" ca="1" si="11"/>
        <v>7</v>
      </c>
    </row>
    <row r="363" spans="1:5" x14ac:dyDescent="0.25">
      <c r="A363" s="17">
        <f ca="1">INDEX(Stations,INT((ROWS(A$2:A363)-1)/(DATE(YEAR(Invoer!$A$5),12,31)-DATE(YEAR(Invoer!$A$5),1,1)+1))+2,1)</f>
        <v>81</v>
      </c>
      <c r="B363" t="str">
        <f ca="1">TEXT(DATE(YEAR(Invoer!$A$5),1,1)+MOD(ROWS(B$2:B363)-1,DATE(YEAR(Invoer!$A$5),12,31)-DATE(YEAR(Invoer!$A$5),1,1)+1),"jjjjmmdd")</f>
        <v>19431228</v>
      </c>
      <c r="C363" s="18">
        <v>1</v>
      </c>
      <c r="D363" s="23" t="str">
        <f t="shared" ca="1" si="10"/>
        <v>—</v>
      </c>
      <c r="E363" s="24">
        <f t="shared" ca="1" si="11"/>
        <v>7</v>
      </c>
    </row>
    <row r="364" spans="1:5" x14ac:dyDescent="0.25">
      <c r="A364" s="17">
        <f ca="1">INDEX(Stations,INT((ROWS(A$2:A364)-1)/(DATE(YEAR(Invoer!$A$5),12,31)-DATE(YEAR(Invoer!$A$5),1,1)+1))+2,1)</f>
        <v>81</v>
      </c>
      <c r="B364" t="str">
        <f ca="1">TEXT(DATE(YEAR(Invoer!$A$5),1,1)+MOD(ROWS(B$2:B364)-1,DATE(YEAR(Invoer!$A$5),12,31)-DATE(YEAR(Invoer!$A$5),1,1)+1),"jjjjmmdd")</f>
        <v>19431229</v>
      </c>
      <c r="C364" s="18">
        <v>1</v>
      </c>
      <c r="D364" s="23" t="str">
        <f t="shared" ca="1" si="10"/>
        <v>—</v>
      </c>
      <c r="E364" s="24">
        <f t="shared" ca="1" si="11"/>
        <v>7</v>
      </c>
    </row>
    <row r="365" spans="1:5" x14ac:dyDescent="0.25">
      <c r="A365" s="17">
        <f ca="1">INDEX(Stations,INT((ROWS(A$2:A365)-1)/(DATE(YEAR(Invoer!$A$5),12,31)-DATE(YEAR(Invoer!$A$5),1,1)+1))+2,1)</f>
        <v>81</v>
      </c>
      <c r="B365" t="str">
        <f ca="1">TEXT(DATE(YEAR(Invoer!$A$5),1,1)+MOD(ROWS(B$2:B365)-1,DATE(YEAR(Invoer!$A$5),12,31)-DATE(YEAR(Invoer!$A$5),1,1)+1),"jjjjmmdd")</f>
        <v>19431230</v>
      </c>
      <c r="C365" s="18">
        <v>1</v>
      </c>
      <c r="D365" s="23" t="str">
        <f t="shared" ca="1" si="10"/>
        <v>—</v>
      </c>
      <c r="E365" s="24">
        <f t="shared" ca="1" si="11"/>
        <v>7</v>
      </c>
    </row>
    <row r="366" spans="1:5" x14ac:dyDescent="0.25">
      <c r="A366" s="17">
        <f ca="1">INDEX(Stations,INT((ROWS(A$2:A366)-1)/(DATE(YEAR(Invoer!$A$5),12,31)-DATE(YEAR(Invoer!$A$5),1,1)+1))+2,1)</f>
        <v>81</v>
      </c>
      <c r="B366" t="str">
        <f ca="1">TEXT(DATE(YEAR(Invoer!$A$5),1,1)+MOD(ROWS(B$2:B366)-1,DATE(YEAR(Invoer!$A$5),12,31)-DATE(YEAR(Invoer!$A$5),1,1)+1),"jjjjmmdd")</f>
        <v>19431231</v>
      </c>
      <c r="C366" s="18">
        <v>1</v>
      </c>
      <c r="D366" s="23" t="str">
        <f t="shared" ca="1" si="10"/>
        <v>—</v>
      </c>
      <c r="E366" s="24">
        <f t="shared" ca="1" si="11"/>
        <v>7</v>
      </c>
    </row>
    <row r="367" spans="1:5" x14ac:dyDescent="0.25">
      <c r="A367" s="17">
        <f ca="1">INDEX(Stations,INT((ROWS(A$2:A367)-1)/(DATE(YEAR(Invoer!$A$5),12,31)-DATE(YEAR(Invoer!$A$5),1,1)+1))+2,1)</f>
        <v>83</v>
      </c>
      <c r="B367" t="str">
        <f ca="1">TEXT(DATE(YEAR(Invoer!$A$5),1,1)+MOD(ROWS(B$2:B367)-1,DATE(YEAR(Invoer!$A$5),12,31)-DATE(YEAR(Invoer!$A$5),1,1)+1),"jjjjmmdd")</f>
        <v>19430101</v>
      </c>
      <c r="C367" s="18">
        <v>1</v>
      </c>
      <c r="D367" s="23" t="str">
        <f t="shared" ca="1" si="10"/>
        <v>—</v>
      </c>
      <c r="E367" s="24">
        <f t="shared" ca="1" si="11"/>
        <v>7</v>
      </c>
    </row>
    <row r="368" spans="1:5" x14ac:dyDescent="0.25">
      <c r="A368" s="17">
        <f ca="1">INDEX(Stations,INT((ROWS(A$2:A368)-1)/(DATE(YEAR(Invoer!$A$5),12,31)-DATE(YEAR(Invoer!$A$5),1,1)+1))+2,1)</f>
        <v>83</v>
      </c>
      <c r="B368" t="str">
        <f ca="1">TEXT(DATE(YEAR(Invoer!$A$5),1,1)+MOD(ROWS(B$2:B368)-1,DATE(YEAR(Invoer!$A$5),12,31)-DATE(YEAR(Invoer!$A$5),1,1)+1),"jjjjmmdd")</f>
        <v>19430102</v>
      </c>
      <c r="C368" s="18">
        <v>1</v>
      </c>
      <c r="D368" s="23" t="str">
        <f t="shared" ca="1" si="10"/>
        <v>—</v>
      </c>
      <c r="E368" s="24">
        <f t="shared" ca="1" si="11"/>
        <v>7</v>
      </c>
    </row>
    <row r="369" spans="1:5" x14ac:dyDescent="0.25">
      <c r="A369" s="17">
        <f ca="1">INDEX(Stations,INT((ROWS(A$2:A369)-1)/(DATE(YEAR(Invoer!$A$5),12,31)-DATE(YEAR(Invoer!$A$5),1,1)+1))+2,1)</f>
        <v>83</v>
      </c>
      <c r="B369" t="str">
        <f ca="1">TEXT(DATE(YEAR(Invoer!$A$5),1,1)+MOD(ROWS(B$2:B369)-1,DATE(YEAR(Invoer!$A$5),12,31)-DATE(YEAR(Invoer!$A$5),1,1)+1),"jjjjmmdd")</f>
        <v>19430103</v>
      </c>
      <c r="C369" s="18">
        <v>1</v>
      </c>
      <c r="D369" s="23" t="str">
        <f t="shared" ca="1" si="10"/>
        <v>—</v>
      </c>
      <c r="E369" s="24">
        <f t="shared" ca="1" si="11"/>
        <v>7</v>
      </c>
    </row>
    <row r="370" spans="1:5" x14ac:dyDescent="0.25">
      <c r="A370" s="17">
        <f ca="1">INDEX(Stations,INT((ROWS(A$2:A370)-1)/(DATE(YEAR(Invoer!$A$5),12,31)-DATE(YEAR(Invoer!$A$5),1,1)+1))+2,1)</f>
        <v>83</v>
      </c>
      <c r="B370" t="str">
        <f ca="1">TEXT(DATE(YEAR(Invoer!$A$5),1,1)+MOD(ROWS(B$2:B370)-1,DATE(YEAR(Invoer!$A$5),12,31)-DATE(YEAR(Invoer!$A$5),1,1)+1),"jjjjmmdd")</f>
        <v>19430104</v>
      </c>
      <c r="C370" s="18">
        <v>1</v>
      </c>
      <c r="D370" s="23" t="str">
        <f t="shared" ca="1" si="10"/>
        <v>—</v>
      </c>
      <c r="E370" s="24">
        <f t="shared" ca="1" si="11"/>
        <v>7</v>
      </c>
    </row>
    <row r="371" spans="1:5" x14ac:dyDescent="0.25">
      <c r="A371" s="17">
        <f ca="1">INDEX(Stations,INT((ROWS(A$2:A371)-1)/(DATE(YEAR(Invoer!$A$5),12,31)-DATE(YEAR(Invoer!$A$5),1,1)+1))+2,1)</f>
        <v>83</v>
      </c>
      <c r="B371" t="str">
        <f ca="1">TEXT(DATE(YEAR(Invoer!$A$5),1,1)+MOD(ROWS(B$2:B371)-1,DATE(YEAR(Invoer!$A$5),12,31)-DATE(YEAR(Invoer!$A$5),1,1)+1),"jjjjmmdd")</f>
        <v>19430105</v>
      </c>
      <c r="C371" s="18">
        <v>1</v>
      </c>
      <c r="D371" s="23" t="str">
        <f t="shared" ca="1" si="10"/>
        <v>—</v>
      </c>
      <c r="E371" s="24">
        <f t="shared" ca="1" si="11"/>
        <v>7</v>
      </c>
    </row>
    <row r="372" spans="1:5" x14ac:dyDescent="0.25">
      <c r="A372" s="17">
        <f ca="1">INDEX(Stations,INT((ROWS(A$2:A372)-1)/(DATE(YEAR(Invoer!$A$5),12,31)-DATE(YEAR(Invoer!$A$5),1,1)+1))+2,1)</f>
        <v>83</v>
      </c>
      <c r="B372" t="str">
        <f ca="1">TEXT(DATE(YEAR(Invoer!$A$5),1,1)+MOD(ROWS(B$2:B372)-1,DATE(YEAR(Invoer!$A$5),12,31)-DATE(YEAR(Invoer!$A$5),1,1)+1),"jjjjmmdd")</f>
        <v>19430106</v>
      </c>
      <c r="C372" s="18">
        <v>1</v>
      </c>
      <c r="D372" s="23" t="str">
        <f t="shared" ca="1" si="10"/>
        <v>—</v>
      </c>
      <c r="E372" s="24">
        <f t="shared" ca="1" si="11"/>
        <v>7</v>
      </c>
    </row>
    <row r="373" spans="1:5" x14ac:dyDescent="0.25">
      <c r="A373" s="17">
        <f ca="1">INDEX(Stations,INT((ROWS(A$2:A373)-1)/(DATE(YEAR(Invoer!$A$5),12,31)-DATE(YEAR(Invoer!$A$5),1,1)+1))+2,1)</f>
        <v>83</v>
      </c>
      <c r="B373" t="str">
        <f ca="1">TEXT(DATE(YEAR(Invoer!$A$5),1,1)+MOD(ROWS(B$2:B373)-1,DATE(YEAR(Invoer!$A$5),12,31)-DATE(YEAR(Invoer!$A$5),1,1)+1),"jjjjmmdd")</f>
        <v>19430107</v>
      </c>
      <c r="C373" s="18">
        <v>1</v>
      </c>
      <c r="D373" s="23" t="str">
        <f t="shared" ca="1" si="10"/>
        <v>—</v>
      </c>
      <c r="E373" s="24">
        <f t="shared" ca="1" si="11"/>
        <v>7</v>
      </c>
    </row>
    <row r="374" spans="1:5" x14ac:dyDescent="0.25">
      <c r="A374" s="17">
        <f ca="1">INDEX(Stations,INT((ROWS(A$2:A374)-1)/(DATE(YEAR(Invoer!$A$5),12,31)-DATE(YEAR(Invoer!$A$5),1,1)+1))+2,1)</f>
        <v>83</v>
      </c>
      <c r="B374" t="str">
        <f ca="1">TEXT(DATE(YEAR(Invoer!$A$5),1,1)+MOD(ROWS(B$2:B374)-1,DATE(YEAR(Invoer!$A$5),12,31)-DATE(YEAR(Invoer!$A$5),1,1)+1),"jjjjmmdd")</f>
        <v>19430108</v>
      </c>
      <c r="C374" s="18">
        <v>1</v>
      </c>
      <c r="D374" s="23" t="str">
        <f t="shared" ca="1" si="10"/>
        <v>—</v>
      </c>
      <c r="E374" s="24">
        <f t="shared" ca="1" si="11"/>
        <v>7</v>
      </c>
    </row>
    <row r="375" spans="1:5" x14ac:dyDescent="0.25">
      <c r="A375" s="17">
        <f ca="1">INDEX(Stations,INT((ROWS(A$2:A375)-1)/(DATE(YEAR(Invoer!$A$5),12,31)-DATE(YEAR(Invoer!$A$5),1,1)+1))+2,1)</f>
        <v>83</v>
      </c>
      <c r="B375" t="str">
        <f ca="1">TEXT(DATE(YEAR(Invoer!$A$5),1,1)+MOD(ROWS(B$2:B375)-1,DATE(YEAR(Invoer!$A$5),12,31)-DATE(YEAR(Invoer!$A$5),1,1)+1),"jjjjmmdd")</f>
        <v>19430109</v>
      </c>
      <c r="C375" s="18">
        <v>1</v>
      </c>
      <c r="D375" s="23" t="str">
        <f t="shared" ca="1" si="10"/>
        <v>—</v>
      </c>
      <c r="E375" s="24">
        <f t="shared" ca="1" si="11"/>
        <v>7</v>
      </c>
    </row>
    <row r="376" spans="1:5" x14ac:dyDescent="0.25">
      <c r="A376" s="17">
        <f ca="1">INDEX(Stations,INT((ROWS(A$2:A376)-1)/(DATE(YEAR(Invoer!$A$5),12,31)-DATE(YEAR(Invoer!$A$5),1,1)+1))+2,1)</f>
        <v>83</v>
      </c>
      <c r="B376" t="str">
        <f ca="1">TEXT(DATE(YEAR(Invoer!$A$5),1,1)+MOD(ROWS(B$2:B376)-1,DATE(YEAR(Invoer!$A$5),12,31)-DATE(YEAR(Invoer!$A$5),1,1)+1),"jjjjmmdd")</f>
        <v>19430110</v>
      </c>
      <c r="C376" s="18">
        <v>1</v>
      </c>
      <c r="D376" s="23" t="str">
        <f t="shared" ca="1" si="10"/>
        <v>—</v>
      </c>
      <c r="E376" s="24">
        <f t="shared" ca="1" si="11"/>
        <v>7</v>
      </c>
    </row>
    <row r="377" spans="1:5" x14ac:dyDescent="0.25">
      <c r="A377" s="17">
        <f ca="1">INDEX(Stations,INT((ROWS(A$2:A377)-1)/(DATE(YEAR(Invoer!$A$5),12,31)-DATE(YEAR(Invoer!$A$5),1,1)+1))+2,1)</f>
        <v>83</v>
      </c>
      <c r="B377" t="str">
        <f ca="1">TEXT(DATE(YEAR(Invoer!$A$5),1,1)+MOD(ROWS(B$2:B377)-1,DATE(YEAR(Invoer!$A$5),12,31)-DATE(YEAR(Invoer!$A$5),1,1)+1),"jjjjmmdd")</f>
        <v>19430111</v>
      </c>
      <c r="C377" s="18">
        <v>1</v>
      </c>
      <c r="D377" s="23" t="str">
        <f t="shared" ca="1" si="10"/>
        <v>—</v>
      </c>
      <c r="E377" s="24">
        <f t="shared" ca="1" si="11"/>
        <v>7</v>
      </c>
    </row>
    <row r="378" spans="1:5" x14ac:dyDescent="0.25">
      <c r="A378" s="17">
        <f ca="1">INDEX(Stations,INT((ROWS(A$2:A378)-1)/(DATE(YEAR(Invoer!$A$5),12,31)-DATE(YEAR(Invoer!$A$5),1,1)+1))+2,1)</f>
        <v>83</v>
      </c>
      <c r="B378" t="str">
        <f ca="1">TEXT(DATE(YEAR(Invoer!$A$5),1,1)+MOD(ROWS(B$2:B378)-1,DATE(YEAR(Invoer!$A$5),12,31)-DATE(YEAR(Invoer!$A$5),1,1)+1),"jjjjmmdd")</f>
        <v>19430112</v>
      </c>
      <c r="C378" s="18">
        <v>1</v>
      </c>
      <c r="D378" s="23" t="str">
        <f t="shared" ca="1" si="10"/>
        <v>—</v>
      </c>
      <c r="E378" s="24">
        <f t="shared" ca="1" si="11"/>
        <v>7</v>
      </c>
    </row>
    <row r="379" spans="1:5" x14ac:dyDescent="0.25">
      <c r="A379" s="17">
        <f ca="1">INDEX(Stations,INT((ROWS(A$2:A379)-1)/(DATE(YEAR(Invoer!$A$5),12,31)-DATE(YEAR(Invoer!$A$5),1,1)+1))+2,1)</f>
        <v>83</v>
      </c>
      <c r="B379" t="str">
        <f ca="1">TEXT(DATE(YEAR(Invoer!$A$5),1,1)+MOD(ROWS(B$2:B379)-1,DATE(YEAR(Invoer!$A$5),12,31)-DATE(YEAR(Invoer!$A$5),1,1)+1),"jjjjmmdd")</f>
        <v>19430113</v>
      </c>
      <c r="C379" s="18">
        <v>1</v>
      </c>
      <c r="D379" s="23" t="str">
        <f t="shared" ca="1" si="10"/>
        <v>—</v>
      </c>
      <c r="E379" s="24">
        <f t="shared" ca="1" si="11"/>
        <v>7</v>
      </c>
    </row>
    <row r="380" spans="1:5" x14ac:dyDescent="0.25">
      <c r="A380" s="17">
        <f ca="1">INDEX(Stations,INT((ROWS(A$2:A380)-1)/(DATE(YEAR(Invoer!$A$5),12,31)-DATE(YEAR(Invoer!$A$5),1,1)+1))+2,1)</f>
        <v>83</v>
      </c>
      <c r="B380" t="str">
        <f ca="1">TEXT(DATE(YEAR(Invoer!$A$5),1,1)+MOD(ROWS(B$2:B380)-1,DATE(YEAR(Invoer!$A$5),12,31)-DATE(YEAR(Invoer!$A$5),1,1)+1),"jjjjmmdd")</f>
        <v>19430114</v>
      </c>
      <c r="C380" s="18">
        <v>1</v>
      </c>
      <c r="D380" s="23" t="str">
        <f t="shared" ca="1" si="10"/>
        <v>—</v>
      </c>
      <c r="E380" s="24">
        <f t="shared" ca="1" si="11"/>
        <v>7</v>
      </c>
    </row>
    <row r="381" spans="1:5" x14ac:dyDescent="0.25">
      <c r="A381" s="17">
        <f ca="1">INDEX(Stations,INT((ROWS(A$2:A381)-1)/(DATE(YEAR(Invoer!$A$5),12,31)-DATE(YEAR(Invoer!$A$5),1,1)+1))+2,1)</f>
        <v>83</v>
      </c>
      <c r="B381" t="str">
        <f ca="1">TEXT(DATE(YEAR(Invoer!$A$5),1,1)+MOD(ROWS(B$2:B381)-1,DATE(YEAR(Invoer!$A$5),12,31)-DATE(YEAR(Invoer!$A$5),1,1)+1),"jjjjmmdd")</f>
        <v>19430115</v>
      </c>
      <c r="C381" s="18">
        <v>1</v>
      </c>
      <c r="D381" s="23" t="str">
        <f t="shared" ca="1" si="10"/>
        <v>—</v>
      </c>
      <c r="E381" s="24">
        <f t="shared" ca="1" si="11"/>
        <v>7</v>
      </c>
    </row>
    <row r="382" spans="1:5" x14ac:dyDescent="0.25">
      <c r="A382" s="17">
        <f ca="1">INDEX(Stations,INT((ROWS(A$2:A382)-1)/(DATE(YEAR(Invoer!$A$5),12,31)-DATE(YEAR(Invoer!$A$5),1,1)+1))+2,1)</f>
        <v>83</v>
      </c>
      <c r="B382" t="str">
        <f ca="1">TEXT(DATE(YEAR(Invoer!$A$5),1,1)+MOD(ROWS(B$2:B382)-1,DATE(YEAR(Invoer!$A$5),12,31)-DATE(YEAR(Invoer!$A$5),1,1)+1),"jjjjmmdd")</f>
        <v>19430116</v>
      </c>
      <c r="C382" s="18">
        <v>1</v>
      </c>
      <c r="D382" s="23" t="str">
        <f t="shared" ca="1" si="10"/>
        <v>—</v>
      </c>
      <c r="E382" s="24">
        <f t="shared" ca="1" si="11"/>
        <v>7</v>
      </c>
    </row>
    <row r="383" spans="1:5" x14ac:dyDescent="0.25">
      <c r="A383" s="17">
        <f ca="1">INDEX(Stations,INT((ROWS(A$2:A383)-1)/(DATE(YEAR(Invoer!$A$5),12,31)-DATE(YEAR(Invoer!$A$5),1,1)+1))+2,1)</f>
        <v>83</v>
      </c>
      <c r="B383" t="str">
        <f ca="1">TEXT(DATE(YEAR(Invoer!$A$5),1,1)+MOD(ROWS(B$2:B383)-1,DATE(YEAR(Invoer!$A$5),12,31)-DATE(YEAR(Invoer!$A$5),1,1)+1),"jjjjmmdd")</f>
        <v>19430117</v>
      </c>
      <c r="C383" s="18">
        <v>1</v>
      </c>
      <c r="D383" s="23" t="str">
        <f t="shared" ca="1" si="10"/>
        <v>—</v>
      </c>
      <c r="E383" s="24">
        <f t="shared" ca="1" si="11"/>
        <v>7</v>
      </c>
    </row>
    <row r="384" spans="1:5" x14ac:dyDescent="0.25">
      <c r="A384" s="17">
        <f ca="1">INDEX(Stations,INT((ROWS(A$2:A384)-1)/(DATE(YEAR(Invoer!$A$5),12,31)-DATE(YEAR(Invoer!$A$5),1,1)+1))+2,1)</f>
        <v>83</v>
      </c>
      <c r="B384" t="str">
        <f ca="1">TEXT(DATE(YEAR(Invoer!$A$5),1,1)+MOD(ROWS(B$2:B384)-1,DATE(YEAR(Invoer!$A$5),12,31)-DATE(YEAR(Invoer!$A$5),1,1)+1),"jjjjmmdd")</f>
        <v>19430118</v>
      </c>
      <c r="C384" s="18">
        <v>1</v>
      </c>
      <c r="D384" s="23" t="str">
        <f t="shared" ca="1" si="10"/>
        <v>—</v>
      </c>
      <c r="E384" s="24">
        <f t="shared" ca="1" si="11"/>
        <v>7</v>
      </c>
    </row>
    <row r="385" spans="1:5" x14ac:dyDescent="0.25">
      <c r="A385" s="17">
        <f ca="1">INDEX(Stations,INT((ROWS(A$2:A385)-1)/(DATE(YEAR(Invoer!$A$5),12,31)-DATE(YEAR(Invoer!$A$5),1,1)+1))+2,1)</f>
        <v>83</v>
      </c>
      <c r="B385" t="str">
        <f ca="1">TEXT(DATE(YEAR(Invoer!$A$5),1,1)+MOD(ROWS(B$2:B385)-1,DATE(YEAR(Invoer!$A$5),12,31)-DATE(YEAR(Invoer!$A$5),1,1)+1),"jjjjmmdd")</f>
        <v>19430119</v>
      </c>
      <c r="C385" s="18">
        <v>1</v>
      </c>
      <c r="D385" s="23" t="str">
        <f t="shared" ca="1" si="10"/>
        <v>—</v>
      </c>
      <c r="E385" s="24">
        <f t="shared" ca="1" si="11"/>
        <v>7</v>
      </c>
    </row>
    <row r="386" spans="1:5" x14ac:dyDescent="0.25">
      <c r="A386" s="17">
        <f ca="1">INDEX(Stations,INT((ROWS(A$2:A386)-1)/(DATE(YEAR(Invoer!$A$5),12,31)-DATE(YEAR(Invoer!$A$5),1,1)+1))+2,1)</f>
        <v>83</v>
      </c>
      <c r="B386" t="str">
        <f ca="1">TEXT(DATE(YEAR(Invoer!$A$5),1,1)+MOD(ROWS(B$2:B386)-1,DATE(YEAR(Invoer!$A$5),12,31)-DATE(YEAR(Invoer!$A$5),1,1)+1),"jjjjmmdd")</f>
        <v>19430120</v>
      </c>
      <c r="C386" s="18">
        <v>1</v>
      </c>
      <c r="D386" s="23" t="str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—</v>
      </c>
      <c r="E386" s="24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7</v>
      </c>
    </row>
    <row r="387" spans="1:5" x14ac:dyDescent="0.25">
      <c r="A387" s="17">
        <f ca="1">INDEX(Stations,INT((ROWS(A$2:A387)-1)/(DATE(YEAR(Invoer!$A$5),12,31)-DATE(YEAR(Invoer!$A$5),1,1)+1))+2,1)</f>
        <v>83</v>
      </c>
      <c r="B387" t="str">
        <f ca="1">TEXT(DATE(YEAR(Invoer!$A$5),1,1)+MOD(ROWS(B$2:B387)-1,DATE(YEAR(Invoer!$A$5),12,31)-DATE(YEAR(Invoer!$A$5),1,1)+1),"jjjjmmdd")</f>
        <v>19430121</v>
      </c>
      <c r="C387" s="18">
        <v>1</v>
      </c>
      <c r="D387" s="23" t="str">
        <f t="shared" ca="1" si="12"/>
        <v>—</v>
      </c>
      <c r="E387" s="24">
        <f t="shared" ca="1" si="13"/>
        <v>7</v>
      </c>
    </row>
    <row r="388" spans="1:5" x14ac:dyDescent="0.25">
      <c r="A388" s="17">
        <f ca="1">INDEX(Stations,INT((ROWS(A$2:A388)-1)/(DATE(YEAR(Invoer!$A$5),12,31)-DATE(YEAR(Invoer!$A$5),1,1)+1))+2,1)</f>
        <v>83</v>
      </c>
      <c r="B388" t="str">
        <f ca="1">TEXT(DATE(YEAR(Invoer!$A$5),1,1)+MOD(ROWS(B$2:B388)-1,DATE(YEAR(Invoer!$A$5),12,31)-DATE(YEAR(Invoer!$A$5),1,1)+1),"jjjjmmdd")</f>
        <v>19430122</v>
      </c>
      <c r="C388" s="18">
        <v>1</v>
      </c>
      <c r="D388" s="23" t="str">
        <f t="shared" ca="1" si="12"/>
        <v>—</v>
      </c>
      <c r="E388" s="24">
        <f t="shared" ca="1" si="13"/>
        <v>7</v>
      </c>
    </row>
    <row r="389" spans="1:5" x14ac:dyDescent="0.25">
      <c r="A389" s="17">
        <f ca="1">INDEX(Stations,INT((ROWS(A$2:A389)-1)/(DATE(YEAR(Invoer!$A$5),12,31)-DATE(YEAR(Invoer!$A$5),1,1)+1))+2,1)</f>
        <v>83</v>
      </c>
      <c r="B389" t="str">
        <f ca="1">TEXT(DATE(YEAR(Invoer!$A$5),1,1)+MOD(ROWS(B$2:B389)-1,DATE(YEAR(Invoer!$A$5),12,31)-DATE(YEAR(Invoer!$A$5),1,1)+1),"jjjjmmdd")</f>
        <v>19430123</v>
      </c>
      <c r="C389" s="18">
        <v>1</v>
      </c>
      <c r="D389" s="23" t="str">
        <f t="shared" ca="1" si="12"/>
        <v>—</v>
      </c>
      <c r="E389" s="24">
        <f t="shared" ca="1" si="13"/>
        <v>7</v>
      </c>
    </row>
    <row r="390" spans="1:5" x14ac:dyDescent="0.25">
      <c r="A390" s="17">
        <f ca="1">INDEX(Stations,INT((ROWS(A$2:A390)-1)/(DATE(YEAR(Invoer!$A$5),12,31)-DATE(YEAR(Invoer!$A$5),1,1)+1))+2,1)</f>
        <v>83</v>
      </c>
      <c r="B390" t="str">
        <f ca="1">TEXT(DATE(YEAR(Invoer!$A$5),1,1)+MOD(ROWS(B$2:B390)-1,DATE(YEAR(Invoer!$A$5),12,31)-DATE(YEAR(Invoer!$A$5),1,1)+1),"jjjjmmdd")</f>
        <v>19430124</v>
      </c>
      <c r="C390" s="18">
        <v>1</v>
      </c>
      <c r="D390" s="23" t="str">
        <f t="shared" ca="1" si="12"/>
        <v>—</v>
      </c>
      <c r="E390" s="24">
        <f t="shared" ca="1" si="13"/>
        <v>7</v>
      </c>
    </row>
    <row r="391" spans="1:5" x14ac:dyDescent="0.25">
      <c r="A391" s="17">
        <f ca="1">INDEX(Stations,INT((ROWS(A$2:A391)-1)/(DATE(YEAR(Invoer!$A$5),12,31)-DATE(YEAR(Invoer!$A$5),1,1)+1))+2,1)</f>
        <v>83</v>
      </c>
      <c r="B391" t="str">
        <f ca="1">TEXT(DATE(YEAR(Invoer!$A$5),1,1)+MOD(ROWS(B$2:B391)-1,DATE(YEAR(Invoer!$A$5),12,31)-DATE(YEAR(Invoer!$A$5),1,1)+1),"jjjjmmdd")</f>
        <v>19430125</v>
      </c>
      <c r="C391" s="18">
        <v>1</v>
      </c>
      <c r="D391" s="23" t="str">
        <f t="shared" ca="1" si="12"/>
        <v>—</v>
      </c>
      <c r="E391" s="24">
        <f t="shared" ca="1" si="13"/>
        <v>7</v>
      </c>
    </row>
    <row r="392" spans="1:5" x14ac:dyDescent="0.25">
      <c r="A392" s="17">
        <f ca="1">INDEX(Stations,INT((ROWS(A$2:A392)-1)/(DATE(YEAR(Invoer!$A$5),12,31)-DATE(YEAR(Invoer!$A$5),1,1)+1))+2,1)</f>
        <v>83</v>
      </c>
      <c r="B392" t="str">
        <f ca="1">TEXT(DATE(YEAR(Invoer!$A$5),1,1)+MOD(ROWS(B$2:B392)-1,DATE(YEAR(Invoer!$A$5),12,31)-DATE(YEAR(Invoer!$A$5),1,1)+1),"jjjjmmdd")</f>
        <v>19430126</v>
      </c>
      <c r="C392" s="18">
        <v>1</v>
      </c>
      <c r="D392" s="23" t="str">
        <f t="shared" ca="1" si="12"/>
        <v>—</v>
      </c>
      <c r="E392" s="24">
        <f t="shared" ca="1" si="13"/>
        <v>7</v>
      </c>
    </row>
    <row r="393" spans="1:5" x14ac:dyDescent="0.25">
      <c r="A393" s="17">
        <f ca="1">INDEX(Stations,INT((ROWS(A$2:A393)-1)/(DATE(YEAR(Invoer!$A$5),12,31)-DATE(YEAR(Invoer!$A$5),1,1)+1))+2,1)</f>
        <v>83</v>
      </c>
      <c r="B393" t="str">
        <f ca="1">TEXT(DATE(YEAR(Invoer!$A$5),1,1)+MOD(ROWS(B$2:B393)-1,DATE(YEAR(Invoer!$A$5),12,31)-DATE(YEAR(Invoer!$A$5),1,1)+1),"jjjjmmdd")</f>
        <v>19430127</v>
      </c>
      <c r="C393" s="18">
        <v>1</v>
      </c>
      <c r="D393" s="23" t="str">
        <f t="shared" ca="1" si="12"/>
        <v>—</v>
      </c>
      <c r="E393" s="24">
        <f t="shared" ca="1" si="13"/>
        <v>7</v>
      </c>
    </row>
    <row r="394" spans="1:5" x14ac:dyDescent="0.25">
      <c r="A394" s="17">
        <f ca="1">INDEX(Stations,INT((ROWS(A$2:A394)-1)/(DATE(YEAR(Invoer!$A$5),12,31)-DATE(YEAR(Invoer!$A$5),1,1)+1))+2,1)</f>
        <v>83</v>
      </c>
      <c r="B394" t="str">
        <f ca="1">TEXT(DATE(YEAR(Invoer!$A$5),1,1)+MOD(ROWS(B$2:B394)-1,DATE(YEAR(Invoer!$A$5),12,31)-DATE(YEAR(Invoer!$A$5),1,1)+1),"jjjjmmdd")</f>
        <v>19430128</v>
      </c>
      <c r="C394" s="18">
        <v>1</v>
      </c>
      <c r="D394" s="23" t="str">
        <f t="shared" ca="1" si="12"/>
        <v>—</v>
      </c>
      <c r="E394" s="24">
        <f t="shared" ca="1" si="13"/>
        <v>7</v>
      </c>
    </row>
    <row r="395" spans="1:5" x14ac:dyDescent="0.25">
      <c r="A395" s="17">
        <f ca="1">INDEX(Stations,INT((ROWS(A$2:A395)-1)/(DATE(YEAR(Invoer!$A$5),12,31)-DATE(YEAR(Invoer!$A$5),1,1)+1))+2,1)</f>
        <v>83</v>
      </c>
      <c r="B395" t="str">
        <f ca="1">TEXT(DATE(YEAR(Invoer!$A$5),1,1)+MOD(ROWS(B$2:B395)-1,DATE(YEAR(Invoer!$A$5),12,31)-DATE(YEAR(Invoer!$A$5),1,1)+1),"jjjjmmdd")</f>
        <v>19430129</v>
      </c>
      <c r="C395" s="18">
        <v>1</v>
      </c>
      <c r="D395" s="23" t="str">
        <f t="shared" ca="1" si="12"/>
        <v>—</v>
      </c>
      <c r="E395" s="24">
        <f t="shared" ca="1" si="13"/>
        <v>7</v>
      </c>
    </row>
    <row r="396" spans="1:5" x14ac:dyDescent="0.25">
      <c r="A396" s="17">
        <f ca="1">INDEX(Stations,INT((ROWS(A$2:A396)-1)/(DATE(YEAR(Invoer!$A$5),12,31)-DATE(YEAR(Invoer!$A$5),1,1)+1))+2,1)</f>
        <v>83</v>
      </c>
      <c r="B396" t="str">
        <f ca="1">TEXT(DATE(YEAR(Invoer!$A$5),1,1)+MOD(ROWS(B$2:B396)-1,DATE(YEAR(Invoer!$A$5),12,31)-DATE(YEAR(Invoer!$A$5),1,1)+1),"jjjjmmdd")</f>
        <v>19430130</v>
      </c>
      <c r="C396" s="18">
        <v>1</v>
      </c>
      <c r="D396" s="23" t="str">
        <f t="shared" ca="1" si="12"/>
        <v>—</v>
      </c>
      <c r="E396" s="24">
        <f t="shared" ca="1" si="13"/>
        <v>7</v>
      </c>
    </row>
    <row r="397" spans="1:5" x14ac:dyDescent="0.25">
      <c r="A397" s="17">
        <f ca="1">INDEX(Stations,INT((ROWS(A$2:A397)-1)/(DATE(YEAR(Invoer!$A$5),12,31)-DATE(YEAR(Invoer!$A$5),1,1)+1))+2,1)</f>
        <v>83</v>
      </c>
      <c r="B397" t="str">
        <f ca="1">TEXT(DATE(YEAR(Invoer!$A$5),1,1)+MOD(ROWS(B$2:B397)-1,DATE(YEAR(Invoer!$A$5),12,31)-DATE(YEAR(Invoer!$A$5),1,1)+1),"jjjjmmdd")</f>
        <v>19430131</v>
      </c>
      <c r="C397" s="18">
        <v>1</v>
      </c>
      <c r="D397" s="23" t="str">
        <f t="shared" ca="1" si="12"/>
        <v>—</v>
      </c>
      <c r="E397" s="24">
        <f t="shared" ca="1" si="13"/>
        <v>7</v>
      </c>
    </row>
    <row r="398" spans="1:5" x14ac:dyDescent="0.25">
      <c r="A398" s="17">
        <f ca="1">INDEX(Stations,INT((ROWS(A$2:A398)-1)/(DATE(YEAR(Invoer!$A$5),12,31)-DATE(YEAR(Invoer!$A$5),1,1)+1))+2,1)</f>
        <v>83</v>
      </c>
      <c r="B398" t="str">
        <f ca="1">TEXT(DATE(YEAR(Invoer!$A$5),1,1)+MOD(ROWS(B$2:B398)-1,DATE(YEAR(Invoer!$A$5),12,31)-DATE(YEAR(Invoer!$A$5),1,1)+1),"jjjjmmdd")</f>
        <v>19430201</v>
      </c>
      <c r="C398" s="18">
        <v>1</v>
      </c>
      <c r="D398" s="23" t="str">
        <f t="shared" ca="1" si="12"/>
        <v>—</v>
      </c>
      <c r="E398" s="24">
        <f t="shared" ca="1" si="13"/>
        <v>7</v>
      </c>
    </row>
    <row r="399" spans="1:5" x14ac:dyDescent="0.25">
      <c r="A399" s="17">
        <f ca="1">INDEX(Stations,INT((ROWS(A$2:A399)-1)/(DATE(YEAR(Invoer!$A$5),12,31)-DATE(YEAR(Invoer!$A$5),1,1)+1))+2,1)</f>
        <v>83</v>
      </c>
      <c r="B399" t="str">
        <f ca="1">TEXT(DATE(YEAR(Invoer!$A$5),1,1)+MOD(ROWS(B$2:B399)-1,DATE(YEAR(Invoer!$A$5),12,31)-DATE(YEAR(Invoer!$A$5),1,1)+1),"jjjjmmdd")</f>
        <v>19430202</v>
      </c>
      <c r="C399" s="18">
        <v>1</v>
      </c>
      <c r="D399" s="23" t="str">
        <f t="shared" ca="1" si="12"/>
        <v>—</v>
      </c>
      <c r="E399" s="24">
        <f t="shared" ca="1" si="13"/>
        <v>7</v>
      </c>
    </row>
    <row r="400" spans="1:5" x14ac:dyDescent="0.25">
      <c r="A400" s="17">
        <f ca="1">INDEX(Stations,INT((ROWS(A$2:A400)-1)/(DATE(YEAR(Invoer!$A$5),12,31)-DATE(YEAR(Invoer!$A$5),1,1)+1))+2,1)</f>
        <v>83</v>
      </c>
      <c r="B400" t="str">
        <f ca="1">TEXT(DATE(YEAR(Invoer!$A$5),1,1)+MOD(ROWS(B$2:B400)-1,DATE(YEAR(Invoer!$A$5),12,31)-DATE(YEAR(Invoer!$A$5),1,1)+1),"jjjjmmdd")</f>
        <v>19430203</v>
      </c>
      <c r="C400" s="18">
        <v>1</v>
      </c>
      <c r="D400" s="23" t="str">
        <f t="shared" ca="1" si="12"/>
        <v>—</v>
      </c>
      <c r="E400" s="24">
        <f t="shared" ca="1" si="13"/>
        <v>7</v>
      </c>
    </row>
    <row r="401" spans="1:5" x14ac:dyDescent="0.25">
      <c r="A401" s="17">
        <f ca="1">INDEX(Stations,INT((ROWS(A$2:A401)-1)/(DATE(YEAR(Invoer!$A$5),12,31)-DATE(YEAR(Invoer!$A$5),1,1)+1))+2,1)</f>
        <v>83</v>
      </c>
      <c r="B401" t="str">
        <f ca="1">TEXT(DATE(YEAR(Invoer!$A$5),1,1)+MOD(ROWS(B$2:B401)-1,DATE(YEAR(Invoer!$A$5),12,31)-DATE(YEAR(Invoer!$A$5),1,1)+1),"jjjjmmdd")</f>
        <v>19430204</v>
      </c>
      <c r="C401" s="18">
        <v>1</v>
      </c>
      <c r="D401" s="23" t="str">
        <f t="shared" ca="1" si="12"/>
        <v>—</v>
      </c>
      <c r="E401" s="24">
        <f t="shared" ca="1" si="13"/>
        <v>7</v>
      </c>
    </row>
    <row r="402" spans="1:5" x14ac:dyDescent="0.25">
      <c r="A402" s="17">
        <f ca="1">INDEX(Stations,INT((ROWS(A$2:A402)-1)/(DATE(YEAR(Invoer!$A$5),12,31)-DATE(YEAR(Invoer!$A$5),1,1)+1))+2,1)</f>
        <v>83</v>
      </c>
      <c r="B402" t="str">
        <f ca="1">TEXT(DATE(YEAR(Invoer!$A$5),1,1)+MOD(ROWS(B$2:B402)-1,DATE(YEAR(Invoer!$A$5),12,31)-DATE(YEAR(Invoer!$A$5),1,1)+1),"jjjjmmdd")</f>
        <v>19430205</v>
      </c>
      <c r="C402" s="18">
        <v>1</v>
      </c>
      <c r="D402" s="23" t="str">
        <f t="shared" ca="1" si="12"/>
        <v>—</v>
      </c>
      <c r="E402" s="24">
        <f t="shared" ca="1" si="13"/>
        <v>7</v>
      </c>
    </row>
    <row r="403" spans="1:5" x14ac:dyDescent="0.25">
      <c r="A403" s="17">
        <f ca="1">INDEX(Stations,INT((ROWS(A$2:A403)-1)/(DATE(YEAR(Invoer!$A$5),12,31)-DATE(YEAR(Invoer!$A$5),1,1)+1))+2,1)</f>
        <v>83</v>
      </c>
      <c r="B403" t="str">
        <f ca="1">TEXT(DATE(YEAR(Invoer!$A$5),1,1)+MOD(ROWS(B$2:B403)-1,DATE(YEAR(Invoer!$A$5),12,31)-DATE(YEAR(Invoer!$A$5),1,1)+1),"jjjjmmdd")</f>
        <v>19430206</v>
      </c>
      <c r="C403" s="18">
        <v>1</v>
      </c>
      <c r="D403" s="23" t="str">
        <f t="shared" ca="1" si="12"/>
        <v>—</v>
      </c>
      <c r="E403" s="24">
        <f t="shared" ca="1" si="13"/>
        <v>7</v>
      </c>
    </row>
    <row r="404" spans="1:5" x14ac:dyDescent="0.25">
      <c r="A404" s="17">
        <f ca="1">INDEX(Stations,INT((ROWS(A$2:A404)-1)/(DATE(YEAR(Invoer!$A$5),12,31)-DATE(YEAR(Invoer!$A$5),1,1)+1))+2,1)</f>
        <v>83</v>
      </c>
      <c r="B404" t="str">
        <f ca="1">TEXT(DATE(YEAR(Invoer!$A$5),1,1)+MOD(ROWS(B$2:B404)-1,DATE(YEAR(Invoer!$A$5),12,31)-DATE(YEAR(Invoer!$A$5),1,1)+1),"jjjjmmdd")</f>
        <v>19430207</v>
      </c>
      <c r="C404" s="18">
        <v>1</v>
      </c>
      <c r="D404" s="23" t="str">
        <f t="shared" ca="1" si="12"/>
        <v>—</v>
      </c>
      <c r="E404" s="24">
        <f t="shared" ca="1" si="13"/>
        <v>7</v>
      </c>
    </row>
    <row r="405" spans="1:5" x14ac:dyDescent="0.25">
      <c r="A405" s="17">
        <f ca="1">INDEX(Stations,INT((ROWS(A$2:A405)-1)/(DATE(YEAR(Invoer!$A$5),12,31)-DATE(YEAR(Invoer!$A$5),1,1)+1))+2,1)</f>
        <v>83</v>
      </c>
      <c r="B405" t="str">
        <f ca="1">TEXT(DATE(YEAR(Invoer!$A$5),1,1)+MOD(ROWS(B$2:B405)-1,DATE(YEAR(Invoer!$A$5),12,31)-DATE(YEAR(Invoer!$A$5),1,1)+1),"jjjjmmdd")</f>
        <v>19430208</v>
      </c>
      <c r="C405" s="18">
        <v>1</v>
      </c>
      <c r="D405" s="23" t="str">
        <f t="shared" ca="1" si="12"/>
        <v>—</v>
      </c>
      <c r="E405" s="24">
        <f t="shared" ca="1" si="13"/>
        <v>7</v>
      </c>
    </row>
    <row r="406" spans="1:5" x14ac:dyDescent="0.25">
      <c r="A406" s="17">
        <f ca="1">INDEX(Stations,INT((ROWS(A$2:A406)-1)/(DATE(YEAR(Invoer!$A$5),12,31)-DATE(YEAR(Invoer!$A$5),1,1)+1))+2,1)</f>
        <v>83</v>
      </c>
      <c r="B406" t="str">
        <f ca="1">TEXT(DATE(YEAR(Invoer!$A$5),1,1)+MOD(ROWS(B$2:B406)-1,DATE(YEAR(Invoer!$A$5),12,31)-DATE(YEAR(Invoer!$A$5),1,1)+1),"jjjjmmdd")</f>
        <v>19430209</v>
      </c>
      <c r="C406" s="18">
        <v>1</v>
      </c>
      <c r="D406" s="23" t="str">
        <f t="shared" ca="1" si="12"/>
        <v>—</v>
      </c>
      <c r="E406" s="24">
        <f t="shared" ca="1" si="13"/>
        <v>7</v>
      </c>
    </row>
    <row r="407" spans="1:5" x14ac:dyDescent="0.25">
      <c r="A407" s="17">
        <f ca="1">INDEX(Stations,INT((ROWS(A$2:A407)-1)/(DATE(YEAR(Invoer!$A$5),12,31)-DATE(YEAR(Invoer!$A$5),1,1)+1))+2,1)</f>
        <v>83</v>
      </c>
      <c r="B407" t="str">
        <f ca="1">TEXT(DATE(YEAR(Invoer!$A$5),1,1)+MOD(ROWS(B$2:B407)-1,DATE(YEAR(Invoer!$A$5),12,31)-DATE(YEAR(Invoer!$A$5),1,1)+1),"jjjjmmdd")</f>
        <v>19430210</v>
      </c>
      <c r="C407" s="18">
        <v>1</v>
      </c>
      <c r="D407" s="23" t="str">
        <f t="shared" ca="1" si="12"/>
        <v>—</v>
      </c>
      <c r="E407" s="24">
        <f t="shared" ca="1" si="13"/>
        <v>7</v>
      </c>
    </row>
    <row r="408" spans="1:5" x14ac:dyDescent="0.25">
      <c r="A408" s="17">
        <f ca="1">INDEX(Stations,INT((ROWS(A$2:A408)-1)/(DATE(YEAR(Invoer!$A$5),12,31)-DATE(YEAR(Invoer!$A$5),1,1)+1))+2,1)</f>
        <v>83</v>
      </c>
      <c r="B408" t="str">
        <f ca="1">TEXT(DATE(YEAR(Invoer!$A$5),1,1)+MOD(ROWS(B$2:B408)-1,DATE(YEAR(Invoer!$A$5),12,31)-DATE(YEAR(Invoer!$A$5),1,1)+1),"jjjjmmdd")</f>
        <v>19430211</v>
      </c>
      <c r="C408" s="18">
        <v>1</v>
      </c>
      <c r="D408" s="23" t="str">
        <f t="shared" ca="1" si="12"/>
        <v>—</v>
      </c>
      <c r="E408" s="24">
        <f t="shared" ca="1" si="13"/>
        <v>7</v>
      </c>
    </row>
    <row r="409" spans="1:5" x14ac:dyDescent="0.25">
      <c r="A409" s="17">
        <f ca="1">INDEX(Stations,INT((ROWS(A$2:A409)-1)/(DATE(YEAR(Invoer!$A$5),12,31)-DATE(YEAR(Invoer!$A$5),1,1)+1))+2,1)</f>
        <v>83</v>
      </c>
      <c r="B409" t="str">
        <f ca="1">TEXT(DATE(YEAR(Invoer!$A$5),1,1)+MOD(ROWS(B$2:B409)-1,DATE(YEAR(Invoer!$A$5),12,31)-DATE(YEAR(Invoer!$A$5),1,1)+1),"jjjjmmdd")</f>
        <v>19430212</v>
      </c>
      <c r="C409" s="18">
        <v>1</v>
      </c>
      <c r="D409" s="23" t="str">
        <f t="shared" ca="1" si="12"/>
        <v>—</v>
      </c>
      <c r="E409" s="24">
        <f t="shared" ca="1" si="13"/>
        <v>7</v>
      </c>
    </row>
    <row r="410" spans="1:5" x14ac:dyDescent="0.25">
      <c r="A410" s="17">
        <f ca="1">INDEX(Stations,INT((ROWS(A$2:A410)-1)/(DATE(YEAR(Invoer!$A$5),12,31)-DATE(YEAR(Invoer!$A$5),1,1)+1))+2,1)</f>
        <v>83</v>
      </c>
      <c r="B410" t="str">
        <f ca="1">TEXT(DATE(YEAR(Invoer!$A$5),1,1)+MOD(ROWS(B$2:B410)-1,DATE(YEAR(Invoer!$A$5),12,31)-DATE(YEAR(Invoer!$A$5),1,1)+1),"jjjjmmdd")</f>
        <v>19430213</v>
      </c>
      <c r="C410" s="18">
        <v>1</v>
      </c>
      <c r="D410" s="23" t="str">
        <f t="shared" ca="1" si="12"/>
        <v>—</v>
      </c>
      <c r="E410" s="24">
        <f t="shared" ca="1" si="13"/>
        <v>7</v>
      </c>
    </row>
    <row r="411" spans="1:5" x14ac:dyDescent="0.25">
      <c r="A411" s="17">
        <f ca="1">INDEX(Stations,INT((ROWS(A$2:A411)-1)/(DATE(YEAR(Invoer!$A$5),12,31)-DATE(YEAR(Invoer!$A$5),1,1)+1))+2,1)</f>
        <v>83</v>
      </c>
      <c r="B411" t="str">
        <f ca="1">TEXT(DATE(YEAR(Invoer!$A$5),1,1)+MOD(ROWS(B$2:B411)-1,DATE(YEAR(Invoer!$A$5),12,31)-DATE(YEAR(Invoer!$A$5),1,1)+1),"jjjjmmdd")</f>
        <v>19430214</v>
      </c>
      <c r="C411" s="18">
        <v>1</v>
      </c>
      <c r="D411" s="23" t="str">
        <f t="shared" ca="1" si="12"/>
        <v>—</v>
      </c>
      <c r="E411" s="24">
        <f t="shared" ca="1" si="13"/>
        <v>7</v>
      </c>
    </row>
    <row r="412" spans="1:5" x14ac:dyDescent="0.25">
      <c r="A412" s="17">
        <f ca="1">INDEX(Stations,INT((ROWS(A$2:A412)-1)/(DATE(YEAR(Invoer!$A$5),12,31)-DATE(YEAR(Invoer!$A$5),1,1)+1))+2,1)</f>
        <v>83</v>
      </c>
      <c r="B412" t="str">
        <f ca="1">TEXT(DATE(YEAR(Invoer!$A$5),1,1)+MOD(ROWS(B$2:B412)-1,DATE(YEAR(Invoer!$A$5),12,31)-DATE(YEAR(Invoer!$A$5),1,1)+1),"jjjjmmdd")</f>
        <v>19430215</v>
      </c>
      <c r="C412" s="18">
        <v>1</v>
      </c>
      <c r="D412" s="23" t="str">
        <f t="shared" ca="1" si="12"/>
        <v>—</v>
      </c>
      <c r="E412" s="24">
        <f t="shared" ca="1" si="13"/>
        <v>7</v>
      </c>
    </row>
    <row r="413" spans="1:5" x14ac:dyDescent="0.25">
      <c r="A413" s="17">
        <f ca="1">INDEX(Stations,INT((ROWS(A$2:A413)-1)/(DATE(YEAR(Invoer!$A$5),12,31)-DATE(YEAR(Invoer!$A$5),1,1)+1))+2,1)</f>
        <v>83</v>
      </c>
      <c r="B413" t="str">
        <f ca="1">TEXT(DATE(YEAR(Invoer!$A$5),1,1)+MOD(ROWS(B$2:B413)-1,DATE(YEAR(Invoer!$A$5),12,31)-DATE(YEAR(Invoer!$A$5),1,1)+1),"jjjjmmdd")</f>
        <v>19430216</v>
      </c>
      <c r="C413" s="18">
        <v>1</v>
      </c>
      <c r="D413" s="23" t="str">
        <f t="shared" ca="1" si="12"/>
        <v>—</v>
      </c>
      <c r="E413" s="24">
        <f t="shared" ca="1" si="13"/>
        <v>7</v>
      </c>
    </row>
    <row r="414" spans="1:5" x14ac:dyDescent="0.25">
      <c r="A414" s="17">
        <f ca="1">INDEX(Stations,INT((ROWS(A$2:A414)-1)/(DATE(YEAR(Invoer!$A$5),12,31)-DATE(YEAR(Invoer!$A$5),1,1)+1))+2,1)</f>
        <v>83</v>
      </c>
      <c r="B414" t="str">
        <f ca="1">TEXT(DATE(YEAR(Invoer!$A$5),1,1)+MOD(ROWS(B$2:B414)-1,DATE(YEAR(Invoer!$A$5),12,31)-DATE(YEAR(Invoer!$A$5),1,1)+1),"jjjjmmdd")</f>
        <v>19430217</v>
      </c>
      <c r="C414" s="18">
        <v>1</v>
      </c>
      <c r="D414" s="23" t="str">
        <f t="shared" ca="1" si="12"/>
        <v>—</v>
      </c>
      <c r="E414" s="24">
        <f t="shared" ca="1" si="13"/>
        <v>7</v>
      </c>
    </row>
    <row r="415" spans="1:5" x14ac:dyDescent="0.25">
      <c r="A415" s="17">
        <f ca="1">INDEX(Stations,INT((ROWS(A$2:A415)-1)/(DATE(YEAR(Invoer!$A$5),12,31)-DATE(YEAR(Invoer!$A$5),1,1)+1))+2,1)</f>
        <v>83</v>
      </c>
      <c r="B415" t="str">
        <f ca="1">TEXT(DATE(YEAR(Invoer!$A$5),1,1)+MOD(ROWS(B$2:B415)-1,DATE(YEAR(Invoer!$A$5),12,31)-DATE(YEAR(Invoer!$A$5),1,1)+1),"jjjjmmdd")</f>
        <v>19430218</v>
      </c>
      <c r="C415" s="18">
        <v>1</v>
      </c>
      <c r="D415" s="23" t="str">
        <f t="shared" ca="1" si="12"/>
        <v>—</v>
      </c>
      <c r="E415" s="24">
        <f t="shared" ca="1" si="13"/>
        <v>7</v>
      </c>
    </row>
    <row r="416" spans="1:5" x14ac:dyDescent="0.25">
      <c r="A416" s="17">
        <f ca="1">INDEX(Stations,INT((ROWS(A$2:A416)-1)/(DATE(YEAR(Invoer!$A$5),12,31)-DATE(YEAR(Invoer!$A$5),1,1)+1))+2,1)</f>
        <v>83</v>
      </c>
      <c r="B416" t="str">
        <f ca="1">TEXT(DATE(YEAR(Invoer!$A$5),1,1)+MOD(ROWS(B$2:B416)-1,DATE(YEAR(Invoer!$A$5),12,31)-DATE(YEAR(Invoer!$A$5),1,1)+1),"jjjjmmdd")</f>
        <v>19430219</v>
      </c>
      <c r="C416" s="18">
        <v>1</v>
      </c>
      <c r="D416" s="23" t="str">
        <f t="shared" ca="1" si="12"/>
        <v>—</v>
      </c>
      <c r="E416" s="24">
        <f t="shared" ca="1" si="13"/>
        <v>7</v>
      </c>
    </row>
    <row r="417" spans="1:5" x14ac:dyDescent="0.25">
      <c r="A417" s="17">
        <f ca="1">INDEX(Stations,INT((ROWS(A$2:A417)-1)/(DATE(YEAR(Invoer!$A$5),12,31)-DATE(YEAR(Invoer!$A$5),1,1)+1))+2,1)</f>
        <v>83</v>
      </c>
      <c r="B417" t="str">
        <f ca="1">TEXT(DATE(YEAR(Invoer!$A$5),1,1)+MOD(ROWS(B$2:B417)-1,DATE(YEAR(Invoer!$A$5),12,31)-DATE(YEAR(Invoer!$A$5),1,1)+1),"jjjjmmdd")</f>
        <v>19430220</v>
      </c>
      <c r="C417" s="18">
        <v>1</v>
      </c>
      <c r="D417" s="23" t="str">
        <f t="shared" ca="1" si="12"/>
        <v>—</v>
      </c>
      <c r="E417" s="24">
        <f t="shared" ca="1" si="13"/>
        <v>7</v>
      </c>
    </row>
    <row r="418" spans="1:5" x14ac:dyDescent="0.25">
      <c r="A418" s="17">
        <f ca="1">INDEX(Stations,INT((ROWS(A$2:A418)-1)/(DATE(YEAR(Invoer!$A$5),12,31)-DATE(YEAR(Invoer!$A$5),1,1)+1))+2,1)</f>
        <v>83</v>
      </c>
      <c r="B418" t="str">
        <f ca="1">TEXT(DATE(YEAR(Invoer!$A$5),1,1)+MOD(ROWS(B$2:B418)-1,DATE(YEAR(Invoer!$A$5),12,31)-DATE(YEAR(Invoer!$A$5),1,1)+1),"jjjjmmdd")</f>
        <v>19430221</v>
      </c>
      <c r="C418" s="18">
        <v>1</v>
      </c>
      <c r="D418" s="23" t="str">
        <f t="shared" ca="1" si="12"/>
        <v>—</v>
      </c>
      <c r="E418" s="24">
        <f t="shared" ca="1" si="13"/>
        <v>7</v>
      </c>
    </row>
    <row r="419" spans="1:5" x14ac:dyDescent="0.25">
      <c r="A419" s="17">
        <f ca="1">INDEX(Stations,INT((ROWS(A$2:A419)-1)/(DATE(YEAR(Invoer!$A$5),12,31)-DATE(YEAR(Invoer!$A$5),1,1)+1))+2,1)</f>
        <v>83</v>
      </c>
      <c r="B419" t="str">
        <f ca="1">TEXT(DATE(YEAR(Invoer!$A$5),1,1)+MOD(ROWS(B$2:B419)-1,DATE(YEAR(Invoer!$A$5),12,31)-DATE(YEAR(Invoer!$A$5),1,1)+1),"jjjjmmdd")</f>
        <v>19430222</v>
      </c>
      <c r="C419" s="18">
        <v>1</v>
      </c>
      <c r="D419" s="23" t="str">
        <f t="shared" ca="1" si="12"/>
        <v>—</v>
      </c>
      <c r="E419" s="24">
        <f t="shared" ca="1" si="13"/>
        <v>7</v>
      </c>
    </row>
    <row r="420" spans="1:5" x14ac:dyDescent="0.25">
      <c r="A420" s="17">
        <f ca="1">INDEX(Stations,INT((ROWS(A$2:A420)-1)/(DATE(YEAR(Invoer!$A$5),12,31)-DATE(YEAR(Invoer!$A$5),1,1)+1))+2,1)</f>
        <v>83</v>
      </c>
      <c r="B420" t="str">
        <f ca="1">TEXT(DATE(YEAR(Invoer!$A$5),1,1)+MOD(ROWS(B$2:B420)-1,DATE(YEAR(Invoer!$A$5),12,31)-DATE(YEAR(Invoer!$A$5),1,1)+1),"jjjjmmdd")</f>
        <v>19430223</v>
      </c>
      <c r="C420" s="18">
        <v>1</v>
      </c>
      <c r="D420" s="23" t="str">
        <f t="shared" ca="1" si="12"/>
        <v>—</v>
      </c>
      <c r="E420" s="24">
        <f t="shared" ca="1" si="13"/>
        <v>7</v>
      </c>
    </row>
    <row r="421" spans="1:5" x14ac:dyDescent="0.25">
      <c r="A421" s="17">
        <f ca="1">INDEX(Stations,INT((ROWS(A$2:A421)-1)/(DATE(YEAR(Invoer!$A$5),12,31)-DATE(YEAR(Invoer!$A$5),1,1)+1))+2,1)</f>
        <v>83</v>
      </c>
      <c r="B421" t="str">
        <f ca="1">TEXT(DATE(YEAR(Invoer!$A$5),1,1)+MOD(ROWS(B$2:B421)-1,DATE(YEAR(Invoer!$A$5),12,31)-DATE(YEAR(Invoer!$A$5),1,1)+1),"jjjjmmdd")</f>
        <v>19430224</v>
      </c>
      <c r="C421" s="18">
        <v>1</v>
      </c>
      <c r="D421" s="23" t="str">
        <f t="shared" ca="1" si="12"/>
        <v>—</v>
      </c>
      <c r="E421" s="24">
        <f t="shared" ca="1" si="13"/>
        <v>7</v>
      </c>
    </row>
    <row r="422" spans="1:5" x14ac:dyDescent="0.25">
      <c r="A422" s="17">
        <f ca="1">INDEX(Stations,INT((ROWS(A$2:A422)-1)/(DATE(YEAR(Invoer!$A$5),12,31)-DATE(YEAR(Invoer!$A$5),1,1)+1))+2,1)</f>
        <v>83</v>
      </c>
      <c r="B422" t="str">
        <f ca="1">TEXT(DATE(YEAR(Invoer!$A$5),1,1)+MOD(ROWS(B$2:B422)-1,DATE(YEAR(Invoer!$A$5),12,31)-DATE(YEAR(Invoer!$A$5),1,1)+1),"jjjjmmdd")</f>
        <v>19430225</v>
      </c>
      <c r="C422" s="18">
        <v>1</v>
      </c>
      <c r="D422" s="23" t="str">
        <f t="shared" ca="1" si="12"/>
        <v>—</v>
      </c>
      <c r="E422" s="24">
        <f t="shared" ca="1" si="13"/>
        <v>7</v>
      </c>
    </row>
    <row r="423" spans="1:5" x14ac:dyDescent="0.25">
      <c r="A423" s="17">
        <f ca="1">INDEX(Stations,INT((ROWS(A$2:A423)-1)/(DATE(YEAR(Invoer!$A$5),12,31)-DATE(YEAR(Invoer!$A$5),1,1)+1))+2,1)</f>
        <v>83</v>
      </c>
      <c r="B423" t="str">
        <f ca="1">TEXT(DATE(YEAR(Invoer!$A$5),1,1)+MOD(ROWS(B$2:B423)-1,DATE(YEAR(Invoer!$A$5),12,31)-DATE(YEAR(Invoer!$A$5),1,1)+1),"jjjjmmdd")</f>
        <v>19430226</v>
      </c>
      <c r="C423" s="18">
        <v>1</v>
      </c>
      <c r="D423" s="23" t="str">
        <f t="shared" ca="1" si="12"/>
        <v>—</v>
      </c>
      <c r="E423" s="24">
        <f t="shared" ca="1" si="13"/>
        <v>7</v>
      </c>
    </row>
    <row r="424" spans="1:5" x14ac:dyDescent="0.25">
      <c r="A424" s="17">
        <f ca="1">INDEX(Stations,INT((ROWS(A$2:A424)-1)/(DATE(YEAR(Invoer!$A$5),12,31)-DATE(YEAR(Invoer!$A$5),1,1)+1))+2,1)</f>
        <v>83</v>
      </c>
      <c r="B424" t="str">
        <f ca="1">TEXT(DATE(YEAR(Invoer!$A$5),1,1)+MOD(ROWS(B$2:B424)-1,DATE(YEAR(Invoer!$A$5),12,31)-DATE(YEAR(Invoer!$A$5),1,1)+1),"jjjjmmdd")</f>
        <v>19430227</v>
      </c>
      <c r="C424" s="18">
        <v>1</v>
      </c>
      <c r="D424" s="23" t="str">
        <f t="shared" ca="1" si="12"/>
        <v>—</v>
      </c>
      <c r="E424" s="24">
        <f t="shared" ca="1" si="13"/>
        <v>7</v>
      </c>
    </row>
    <row r="425" spans="1:5" x14ac:dyDescent="0.25">
      <c r="A425" s="17">
        <f ca="1">INDEX(Stations,INT((ROWS(A$2:A425)-1)/(DATE(YEAR(Invoer!$A$5),12,31)-DATE(YEAR(Invoer!$A$5),1,1)+1))+2,1)</f>
        <v>83</v>
      </c>
      <c r="B425" t="str">
        <f ca="1">TEXT(DATE(YEAR(Invoer!$A$5),1,1)+MOD(ROWS(B$2:B425)-1,DATE(YEAR(Invoer!$A$5),12,31)-DATE(YEAR(Invoer!$A$5),1,1)+1),"jjjjmmdd")</f>
        <v>19430228</v>
      </c>
      <c r="C425" s="18">
        <v>1</v>
      </c>
      <c r="D425" s="23" t="str">
        <f t="shared" ca="1" si="12"/>
        <v>—</v>
      </c>
      <c r="E425" s="24">
        <f t="shared" ca="1" si="13"/>
        <v>7</v>
      </c>
    </row>
    <row r="426" spans="1:5" x14ac:dyDescent="0.25">
      <c r="A426" s="17">
        <f ca="1">INDEX(Stations,INT((ROWS(A$2:A426)-1)/(DATE(YEAR(Invoer!$A$5),12,31)-DATE(YEAR(Invoer!$A$5),1,1)+1))+2,1)</f>
        <v>83</v>
      </c>
      <c r="B426" t="str">
        <f ca="1">TEXT(DATE(YEAR(Invoer!$A$5),1,1)+MOD(ROWS(B$2:B426)-1,DATE(YEAR(Invoer!$A$5),12,31)-DATE(YEAR(Invoer!$A$5),1,1)+1),"jjjjmmdd")</f>
        <v>19430301</v>
      </c>
      <c r="C426" s="18">
        <v>1</v>
      </c>
      <c r="D426" s="23" t="str">
        <f t="shared" ca="1" si="12"/>
        <v>—</v>
      </c>
      <c r="E426" s="24">
        <f t="shared" ca="1" si="13"/>
        <v>7</v>
      </c>
    </row>
    <row r="427" spans="1:5" x14ac:dyDescent="0.25">
      <c r="A427" s="17">
        <f ca="1">INDEX(Stations,INT((ROWS(A$2:A427)-1)/(DATE(YEAR(Invoer!$A$5),12,31)-DATE(YEAR(Invoer!$A$5),1,1)+1))+2,1)</f>
        <v>83</v>
      </c>
      <c r="B427" t="str">
        <f ca="1">TEXT(DATE(YEAR(Invoer!$A$5),1,1)+MOD(ROWS(B$2:B427)-1,DATE(YEAR(Invoer!$A$5),12,31)-DATE(YEAR(Invoer!$A$5),1,1)+1),"jjjjmmdd")</f>
        <v>19430302</v>
      </c>
      <c r="C427" s="18">
        <v>1</v>
      </c>
      <c r="D427" s="23" t="str">
        <f t="shared" ca="1" si="12"/>
        <v>—</v>
      </c>
      <c r="E427" s="24">
        <f t="shared" ca="1" si="13"/>
        <v>7</v>
      </c>
    </row>
    <row r="428" spans="1:5" x14ac:dyDescent="0.25">
      <c r="A428" s="17">
        <f ca="1">INDEX(Stations,INT((ROWS(A$2:A428)-1)/(DATE(YEAR(Invoer!$A$5),12,31)-DATE(YEAR(Invoer!$A$5),1,1)+1))+2,1)</f>
        <v>83</v>
      </c>
      <c r="B428" t="str">
        <f ca="1">TEXT(DATE(YEAR(Invoer!$A$5),1,1)+MOD(ROWS(B$2:B428)-1,DATE(YEAR(Invoer!$A$5),12,31)-DATE(YEAR(Invoer!$A$5),1,1)+1),"jjjjmmdd")</f>
        <v>19430303</v>
      </c>
      <c r="C428" s="18">
        <v>1</v>
      </c>
      <c r="D428" s="23" t="str">
        <f t="shared" ca="1" si="12"/>
        <v>—</v>
      </c>
      <c r="E428" s="24">
        <f t="shared" ca="1" si="13"/>
        <v>7</v>
      </c>
    </row>
    <row r="429" spans="1:5" x14ac:dyDescent="0.25">
      <c r="A429" s="17">
        <f ca="1">INDEX(Stations,INT((ROWS(A$2:A429)-1)/(DATE(YEAR(Invoer!$A$5),12,31)-DATE(YEAR(Invoer!$A$5),1,1)+1))+2,1)</f>
        <v>83</v>
      </c>
      <c r="B429" t="str">
        <f ca="1">TEXT(DATE(YEAR(Invoer!$A$5),1,1)+MOD(ROWS(B$2:B429)-1,DATE(YEAR(Invoer!$A$5),12,31)-DATE(YEAR(Invoer!$A$5),1,1)+1),"jjjjmmdd")</f>
        <v>19430304</v>
      </c>
      <c r="C429" s="18">
        <v>1</v>
      </c>
      <c r="D429" s="23" t="str">
        <f t="shared" ca="1" si="12"/>
        <v>—</v>
      </c>
      <c r="E429" s="24">
        <f t="shared" ca="1" si="13"/>
        <v>7</v>
      </c>
    </row>
    <row r="430" spans="1:5" x14ac:dyDescent="0.25">
      <c r="A430" s="17">
        <f ca="1">INDEX(Stations,INT((ROWS(A$2:A430)-1)/(DATE(YEAR(Invoer!$A$5),12,31)-DATE(YEAR(Invoer!$A$5),1,1)+1))+2,1)</f>
        <v>83</v>
      </c>
      <c r="B430" t="str">
        <f ca="1">TEXT(DATE(YEAR(Invoer!$A$5),1,1)+MOD(ROWS(B$2:B430)-1,DATE(YEAR(Invoer!$A$5),12,31)-DATE(YEAR(Invoer!$A$5),1,1)+1),"jjjjmmdd")</f>
        <v>19430305</v>
      </c>
      <c r="C430" s="18">
        <v>1</v>
      </c>
      <c r="D430" s="23" t="str">
        <f t="shared" ca="1" si="12"/>
        <v>—</v>
      </c>
      <c r="E430" s="24">
        <f t="shared" ca="1" si="13"/>
        <v>7</v>
      </c>
    </row>
    <row r="431" spans="1:5" x14ac:dyDescent="0.25">
      <c r="A431" s="17">
        <f ca="1">INDEX(Stations,INT((ROWS(A$2:A431)-1)/(DATE(YEAR(Invoer!$A$5),12,31)-DATE(YEAR(Invoer!$A$5),1,1)+1))+2,1)</f>
        <v>83</v>
      </c>
      <c r="B431" t="str">
        <f ca="1">TEXT(DATE(YEAR(Invoer!$A$5),1,1)+MOD(ROWS(B$2:B431)-1,DATE(YEAR(Invoer!$A$5),12,31)-DATE(YEAR(Invoer!$A$5),1,1)+1),"jjjjmmdd")</f>
        <v>19430306</v>
      </c>
      <c r="C431" s="18">
        <v>1</v>
      </c>
      <c r="D431" s="23" t="str">
        <f t="shared" ca="1" si="12"/>
        <v>—</v>
      </c>
      <c r="E431" s="24">
        <f t="shared" ca="1" si="13"/>
        <v>7</v>
      </c>
    </row>
    <row r="432" spans="1:5" x14ac:dyDescent="0.25">
      <c r="A432" s="17">
        <f ca="1">INDEX(Stations,INT((ROWS(A$2:A432)-1)/(DATE(YEAR(Invoer!$A$5),12,31)-DATE(YEAR(Invoer!$A$5),1,1)+1))+2,1)</f>
        <v>83</v>
      </c>
      <c r="B432" t="str">
        <f ca="1">TEXT(DATE(YEAR(Invoer!$A$5),1,1)+MOD(ROWS(B$2:B432)-1,DATE(YEAR(Invoer!$A$5),12,31)-DATE(YEAR(Invoer!$A$5),1,1)+1),"jjjjmmdd")</f>
        <v>19430307</v>
      </c>
      <c r="C432" s="18">
        <v>1</v>
      </c>
      <c r="D432" s="23" t="str">
        <f t="shared" ca="1" si="12"/>
        <v>—</v>
      </c>
      <c r="E432" s="24">
        <f t="shared" ca="1" si="13"/>
        <v>7</v>
      </c>
    </row>
    <row r="433" spans="1:5" x14ac:dyDescent="0.25">
      <c r="A433" s="17">
        <f ca="1">INDEX(Stations,INT((ROWS(A$2:A433)-1)/(DATE(YEAR(Invoer!$A$5),12,31)-DATE(YEAR(Invoer!$A$5),1,1)+1))+2,1)</f>
        <v>83</v>
      </c>
      <c r="B433" t="str">
        <f ca="1">TEXT(DATE(YEAR(Invoer!$A$5),1,1)+MOD(ROWS(B$2:B433)-1,DATE(YEAR(Invoer!$A$5),12,31)-DATE(YEAR(Invoer!$A$5),1,1)+1),"jjjjmmdd")</f>
        <v>19430308</v>
      </c>
      <c r="C433" s="18">
        <v>1</v>
      </c>
      <c r="D433" s="23" t="str">
        <f t="shared" ca="1" si="12"/>
        <v>—</v>
      </c>
      <c r="E433" s="24">
        <f t="shared" ca="1" si="13"/>
        <v>7</v>
      </c>
    </row>
    <row r="434" spans="1:5" x14ac:dyDescent="0.25">
      <c r="A434" s="17">
        <f ca="1">INDEX(Stations,INT((ROWS(A$2:A434)-1)/(DATE(YEAR(Invoer!$A$5),12,31)-DATE(YEAR(Invoer!$A$5),1,1)+1))+2,1)</f>
        <v>83</v>
      </c>
      <c r="B434" t="str">
        <f ca="1">TEXT(DATE(YEAR(Invoer!$A$5),1,1)+MOD(ROWS(B$2:B434)-1,DATE(YEAR(Invoer!$A$5),12,31)-DATE(YEAR(Invoer!$A$5),1,1)+1),"jjjjmmdd")</f>
        <v>19430309</v>
      </c>
      <c r="C434" s="18">
        <v>1</v>
      </c>
      <c r="D434" s="23" t="str">
        <f t="shared" ca="1" si="12"/>
        <v>—</v>
      </c>
      <c r="E434" s="24">
        <f t="shared" ca="1" si="13"/>
        <v>7</v>
      </c>
    </row>
    <row r="435" spans="1:5" x14ac:dyDescent="0.25">
      <c r="A435" s="17">
        <f ca="1">INDEX(Stations,INT((ROWS(A$2:A435)-1)/(DATE(YEAR(Invoer!$A$5),12,31)-DATE(YEAR(Invoer!$A$5),1,1)+1))+2,1)</f>
        <v>83</v>
      </c>
      <c r="B435" t="str">
        <f ca="1">TEXT(DATE(YEAR(Invoer!$A$5),1,1)+MOD(ROWS(B$2:B435)-1,DATE(YEAR(Invoer!$A$5),12,31)-DATE(YEAR(Invoer!$A$5),1,1)+1),"jjjjmmdd")</f>
        <v>19430310</v>
      </c>
      <c r="C435" s="18">
        <v>1</v>
      </c>
      <c r="D435" s="23" t="str">
        <f t="shared" ca="1" si="12"/>
        <v>—</v>
      </c>
      <c r="E435" s="24">
        <f t="shared" ca="1" si="13"/>
        <v>7</v>
      </c>
    </row>
    <row r="436" spans="1:5" x14ac:dyDescent="0.25">
      <c r="A436" s="17">
        <f ca="1">INDEX(Stations,INT((ROWS(A$2:A436)-1)/(DATE(YEAR(Invoer!$A$5),12,31)-DATE(YEAR(Invoer!$A$5),1,1)+1))+2,1)</f>
        <v>83</v>
      </c>
      <c r="B436" t="str">
        <f ca="1">TEXT(DATE(YEAR(Invoer!$A$5),1,1)+MOD(ROWS(B$2:B436)-1,DATE(YEAR(Invoer!$A$5),12,31)-DATE(YEAR(Invoer!$A$5),1,1)+1),"jjjjmmdd")</f>
        <v>19430311</v>
      </c>
      <c r="C436" s="18">
        <v>1</v>
      </c>
      <c r="D436" s="23" t="str">
        <f t="shared" ca="1" si="12"/>
        <v>—</v>
      </c>
      <c r="E436" s="24">
        <f t="shared" ca="1" si="13"/>
        <v>7</v>
      </c>
    </row>
    <row r="437" spans="1:5" x14ac:dyDescent="0.25">
      <c r="A437" s="17">
        <f ca="1">INDEX(Stations,INT((ROWS(A$2:A437)-1)/(DATE(YEAR(Invoer!$A$5),12,31)-DATE(YEAR(Invoer!$A$5),1,1)+1))+2,1)</f>
        <v>83</v>
      </c>
      <c r="B437" t="str">
        <f ca="1">TEXT(DATE(YEAR(Invoer!$A$5),1,1)+MOD(ROWS(B$2:B437)-1,DATE(YEAR(Invoer!$A$5),12,31)-DATE(YEAR(Invoer!$A$5),1,1)+1),"jjjjmmdd")</f>
        <v>19430312</v>
      </c>
      <c r="C437" s="18">
        <v>1</v>
      </c>
      <c r="D437" s="23" t="str">
        <f t="shared" ca="1" si="12"/>
        <v>—</v>
      </c>
      <c r="E437" s="24">
        <f t="shared" ca="1" si="13"/>
        <v>7</v>
      </c>
    </row>
    <row r="438" spans="1:5" x14ac:dyDescent="0.25">
      <c r="A438" s="17">
        <f ca="1">INDEX(Stations,INT((ROWS(A$2:A438)-1)/(DATE(YEAR(Invoer!$A$5),12,31)-DATE(YEAR(Invoer!$A$5),1,1)+1))+2,1)</f>
        <v>83</v>
      </c>
      <c r="B438" t="str">
        <f ca="1">TEXT(DATE(YEAR(Invoer!$A$5),1,1)+MOD(ROWS(B$2:B438)-1,DATE(YEAR(Invoer!$A$5),12,31)-DATE(YEAR(Invoer!$A$5),1,1)+1),"jjjjmmdd")</f>
        <v>19430313</v>
      </c>
      <c r="C438" s="18">
        <v>1</v>
      </c>
      <c r="D438" s="23" t="str">
        <f t="shared" ca="1" si="12"/>
        <v>—</v>
      </c>
      <c r="E438" s="24">
        <f t="shared" ca="1" si="13"/>
        <v>7</v>
      </c>
    </row>
    <row r="439" spans="1:5" x14ac:dyDescent="0.25">
      <c r="A439" s="17">
        <f ca="1">INDEX(Stations,INT((ROWS(A$2:A439)-1)/(DATE(YEAR(Invoer!$A$5),12,31)-DATE(YEAR(Invoer!$A$5),1,1)+1))+2,1)</f>
        <v>83</v>
      </c>
      <c r="B439" t="str">
        <f ca="1">TEXT(DATE(YEAR(Invoer!$A$5),1,1)+MOD(ROWS(B$2:B439)-1,DATE(YEAR(Invoer!$A$5),12,31)-DATE(YEAR(Invoer!$A$5),1,1)+1),"jjjjmmdd")</f>
        <v>19430314</v>
      </c>
      <c r="C439" s="18">
        <v>1</v>
      </c>
      <c r="D439" s="23" t="str">
        <f t="shared" ca="1" si="12"/>
        <v>—</v>
      </c>
      <c r="E439" s="24">
        <f t="shared" ca="1" si="13"/>
        <v>7</v>
      </c>
    </row>
    <row r="440" spans="1:5" x14ac:dyDescent="0.25">
      <c r="A440" s="17">
        <f ca="1">INDEX(Stations,INT((ROWS(A$2:A440)-1)/(DATE(YEAR(Invoer!$A$5),12,31)-DATE(YEAR(Invoer!$A$5),1,1)+1))+2,1)</f>
        <v>83</v>
      </c>
      <c r="B440" t="str">
        <f ca="1">TEXT(DATE(YEAR(Invoer!$A$5),1,1)+MOD(ROWS(B$2:B440)-1,DATE(YEAR(Invoer!$A$5),12,31)-DATE(YEAR(Invoer!$A$5),1,1)+1),"jjjjmmdd")</f>
        <v>19430315</v>
      </c>
      <c r="C440" s="18">
        <v>1</v>
      </c>
      <c r="D440" s="23" t="str">
        <f t="shared" ca="1" si="12"/>
        <v>—</v>
      </c>
      <c r="E440" s="24">
        <f t="shared" ca="1" si="13"/>
        <v>7</v>
      </c>
    </row>
    <row r="441" spans="1:5" x14ac:dyDescent="0.25">
      <c r="A441" s="17">
        <f ca="1">INDEX(Stations,INT((ROWS(A$2:A441)-1)/(DATE(YEAR(Invoer!$A$5),12,31)-DATE(YEAR(Invoer!$A$5),1,1)+1))+2,1)</f>
        <v>83</v>
      </c>
      <c r="B441" t="str">
        <f ca="1">TEXT(DATE(YEAR(Invoer!$A$5),1,1)+MOD(ROWS(B$2:B441)-1,DATE(YEAR(Invoer!$A$5),12,31)-DATE(YEAR(Invoer!$A$5),1,1)+1),"jjjjmmdd")</f>
        <v>19430316</v>
      </c>
      <c r="C441" s="18">
        <v>1</v>
      </c>
      <c r="D441" s="23" t="str">
        <f t="shared" ca="1" si="12"/>
        <v>—</v>
      </c>
      <c r="E441" s="24">
        <f t="shared" ca="1" si="13"/>
        <v>7</v>
      </c>
    </row>
    <row r="442" spans="1:5" x14ac:dyDescent="0.25">
      <c r="A442" s="17">
        <f ca="1">INDEX(Stations,INT((ROWS(A$2:A442)-1)/(DATE(YEAR(Invoer!$A$5),12,31)-DATE(YEAR(Invoer!$A$5),1,1)+1))+2,1)</f>
        <v>83</v>
      </c>
      <c r="B442" t="str">
        <f ca="1">TEXT(DATE(YEAR(Invoer!$A$5),1,1)+MOD(ROWS(B$2:B442)-1,DATE(YEAR(Invoer!$A$5),12,31)-DATE(YEAR(Invoer!$A$5),1,1)+1),"jjjjmmdd")</f>
        <v>19430317</v>
      </c>
      <c r="C442" s="18">
        <v>1</v>
      </c>
      <c r="D442" s="23" t="str">
        <f t="shared" ca="1" si="12"/>
        <v>—</v>
      </c>
      <c r="E442" s="24">
        <f t="shared" ca="1" si="13"/>
        <v>7</v>
      </c>
    </row>
    <row r="443" spans="1:5" x14ac:dyDescent="0.25">
      <c r="A443" s="17">
        <f ca="1">INDEX(Stations,INT((ROWS(A$2:A443)-1)/(DATE(YEAR(Invoer!$A$5),12,31)-DATE(YEAR(Invoer!$A$5),1,1)+1))+2,1)</f>
        <v>83</v>
      </c>
      <c r="B443" t="str">
        <f ca="1">TEXT(DATE(YEAR(Invoer!$A$5),1,1)+MOD(ROWS(B$2:B443)-1,DATE(YEAR(Invoer!$A$5),12,31)-DATE(YEAR(Invoer!$A$5),1,1)+1),"jjjjmmdd")</f>
        <v>19430318</v>
      </c>
      <c r="C443" s="18">
        <v>1</v>
      </c>
      <c r="D443" s="23" t="str">
        <f t="shared" ca="1" si="12"/>
        <v>—</v>
      </c>
      <c r="E443" s="24">
        <f t="shared" ca="1" si="13"/>
        <v>7</v>
      </c>
    </row>
    <row r="444" spans="1:5" x14ac:dyDescent="0.25">
      <c r="A444" s="17">
        <f ca="1">INDEX(Stations,INT((ROWS(A$2:A444)-1)/(DATE(YEAR(Invoer!$A$5),12,31)-DATE(YEAR(Invoer!$A$5),1,1)+1))+2,1)</f>
        <v>83</v>
      </c>
      <c r="B444" t="str">
        <f ca="1">TEXT(DATE(YEAR(Invoer!$A$5),1,1)+MOD(ROWS(B$2:B444)-1,DATE(YEAR(Invoer!$A$5),12,31)-DATE(YEAR(Invoer!$A$5),1,1)+1),"jjjjmmdd")</f>
        <v>19430319</v>
      </c>
      <c r="C444" s="18">
        <v>1</v>
      </c>
      <c r="D444" s="23" t="str">
        <f t="shared" ca="1" si="12"/>
        <v>—</v>
      </c>
      <c r="E444" s="24">
        <f t="shared" ca="1" si="13"/>
        <v>7</v>
      </c>
    </row>
    <row r="445" spans="1:5" x14ac:dyDescent="0.25">
      <c r="A445" s="17">
        <f ca="1">INDEX(Stations,INT((ROWS(A$2:A445)-1)/(DATE(YEAR(Invoer!$A$5),12,31)-DATE(YEAR(Invoer!$A$5),1,1)+1))+2,1)</f>
        <v>83</v>
      </c>
      <c r="B445" t="str">
        <f ca="1">TEXT(DATE(YEAR(Invoer!$A$5),1,1)+MOD(ROWS(B$2:B445)-1,DATE(YEAR(Invoer!$A$5),12,31)-DATE(YEAR(Invoer!$A$5),1,1)+1),"jjjjmmdd")</f>
        <v>19430320</v>
      </c>
      <c r="C445" s="18">
        <v>1</v>
      </c>
      <c r="D445" s="23" t="str">
        <f t="shared" ca="1" si="12"/>
        <v>—</v>
      </c>
      <c r="E445" s="24">
        <f t="shared" ca="1" si="13"/>
        <v>7</v>
      </c>
    </row>
    <row r="446" spans="1:5" x14ac:dyDescent="0.25">
      <c r="A446" s="17">
        <f ca="1">INDEX(Stations,INT((ROWS(A$2:A446)-1)/(DATE(YEAR(Invoer!$A$5),12,31)-DATE(YEAR(Invoer!$A$5),1,1)+1))+2,1)</f>
        <v>83</v>
      </c>
      <c r="B446" t="str">
        <f ca="1">TEXT(DATE(YEAR(Invoer!$A$5),1,1)+MOD(ROWS(B$2:B446)-1,DATE(YEAR(Invoer!$A$5),12,31)-DATE(YEAR(Invoer!$A$5),1,1)+1),"jjjjmmdd")</f>
        <v>19430321</v>
      </c>
      <c r="C446" s="18">
        <v>1</v>
      </c>
      <c r="D446" s="23" t="str">
        <f t="shared" ca="1" si="12"/>
        <v>—</v>
      </c>
      <c r="E446" s="24">
        <f t="shared" ca="1" si="13"/>
        <v>7</v>
      </c>
    </row>
    <row r="447" spans="1:5" x14ac:dyDescent="0.25">
      <c r="A447" s="17">
        <f ca="1">INDEX(Stations,INT((ROWS(A$2:A447)-1)/(DATE(YEAR(Invoer!$A$5),12,31)-DATE(YEAR(Invoer!$A$5),1,1)+1))+2,1)</f>
        <v>83</v>
      </c>
      <c r="B447" t="str">
        <f ca="1">TEXT(DATE(YEAR(Invoer!$A$5),1,1)+MOD(ROWS(B$2:B447)-1,DATE(YEAR(Invoer!$A$5),12,31)-DATE(YEAR(Invoer!$A$5),1,1)+1),"jjjjmmdd")</f>
        <v>19430322</v>
      </c>
      <c r="C447" s="18">
        <v>1</v>
      </c>
      <c r="D447" s="23" t="str">
        <f t="shared" ca="1" si="12"/>
        <v>—</v>
      </c>
      <c r="E447" s="24">
        <f t="shared" ca="1" si="13"/>
        <v>7</v>
      </c>
    </row>
    <row r="448" spans="1:5" x14ac:dyDescent="0.25">
      <c r="A448" s="17">
        <f ca="1">INDEX(Stations,INT((ROWS(A$2:A448)-1)/(DATE(YEAR(Invoer!$A$5),12,31)-DATE(YEAR(Invoer!$A$5),1,1)+1))+2,1)</f>
        <v>83</v>
      </c>
      <c r="B448" t="str">
        <f ca="1">TEXT(DATE(YEAR(Invoer!$A$5),1,1)+MOD(ROWS(B$2:B448)-1,DATE(YEAR(Invoer!$A$5),12,31)-DATE(YEAR(Invoer!$A$5),1,1)+1),"jjjjmmdd")</f>
        <v>19430323</v>
      </c>
      <c r="C448" s="18">
        <v>1</v>
      </c>
      <c r="D448" s="23" t="str">
        <f t="shared" ca="1" si="12"/>
        <v>—</v>
      </c>
      <c r="E448" s="24">
        <f t="shared" ca="1" si="13"/>
        <v>7</v>
      </c>
    </row>
    <row r="449" spans="1:5" x14ac:dyDescent="0.25">
      <c r="A449" s="17">
        <f ca="1">INDEX(Stations,INT((ROWS(A$2:A449)-1)/(DATE(YEAR(Invoer!$A$5),12,31)-DATE(YEAR(Invoer!$A$5),1,1)+1))+2,1)</f>
        <v>83</v>
      </c>
      <c r="B449" t="str">
        <f ca="1">TEXT(DATE(YEAR(Invoer!$A$5),1,1)+MOD(ROWS(B$2:B449)-1,DATE(YEAR(Invoer!$A$5),12,31)-DATE(YEAR(Invoer!$A$5),1,1)+1),"jjjjmmdd")</f>
        <v>19430324</v>
      </c>
      <c r="C449" s="18">
        <v>1</v>
      </c>
      <c r="D449" s="23" t="str">
        <f t="shared" ca="1" si="12"/>
        <v>—</v>
      </c>
      <c r="E449" s="24">
        <f t="shared" ca="1" si="13"/>
        <v>7</v>
      </c>
    </row>
    <row r="450" spans="1:5" x14ac:dyDescent="0.25">
      <c r="A450" s="17">
        <f ca="1">INDEX(Stations,INT((ROWS(A$2:A450)-1)/(DATE(YEAR(Invoer!$A$5),12,31)-DATE(YEAR(Invoer!$A$5),1,1)+1))+2,1)</f>
        <v>83</v>
      </c>
      <c r="B450" t="str">
        <f ca="1">TEXT(DATE(YEAR(Invoer!$A$5),1,1)+MOD(ROWS(B$2:B450)-1,DATE(YEAR(Invoer!$A$5),12,31)-DATE(YEAR(Invoer!$A$5),1,1)+1),"jjjjmmdd")</f>
        <v>19430325</v>
      </c>
      <c r="C450" s="18">
        <v>1</v>
      </c>
      <c r="D450" s="23" t="str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—</v>
      </c>
      <c r="E450" s="24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7</v>
      </c>
    </row>
    <row r="451" spans="1:5" x14ac:dyDescent="0.25">
      <c r="A451" s="17">
        <f ca="1">INDEX(Stations,INT((ROWS(A$2:A451)-1)/(DATE(YEAR(Invoer!$A$5),12,31)-DATE(YEAR(Invoer!$A$5),1,1)+1))+2,1)</f>
        <v>83</v>
      </c>
      <c r="B451" t="str">
        <f ca="1">TEXT(DATE(YEAR(Invoer!$A$5),1,1)+MOD(ROWS(B$2:B451)-1,DATE(YEAR(Invoer!$A$5),12,31)-DATE(YEAR(Invoer!$A$5),1,1)+1),"jjjjmmdd")</f>
        <v>19430326</v>
      </c>
      <c r="C451" s="18">
        <v>1</v>
      </c>
      <c r="D451" s="23" t="str">
        <f t="shared" ca="1" si="14"/>
        <v>—</v>
      </c>
      <c r="E451" s="24">
        <f t="shared" ca="1" si="15"/>
        <v>7</v>
      </c>
    </row>
    <row r="452" spans="1:5" x14ac:dyDescent="0.25">
      <c r="A452" s="17">
        <f ca="1">INDEX(Stations,INT((ROWS(A$2:A452)-1)/(DATE(YEAR(Invoer!$A$5),12,31)-DATE(YEAR(Invoer!$A$5),1,1)+1))+2,1)</f>
        <v>83</v>
      </c>
      <c r="B452" t="str">
        <f ca="1">TEXT(DATE(YEAR(Invoer!$A$5),1,1)+MOD(ROWS(B$2:B452)-1,DATE(YEAR(Invoer!$A$5),12,31)-DATE(YEAR(Invoer!$A$5),1,1)+1),"jjjjmmdd")</f>
        <v>19430327</v>
      </c>
      <c r="C452" s="18">
        <v>1</v>
      </c>
      <c r="D452" s="23" t="str">
        <f t="shared" ca="1" si="14"/>
        <v>—</v>
      </c>
      <c r="E452" s="24">
        <f t="shared" ca="1" si="15"/>
        <v>7</v>
      </c>
    </row>
    <row r="453" spans="1:5" x14ac:dyDescent="0.25">
      <c r="A453" s="17">
        <f ca="1">INDEX(Stations,INT((ROWS(A$2:A453)-1)/(DATE(YEAR(Invoer!$A$5),12,31)-DATE(YEAR(Invoer!$A$5),1,1)+1))+2,1)</f>
        <v>83</v>
      </c>
      <c r="B453" t="str">
        <f ca="1">TEXT(DATE(YEAR(Invoer!$A$5),1,1)+MOD(ROWS(B$2:B453)-1,DATE(YEAR(Invoer!$A$5),12,31)-DATE(YEAR(Invoer!$A$5),1,1)+1),"jjjjmmdd")</f>
        <v>19430328</v>
      </c>
      <c r="C453" s="18">
        <v>1</v>
      </c>
      <c r="D453" s="23" t="str">
        <f t="shared" ca="1" si="14"/>
        <v>—</v>
      </c>
      <c r="E453" s="24">
        <f t="shared" ca="1" si="15"/>
        <v>7</v>
      </c>
    </row>
    <row r="454" spans="1:5" x14ac:dyDescent="0.25">
      <c r="A454" s="17">
        <f ca="1">INDEX(Stations,INT((ROWS(A$2:A454)-1)/(DATE(YEAR(Invoer!$A$5),12,31)-DATE(YEAR(Invoer!$A$5),1,1)+1))+2,1)</f>
        <v>83</v>
      </c>
      <c r="B454" t="str">
        <f ca="1">TEXT(DATE(YEAR(Invoer!$A$5),1,1)+MOD(ROWS(B$2:B454)-1,DATE(YEAR(Invoer!$A$5),12,31)-DATE(YEAR(Invoer!$A$5),1,1)+1),"jjjjmmdd")</f>
        <v>19430329</v>
      </c>
      <c r="C454" s="18">
        <v>1</v>
      </c>
      <c r="D454" s="23" t="str">
        <f t="shared" ca="1" si="14"/>
        <v>—</v>
      </c>
      <c r="E454" s="24">
        <f t="shared" ca="1" si="15"/>
        <v>7</v>
      </c>
    </row>
    <row r="455" spans="1:5" x14ac:dyDescent="0.25">
      <c r="A455" s="17">
        <f ca="1">INDEX(Stations,INT((ROWS(A$2:A455)-1)/(DATE(YEAR(Invoer!$A$5),12,31)-DATE(YEAR(Invoer!$A$5),1,1)+1))+2,1)</f>
        <v>83</v>
      </c>
      <c r="B455" t="str">
        <f ca="1">TEXT(DATE(YEAR(Invoer!$A$5),1,1)+MOD(ROWS(B$2:B455)-1,DATE(YEAR(Invoer!$A$5),12,31)-DATE(YEAR(Invoer!$A$5),1,1)+1),"jjjjmmdd")</f>
        <v>19430330</v>
      </c>
      <c r="C455" s="18">
        <v>1</v>
      </c>
      <c r="D455" s="23" t="str">
        <f t="shared" ca="1" si="14"/>
        <v>—</v>
      </c>
      <c r="E455" s="24">
        <f t="shared" ca="1" si="15"/>
        <v>7</v>
      </c>
    </row>
    <row r="456" spans="1:5" x14ac:dyDescent="0.25">
      <c r="A456" s="17">
        <f ca="1">INDEX(Stations,INT((ROWS(A$2:A456)-1)/(DATE(YEAR(Invoer!$A$5),12,31)-DATE(YEAR(Invoer!$A$5),1,1)+1))+2,1)</f>
        <v>83</v>
      </c>
      <c r="B456" t="str">
        <f ca="1">TEXT(DATE(YEAR(Invoer!$A$5),1,1)+MOD(ROWS(B$2:B456)-1,DATE(YEAR(Invoer!$A$5),12,31)-DATE(YEAR(Invoer!$A$5),1,1)+1),"jjjjmmdd")</f>
        <v>19430331</v>
      </c>
      <c r="C456" s="18">
        <v>1</v>
      </c>
      <c r="D456" s="23" t="str">
        <f t="shared" ca="1" si="14"/>
        <v>—</v>
      </c>
      <c r="E456" s="24">
        <f t="shared" ca="1" si="15"/>
        <v>7</v>
      </c>
    </row>
    <row r="457" spans="1:5" x14ac:dyDescent="0.25">
      <c r="A457" s="17">
        <f ca="1">INDEX(Stations,INT((ROWS(A$2:A457)-1)/(DATE(YEAR(Invoer!$A$5),12,31)-DATE(YEAR(Invoer!$A$5),1,1)+1))+2,1)</f>
        <v>83</v>
      </c>
      <c r="B457" t="str">
        <f ca="1">TEXT(DATE(YEAR(Invoer!$A$5),1,1)+MOD(ROWS(B$2:B457)-1,DATE(YEAR(Invoer!$A$5),12,31)-DATE(YEAR(Invoer!$A$5),1,1)+1),"jjjjmmdd")</f>
        <v>19430401</v>
      </c>
      <c r="C457" s="18">
        <v>1</v>
      </c>
      <c r="D457" s="23">
        <f t="shared" ca="1" si="14"/>
        <v>0</v>
      </c>
      <c r="E457" s="24">
        <f t="shared" ca="1" si="15"/>
        <v>0</v>
      </c>
    </row>
    <row r="458" spans="1:5" x14ac:dyDescent="0.25">
      <c r="A458" s="17">
        <f ca="1">INDEX(Stations,INT((ROWS(A$2:A458)-1)/(DATE(YEAR(Invoer!$A$5),12,31)-DATE(YEAR(Invoer!$A$5),1,1)+1))+2,1)</f>
        <v>83</v>
      </c>
      <c r="B458" t="str">
        <f ca="1">TEXT(DATE(YEAR(Invoer!$A$5),1,1)+MOD(ROWS(B$2:B458)-1,DATE(YEAR(Invoer!$A$5),12,31)-DATE(YEAR(Invoer!$A$5),1,1)+1),"jjjjmmdd")</f>
        <v>19430402</v>
      </c>
      <c r="C458" s="18">
        <v>1</v>
      </c>
      <c r="D458" s="23">
        <f t="shared" ca="1" si="14"/>
        <v>0</v>
      </c>
      <c r="E458" s="24">
        <f t="shared" ca="1" si="15"/>
        <v>0</v>
      </c>
    </row>
    <row r="459" spans="1:5" x14ac:dyDescent="0.25">
      <c r="A459" s="17">
        <f ca="1">INDEX(Stations,INT((ROWS(A$2:A459)-1)/(DATE(YEAR(Invoer!$A$5),12,31)-DATE(YEAR(Invoer!$A$5),1,1)+1))+2,1)</f>
        <v>83</v>
      </c>
      <c r="B459" t="str">
        <f ca="1">TEXT(DATE(YEAR(Invoer!$A$5),1,1)+MOD(ROWS(B$2:B459)-1,DATE(YEAR(Invoer!$A$5),12,31)-DATE(YEAR(Invoer!$A$5),1,1)+1),"jjjjmmdd")</f>
        <v>19430403</v>
      </c>
      <c r="C459" s="18">
        <v>1</v>
      </c>
      <c r="D459" s="23">
        <f t="shared" ca="1" si="14"/>
        <v>0</v>
      </c>
      <c r="E459" s="24">
        <f t="shared" ca="1" si="15"/>
        <v>0</v>
      </c>
    </row>
    <row r="460" spans="1:5" x14ac:dyDescent="0.25">
      <c r="A460" s="17">
        <f ca="1">INDEX(Stations,INT((ROWS(A$2:A460)-1)/(DATE(YEAR(Invoer!$A$5),12,31)-DATE(YEAR(Invoer!$A$5),1,1)+1))+2,1)</f>
        <v>83</v>
      </c>
      <c r="B460" t="str">
        <f ca="1">TEXT(DATE(YEAR(Invoer!$A$5),1,1)+MOD(ROWS(B$2:B460)-1,DATE(YEAR(Invoer!$A$5),12,31)-DATE(YEAR(Invoer!$A$5),1,1)+1),"jjjjmmdd")</f>
        <v>19430404</v>
      </c>
      <c r="C460" s="18">
        <v>1</v>
      </c>
      <c r="D460" s="23">
        <f t="shared" ca="1" si="14"/>
        <v>0</v>
      </c>
      <c r="E460" s="24">
        <f t="shared" ca="1" si="15"/>
        <v>0</v>
      </c>
    </row>
    <row r="461" spans="1:5" x14ac:dyDescent="0.25">
      <c r="A461" s="17">
        <f ca="1">INDEX(Stations,INT((ROWS(A$2:A461)-1)/(DATE(YEAR(Invoer!$A$5),12,31)-DATE(YEAR(Invoer!$A$5),1,1)+1))+2,1)</f>
        <v>83</v>
      </c>
      <c r="B461" t="str">
        <f ca="1">TEXT(DATE(YEAR(Invoer!$A$5),1,1)+MOD(ROWS(B$2:B461)-1,DATE(YEAR(Invoer!$A$5),12,31)-DATE(YEAR(Invoer!$A$5),1,1)+1),"jjjjmmdd")</f>
        <v>19430405</v>
      </c>
      <c r="C461" s="18">
        <v>1</v>
      </c>
      <c r="D461" s="23">
        <f t="shared" ca="1" si="14"/>
        <v>0</v>
      </c>
      <c r="E461" s="24">
        <f t="shared" ca="1" si="15"/>
        <v>0</v>
      </c>
    </row>
    <row r="462" spans="1:5" x14ac:dyDescent="0.25">
      <c r="A462" s="17">
        <f ca="1">INDEX(Stations,INT((ROWS(A$2:A462)-1)/(DATE(YEAR(Invoer!$A$5),12,31)-DATE(YEAR(Invoer!$A$5),1,1)+1))+2,1)</f>
        <v>83</v>
      </c>
      <c r="B462" t="str">
        <f ca="1">TEXT(DATE(YEAR(Invoer!$A$5),1,1)+MOD(ROWS(B$2:B462)-1,DATE(YEAR(Invoer!$A$5),12,31)-DATE(YEAR(Invoer!$A$5),1,1)+1),"jjjjmmdd")</f>
        <v>19430406</v>
      </c>
      <c r="C462" s="18">
        <v>1</v>
      </c>
      <c r="D462" s="23">
        <f t="shared" ca="1" si="14"/>
        <v>0</v>
      </c>
      <c r="E462" s="24">
        <f t="shared" ca="1" si="15"/>
        <v>0</v>
      </c>
    </row>
    <row r="463" spans="1:5" x14ac:dyDescent="0.25">
      <c r="A463" s="17">
        <f ca="1">INDEX(Stations,INT((ROWS(A$2:A463)-1)/(DATE(YEAR(Invoer!$A$5),12,31)-DATE(YEAR(Invoer!$A$5),1,1)+1))+2,1)</f>
        <v>83</v>
      </c>
      <c r="B463" t="str">
        <f ca="1">TEXT(DATE(YEAR(Invoer!$A$5),1,1)+MOD(ROWS(B$2:B463)-1,DATE(YEAR(Invoer!$A$5),12,31)-DATE(YEAR(Invoer!$A$5),1,1)+1),"jjjjmmdd")</f>
        <v>19430407</v>
      </c>
      <c r="C463" s="18">
        <v>1</v>
      </c>
      <c r="D463" s="23">
        <f t="shared" ca="1" si="14"/>
        <v>0</v>
      </c>
      <c r="E463" s="24">
        <f t="shared" ca="1" si="15"/>
        <v>0</v>
      </c>
    </row>
    <row r="464" spans="1:5" x14ac:dyDescent="0.25">
      <c r="A464" s="17">
        <f ca="1">INDEX(Stations,INT((ROWS(A$2:A464)-1)/(DATE(YEAR(Invoer!$A$5),12,31)-DATE(YEAR(Invoer!$A$5),1,1)+1))+2,1)</f>
        <v>83</v>
      </c>
      <c r="B464" t="str">
        <f ca="1">TEXT(DATE(YEAR(Invoer!$A$5),1,1)+MOD(ROWS(B$2:B464)-1,DATE(YEAR(Invoer!$A$5),12,31)-DATE(YEAR(Invoer!$A$5),1,1)+1),"jjjjmmdd")</f>
        <v>19430408</v>
      </c>
      <c r="C464" s="18">
        <v>1</v>
      </c>
      <c r="D464" s="23">
        <f t="shared" ca="1" si="14"/>
        <v>0</v>
      </c>
      <c r="E464" s="24">
        <f t="shared" ca="1" si="15"/>
        <v>0</v>
      </c>
    </row>
    <row r="465" spans="1:5" x14ac:dyDescent="0.25">
      <c r="A465" s="17">
        <f ca="1">INDEX(Stations,INT((ROWS(A$2:A465)-1)/(DATE(YEAR(Invoer!$A$5),12,31)-DATE(YEAR(Invoer!$A$5),1,1)+1))+2,1)</f>
        <v>83</v>
      </c>
      <c r="B465" t="str">
        <f ca="1">TEXT(DATE(YEAR(Invoer!$A$5),1,1)+MOD(ROWS(B$2:B465)-1,DATE(YEAR(Invoer!$A$5),12,31)-DATE(YEAR(Invoer!$A$5),1,1)+1),"jjjjmmdd")</f>
        <v>19430409</v>
      </c>
      <c r="C465" s="18">
        <v>1</v>
      </c>
      <c r="D465" s="23">
        <f t="shared" ca="1" si="14"/>
        <v>0</v>
      </c>
      <c r="E465" s="24">
        <f t="shared" ca="1" si="15"/>
        <v>0</v>
      </c>
    </row>
    <row r="466" spans="1:5" x14ac:dyDescent="0.25">
      <c r="A466" s="17">
        <f ca="1">INDEX(Stations,INT((ROWS(A$2:A466)-1)/(DATE(YEAR(Invoer!$A$5),12,31)-DATE(YEAR(Invoer!$A$5),1,1)+1))+2,1)</f>
        <v>83</v>
      </c>
      <c r="B466" t="str">
        <f ca="1">TEXT(DATE(YEAR(Invoer!$A$5),1,1)+MOD(ROWS(B$2:B466)-1,DATE(YEAR(Invoer!$A$5),12,31)-DATE(YEAR(Invoer!$A$5),1,1)+1),"jjjjmmdd")</f>
        <v>19430410</v>
      </c>
      <c r="C466" s="18">
        <v>1</v>
      </c>
      <c r="D466" s="23">
        <f t="shared" ca="1" si="14"/>
        <v>0</v>
      </c>
      <c r="E466" s="24">
        <f t="shared" ca="1" si="15"/>
        <v>0</v>
      </c>
    </row>
    <row r="467" spans="1:5" x14ac:dyDescent="0.25">
      <c r="A467" s="17">
        <f ca="1">INDEX(Stations,INT((ROWS(A$2:A467)-1)/(DATE(YEAR(Invoer!$A$5),12,31)-DATE(YEAR(Invoer!$A$5),1,1)+1))+2,1)</f>
        <v>83</v>
      </c>
      <c r="B467" t="str">
        <f ca="1">TEXT(DATE(YEAR(Invoer!$A$5),1,1)+MOD(ROWS(B$2:B467)-1,DATE(YEAR(Invoer!$A$5),12,31)-DATE(YEAR(Invoer!$A$5),1,1)+1),"jjjjmmdd")</f>
        <v>19430411</v>
      </c>
      <c r="C467" s="18">
        <v>1</v>
      </c>
      <c r="D467" s="23">
        <f t="shared" ca="1" si="14"/>
        <v>0</v>
      </c>
      <c r="E467" s="24">
        <f t="shared" ca="1" si="15"/>
        <v>0</v>
      </c>
    </row>
    <row r="468" spans="1:5" x14ac:dyDescent="0.25">
      <c r="A468" s="17">
        <f ca="1">INDEX(Stations,INT((ROWS(A$2:A468)-1)/(DATE(YEAR(Invoer!$A$5),12,31)-DATE(YEAR(Invoer!$A$5),1,1)+1))+2,1)</f>
        <v>83</v>
      </c>
      <c r="B468" t="str">
        <f ca="1">TEXT(DATE(YEAR(Invoer!$A$5),1,1)+MOD(ROWS(B$2:B468)-1,DATE(YEAR(Invoer!$A$5),12,31)-DATE(YEAR(Invoer!$A$5),1,1)+1),"jjjjmmdd")</f>
        <v>19430412</v>
      </c>
      <c r="C468" s="18">
        <v>1</v>
      </c>
      <c r="D468" s="23">
        <f t="shared" ca="1" si="14"/>
        <v>225</v>
      </c>
      <c r="E468" s="24">
        <f t="shared" ca="1" si="15"/>
        <v>0</v>
      </c>
    </row>
    <row r="469" spans="1:5" x14ac:dyDescent="0.25">
      <c r="A469" s="17">
        <f ca="1">INDEX(Stations,INT((ROWS(A$2:A469)-1)/(DATE(YEAR(Invoer!$A$5),12,31)-DATE(YEAR(Invoer!$A$5),1,1)+1))+2,1)</f>
        <v>83</v>
      </c>
      <c r="B469" t="str">
        <f ca="1">TEXT(DATE(YEAR(Invoer!$A$5),1,1)+MOD(ROWS(B$2:B469)-1,DATE(YEAR(Invoer!$A$5),12,31)-DATE(YEAR(Invoer!$A$5),1,1)+1),"jjjjmmdd")</f>
        <v>19430413</v>
      </c>
      <c r="C469" s="18">
        <v>1</v>
      </c>
      <c r="D469" s="23">
        <f t="shared" ca="1" si="14"/>
        <v>0</v>
      </c>
      <c r="E469" s="24">
        <f t="shared" ca="1" si="15"/>
        <v>0</v>
      </c>
    </row>
    <row r="470" spans="1:5" x14ac:dyDescent="0.25">
      <c r="A470" s="17">
        <f ca="1">INDEX(Stations,INT((ROWS(A$2:A470)-1)/(DATE(YEAR(Invoer!$A$5),12,31)-DATE(YEAR(Invoer!$A$5),1,1)+1))+2,1)</f>
        <v>83</v>
      </c>
      <c r="B470" t="str">
        <f ca="1">TEXT(DATE(YEAR(Invoer!$A$5),1,1)+MOD(ROWS(B$2:B470)-1,DATE(YEAR(Invoer!$A$5),12,31)-DATE(YEAR(Invoer!$A$5),1,1)+1),"jjjjmmdd")</f>
        <v>19430414</v>
      </c>
      <c r="C470" s="18">
        <v>1</v>
      </c>
      <c r="D470" s="23">
        <f t="shared" ca="1" si="14"/>
        <v>0</v>
      </c>
      <c r="E470" s="24">
        <f t="shared" ca="1" si="15"/>
        <v>0</v>
      </c>
    </row>
    <row r="471" spans="1:5" x14ac:dyDescent="0.25">
      <c r="A471" s="17">
        <f ca="1">INDEX(Stations,INT((ROWS(A$2:A471)-1)/(DATE(YEAR(Invoer!$A$5),12,31)-DATE(YEAR(Invoer!$A$5),1,1)+1))+2,1)</f>
        <v>83</v>
      </c>
      <c r="B471" t="str">
        <f ca="1">TEXT(DATE(YEAR(Invoer!$A$5),1,1)+MOD(ROWS(B$2:B471)-1,DATE(YEAR(Invoer!$A$5),12,31)-DATE(YEAR(Invoer!$A$5),1,1)+1),"jjjjmmdd")</f>
        <v>19430415</v>
      </c>
      <c r="C471" s="18">
        <v>1</v>
      </c>
      <c r="D471" s="23">
        <f t="shared" ca="1" si="14"/>
        <v>0</v>
      </c>
      <c r="E471" s="24">
        <f t="shared" ca="1" si="15"/>
        <v>0</v>
      </c>
    </row>
    <row r="472" spans="1:5" x14ac:dyDescent="0.25">
      <c r="A472" s="17">
        <f ca="1">INDEX(Stations,INT((ROWS(A$2:A472)-1)/(DATE(YEAR(Invoer!$A$5),12,31)-DATE(YEAR(Invoer!$A$5),1,1)+1))+2,1)</f>
        <v>83</v>
      </c>
      <c r="B472" t="str">
        <f ca="1">TEXT(DATE(YEAR(Invoer!$A$5),1,1)+MOD(ROWS(B$2:B472)-1,DATE(YEAR(Invoer!$A$5),12,31)-DATE(YEAR(Invoer!$A$5),1,1)+1),"jjjjmmdd")</f>
        <v>19430416</v>
      </c>
      <c r="C472" s="18">
        <v>1</v>
      </c>
      <c r="D472" s="23">
        <f t="shared" ca="1" si="14"/>
        <v>0</v>
      </c>
      <c r="E472" s="24">
        <f t="shared" ca="1" si="15"/>
        <v>0</v>
      </c>
    </row>
    <row r="473" spans="1:5" x14ac:dyDescent="0.25">
      <c r="A473" s="17">
        <f ca="1">INDEX(Stations,INT((ROWS(A$2:A473)-1)/(DATE(YEAR(Invoer!$A$5),12,31)-DATE(YEAR(Invoer!$A$5),1,1)+1))+2,1)</f>
        <v>83</v>
      </c>
      <c r="B473" t="str">
        <f ca="1">TEXT(DATE(YEAR(Invoer!$A$5),1,1)+MOD(ROWS(B$2:B473)-1,DATE(YEAR(Invoer!$A$5),12,31)-DATE(YEAR(Invoer!$A$5),1,1)+1),"jjjjmmdd")</f>
        <v>19430417</v>
      </c>
      <c r="C473" s="18">
        <v>1</v>
      </c>
      <c r="D473" s="23">
        <f t="shared" ca="1" si="14"/>
        <v>0</v>
      </c>
      <c r="E473" s="24">
        <f t="shared" ca="1" si="15"/>
        <v>0</v>
      </c>
    </row>
    <row r="474" spans="1:5" x14ac:dyDescent="0.25">
      <c r="A474" s="17">
        <f ca="1">INDEX(Stations,INT((ROWS(A$2:A474)-1)/(DATE(YEAR(Invoer!$A$5),12,31)-DATE(YEAR(Invoer!$A$5),1,1)+1))+2,1)</f>
        <v>83</v>
      </c>
      <c r="B474" t="str">
        <f ca="1">TEXT(DATE(YEAR(Invoer!$A$5),1,1)+MOD(ROWS(B$2:B474)-1,DATE(YEAR(Invoer!$A$5),12,31)-DATE(YEAR(Invoer!$A$5),1,1)+1),"jjjjmmdd")</f>
        <v>19430418</v>
      </c>
      <c r="C474" s="18">
        <v>1</v>
      </c>
      <c r="D474" s="23">
        <f t="shared" ca="1" si="14"/>
        <v>0</v>
      </c>
      <c r="E474" s="24">
        <f t="shared" ca="1" si="15"/>
        <v>0</v>
      </c>
    </row>
    <row r="475" spans="1:5" x14ac:dyDescent="0.25">
      <c r="A475" s="17">
        <f ca="1">INDEX(Stations,INT((ROWS(A$2:A475)-1)/(DATE(YEAR(Invoer!$A$5),12,31)-DATE(YEAR(Invoer!$A$5),1,1)+1))+2,1)</f>
        <v>83</v>
      </c>
      <c r="B475" t="str">
        <f ca="1">TEXT(DATE(YEAR(Invoer!$A$5),1,1)+MOD(ROWS(B$2:B475)-1,DATE(YEAR(Invoer!$A$5),12,31)-DATE(YEAR(Invoer!$A$5),1,1)+1),"jjjjmmdd")</f>
        <v>19430419</v>
      </c>
      <c r="C475" s="18">
        <v>1</v>
      </c>
      <c r="D475" s="23">
        <f t="shared" ca="1" si="14"/>
        <v>160</v>
      </c>
      <c r="E475" s="24">
        <f t="shared" ca="1" si="15"/>
        <v>0</v>
      </c>
    </row>
    <row r="476" spans="1:5" x14ac:dyDescent="0.25">
      <c r="A476" s="17">
        <f ca="1">INDEX(Stations,INT((ROWS(A$2:A476)-1)/(DATE(YEAR(Invoer!$A$5),12,31)-DATE(YEAR(Invoer!$A$5),1,1)+1))+2,1)</f>
        <v>83</v>
      </c>
      <c r="B476" t="str">
        <f ca="1">TEXT(DATE(YEAR(Invoer!$A$5),1,1)+MOD(ROWS(B$2:B476)-1,DATE(YEAR(Invoer!$A$5),12,31)-DATE(YEAR(Invoer!$A$5),1,1)+1),"jjjjmmdd")</f>
        <v>19430420</v>
      </c>
      <c r="C476" s="18">
        <v>1</v>
      </c>
      <c r="D476" s="23">
        <f t="shared" ca="1" si="14"/>
        <v>0</v>
      </c>
      <c r="E476" s="24">
        <f t="shared" ca="1" si="15"/>
        <v>0</v>
      </c>
    </row>
    <row r="477" spans="1:5" x14ac:dyDescent="0.25">
      <c r="A477" s="17">
        <f ca="1">INDEX(Stations,INT((ROWS(A$2:A477)-1)/(DATE(YEAR(Invoer!$A$5),12,31)-DATE(YEAR(Invoer!$A$5),1,1)+1))+2,1)</f>
        <v>83</v>
      </c>
      <c r="B477" t="str">
        <f ca="1">TEXT(DATE(YEAR(Invoer!$A$5),1,1)+MOD(ROWS(B$2:B477)-1,DATE(YEAR(Invoer!$A$5),12,31)-DATE(YEAR(Invoer!$A$5),1,1)+1),"jjjjmmdd")</f>
        <v>19430421</v>
      </c>
      <c r="C477" s="18">
        <v>1</v>
      </c>
      <c r="D477" s="23">
        <f t="shared" ca="1" si="14"/>
        <v>0</v>
      </c>
      <c r="E477" s="24">
        <f t="shared" ca="1" si="15"/>
        <v>0</v>
      </c>
    </row>
    <row r="478" spans="1:5" x14ac:dyDescent="0.25">
      <c r="A478" s="17">
        <f ca="1">INDEX(Stations,INT((ROWS(A$2:A478)-1)/(DATE(YEAR(Invoer!$A$5),12,31)-DATE(YEAR(Invoer!$A$5),1,1)+1))+2,1)</f>
        <v>83</v>
      </c>
      <c r="B478" t="str">
        <f ca="1">TEXT(DATE(YEAR(Invoer!$A$5),1,1)+MOD(ROWS(B$2:B478)-1,DATE(YEAR(Invoer!$A$5),12,31)-DATE(YEAR(Invoer!$A$5),1,1)+1),"jjjjmmdd")</f>
        <v>19430422</v>
      </c>
      <c r="C478" s="18">
        <v>1</v>
      </c>
      <c r="D478" s="23">
        <f t="shared" ca="1" si="14"/>
        <v>0</v>
      </c>
      <c r="E478" s="24">
        <f t="shared" ca="1" si="15"/>
        <v>0</v>
      </c>
    </row>
    <row r="479" spans="1:5" x14ac:dyDescent="0.25">
      <c r="A479" s="17">
        <f ca="1">INDEX(Stations,INT((ROWS(A$2:A479)-1)/(DATE(YEAR(Invoer!$A$5),12,31)-DATE(YEAR(Invoer!$A$5),1,1)+1))+2,1)</f>
        <v>83</v>
      </c>
      <c r="B479" t="str">
        <f ca="1">TEXT(DATE(YEAR(Invoer!$A$5),1,1)+MOD(ROWS(B$2:B479)-1,DATE(YEAR(Invoer!$A$5),12,31)-DATE(YEAR(Invoer!$A$5),1,1)+1),"jjjjmmdd")</f>
        <v>19430423</v>
      </c>
      <c r="C479" s="18">
        <v>1</v>
      </c>
      <c r="D479" s="23">
        <f t="shared" ca="1" si="14"/>
        <v>0</v>
      </c>
      <c r="E479" s="24">
        <f t="shared" ca="1" si="15"/>
        <v>0</v>
      </c>
    </row>
    <row r="480" spans="1:5" x14ac:dyDescent="0.25">
      <c r="A480" s="17">
        <f ca="1">INDEX(Stations,INT((ROWS(A$2:A480)-1)/(DATE(YEAR(Invoer!$A$5),12,31)-DATE(YEAR(Invoer!$A$5),1,1)+1))+2,1)</f>
        <v>83</v>
      </c>
      <c r="B480" t="str">
        <f ca="1">TEXT(DATE(YEAR(Invoer!$A$5),1,1)+MOD(ROWS(B$2:B480)-1,DATE(YEAR(Invoer!$A$5),12,31)-DATE(YEAR(Invoer!$A$5),1,1)+1),"jjjjmmdd")</f>
        <v>19430424</v>
      </c>
      <c r="C480" s="18">
        <v>1</v>
      </c>
      <c r="D480" s="23">
        <f t="shared" ca="1" si="14"/>
        <v>0</v>
      </c>
      <c r="E480" s="24">
        <f t="shared" ca="1" si="15"/>
        <v>0</v>
      </c>
    </row>
    <row r="481" spans="1:5" x14ac:dyDescent="0.25">
      <c r="A481" s="17">
        <f ca="1">INDEX(Stations,INT((ROWS(A$2:A481)-1)/(DATE(YEAR(Invoer!$A$5),12,31)-DATE(YEAR(Invoer!$A$5),1,1)+1))+2,1)</f>
        <v>83</v>
      </c>
      <c r="B481" t="str">
        <f ca="1">TEXT(DATE(YEAR(Invoer!$A$5),1,1)+MOD(ROWS(B$2:B481)-1,DATE(YEAR(Invoer!$A$5),12,31)-DATE(YEAR(Invoer!$A$5),1,1)+1),"jjjjmmdd")</f>
        <v>19430425</v>
      </c>
      <c r="C481" s="18">
        <v>1</v>
      </c>
      <c r="D481" s="23">
        <f t="shared" ca="1" si="14"/>
        <v>0</v>
      </c>
      <c r="E481" s="24">
        <f t="shared" ca="1" si="15"/>
        <v>0</v>
      </c>
    </row>
    <row r="482" spans="1:5" x14ac:dyDescent="0.25">
      <c r="A482" s="17">
        <f ca="1">INDEX(Stations,INT((ROWS(A$2:A482)-1)/(DATE(YEAR(Invoer!$A$5),12,31)-DATE(YEAR(Invoer!$A$5),1,1)+1))+2,1)</f>
        <v>83</v>
      </c>
      <c r="B482" t="str">
        <f ca="1">TEXT(DATE(YEAR(Invoer!$A$5),1,1)+MOD(ROWS(B$2:B482)-1,DATE(YEAR(Invoer!$A$5),12,31)-DATE(YEAR(Invoer!$A$5),1,1)+1),"jjjjmmdd")</f>
        <v>19430426</v>
      </c>
      <c r="C482" s="18">
        <v>1</v>
      </c>
      <c r="D482" s="23">
        <f t="shared" ca="1" si="14"/>
        <v>0</v>
      </c>
      <c r="E482" s="24">
        <f t="shared" ca="1" si="15"/>
        <v>0</v>
      </c>
    </row>
    <row r="483" spans="1:5" x14ac:dyDescent="0.25">
      <c r="A483" s="17">
        <f ca="1">INDEX(Stations,INT((ROWS(A$2:A483)-1)/(DATE(YEAR(Invoer!$A$5),12,31)-DATE(YEAR(Invoer!$A$5),1,1)+1))+2,1)</f>
        <v>83</v>
      </c>
      <c r="B483" t="str">
        <f ca="1">TEXT(DATE(YEAR(Invoer!$A$5),1,1)+MOD(ROWS(B$2:B483)-1,DATE(YEAR(Invoer!$A$5),12,31)-DATE(YEAR(Invoer!$A$5),1,1)+1),"jjjjmmdd")</f>
        <v>19430427</v>
      </c>
      <c r="C483" s="18">
        <v>1</v>
      </c>
      <c r="D483" s="23">
        <f t="shared" ca="1" si="14"/>
        <v>0</v>
      </c>
      <c r="E483" s="24">
        <f t="shared" ca="1" si="15"/>
        <v>0</v>
      </c>
    </row>
    <row r="484" spans="1:5" x14ac:dyDescent="0.25">
      <c r="A484" s="17">
        <f ca="1">INDEX(Stations,INT((ROWS(A$2:A484)-1)/(DATE(YEAR(Invoer!$A$5),12,31)-DATE(YEAR(Invoer!$A$5),1,1)+1))+2,1)</f>
        <v>83</v>
      </c>
      <c r="B484" t="str">
        <f ca="1">TEXT(DATE(YEAR(Invoer!$A$5),1,1)+MOD(ROWS(B$2:B484)-1,DATE(YEAR(Invoer!$A$5),12,31)-DATE(YEAR(Invoer!$A$5),1,1)+1),"jjjjmmdd")</f>
        <v>19430428</v>
      </c>
      <c r="C484" s="18">
        <v>1</v>
      </c>
      <c r="D484" s="23">
        <f t="shared" ca="1" si="14"/>
        <v>0</v>
      </c>
      <c r="E484" s="24">
        <f t="shared" ca="1" si="15"/>
        <v>0</v>
      </c>
    </row>
    <row r="485" spans="1:5" x14ac:dyDescent="0.25">
      <c r="A485" s="17">
        <f ca="1">INDEX(Stations,INT((ROWS(A$2:A485)-1)/(DATE(YEAR(Invoer!$A$5),12,31)-DATE(YEAR(Invoer!$A$5),1,1)+1))+2,1)</f>
        <v>83</v>
      </c>
      <c r="B485" t="str">
        <f ca="1">TEXT(DATE(YEAR(Invoer!$A$5),1,1)+MOD(ROWS(B$2:B485)-1,DATE(YEAR(Invoer!$A$5),12,31)-DATE(YEAR(Invoer!$A$5),1,1)+1),"jjjjmmdd")</f>
        <v>19430429</v>
      </c>
      <c r="C485" s="18">
        <v>1</v>
      </c>
      <c r="D485" s="23">
        <f t="shared" ca="1" si="14"/>
        <v>0</v>
      </c>
      <c r="E485" s="24">
        <f t="shared" ca="1" si="15"/>
        <v>0</v>
      </c>
    </row>
    <row r="486" spans="1:5" x14ac:dyDescent="0.25">
      <c r="A486" s="17">
        <f ca="1">INDEX(Stations,INT((ROWS(A$2:A486)-1)/(DATE(YEAR(Invoer!$A$5),12,31)-DATE(YEAR(Invoer!$A$5),1,1)+1))+2,1)</f>
        <v>83</v>
      </c>
      <c r="B486" t="str">
        <f ca="1">TEXT(DATE(YEAR(Invoer!$A$5),1,1)+MOD(ROWS(B$2:B486)-1,DATE(YEAR(Invoer!$A$5),12,31)-DATE(YEAR(Invoer!$A$5),1,1)+1),"jjjjmmdd")</f>
        <v>19430430</v>
      </c>
      <c r="C486" s="18">
        <v>1</v>
      </c>
      <c r="D486" s="23">
        <f t="shared" ca="1" si="14"/>
        <v>0</v>
      </c>
      <c r="E486" s="24">
        <f t="shared" ca="1" si="15"/>
        <v>0</v>
      </c>
    </row>
    <row r="487" spans="1:5" x14ac:dyDescent="0.25">
      <c r="A487" s="17">
        <f ca="1">INDEX(Stations,INT((ROWS(A$2:A487)-1)/(DATE(YEAR(Invoer!$A$5),12,31)-DATE(YEAR(Invoer!$A$5),1,1)+1))+2,1)</f>
        <v>83</v>
      </c>
      <c r="B487" t="str">
        <f ca="1">TEXT(DATE(YEAR(Invoer!$A$5),1,1)+MOD(ROWS(B$2:B487)-1,DATE(YEAR(Invoer!$A$5),12,31)-DATE(YEAR(Invoer!$A$5),1,1)+1),"jjjjmmdd")</f>
        <v>19430501</v>
      </c>
      <c r="C487" s="18">
        <v>1</v>
      </c>
      <c r="D487" s="23" t="str">
        <f t="shared" ca="1" si="14"/>
        <v>—</v>
      </c>
      <c r="E487" s="24">
        <f t="shared" ca="1" si="15"/>
        <v>7</v>
      </c>
    </row>
    <row r="488" spans="1:5" x14ac:dyDescent="0.25">
      <c r="A488" s="17">
        <f ca="1">INDEX(Stations,INT((ROWS(A$2:A488)-1)/(DATE(YEAR(Invoer!$A$5),12,31)-DATE(YEAR(Invoer!$A$5),1,1)+1))+2,1)</f>
        <v>83</v>
      </c>
      <c r="B488" t="str">
        <f ca="1">TEXT(DATE(YEAR(Invoer!$A$5),1,1)+MOD(ROWS(B$2:B488)-1,DATE(YEAR(Invoer!$A$5),12,31)-DATE(YEAR(Invoer!$A$5),1,1)+1),"jjjjmmdd")</f>
        <v>19430502</v>
      </c>
      <c r="C488" s="18">
        <v>1</v>
      </c>
      <c r="D488" s="23" t="str">
        <f t="shared" ca="1" si="14"/>
        <v>—</v>
      </c>
      <c r="E488" s="24">
        <f t="shared" ca="1" si="15"/>
        <v>7</v>
      </c>
    </row>
    <row r="489" spans="1:5" x14ac:dyDescent="0.25">
      <c r="A489" s="17">
        <f ca="1">INDEX(Stations,INT((ROWS(A$2:A489)-1)/(DATE(YEAR(Invoer!$A$5),12,31)-DATE(YEAR(Invoer!$A$5),1,1)+1))+2,1)</f>
        <v>83</v>
      </c>
      <c r="B489" t="str">
        <f ca="1">TEXT(DATE(YEAR(Invoer!$A$5),1,1)+MOD(ROWS(B$2:B489)-1,DATE(YEAR(Invoer!$A$5),12,31)-DATE(YEAR(Invoer!$A$5),1,1)+1),"jjjjmmdd")</f>
        <v>19430503</v>
      </c>
      <c r="C489" s="18">
        <v>1</v>
      </c>
      <c r="D489" s="23" t="str">
        <f t="shared" ca="1" si="14"/>
        <v>—</v>
      </c>
      <c r="E489" s="24">
        <f t="shared" ca="1" si="15"/>
        <v>7</v>
      </c>
    </row>
    <row r="490" spans="1:5" x14ac:dyDescent="0.25">
      <c r="A490" s="17">
        <f ca="1">INDEX(Stations,INT((ROWS(A$2:A490)-1)/(DATE(YEAR(Invoer!$A$5),12,31)-DATE(YEAR(Invoer!$A$5),1,1)+1))+2,1)</f>
        <v>83</v>
      </c>
      <c r="B490" t="str">
        <f ca="1">TEXT(DATE(YEAR(Invoer!$A$5),1,1)+MOD(ROWS(B$2:B490)-1,DATE(YEAR(Invoer!$A$5),12,31)-DATE(YEAR(Invoer!$A$5),1,1)+1),"jjjjmmdd")</f>
        <v>19430504</v>
      </c>
      <c r="C490" s="18">
        <v>1</v>
      </c>
      <c r="D490" s="23" t="str">
        <f t="shared" ca="1" si="14"/>
        <v>—</v>
      </c>
      <c r="E490" s="24">
        <f t="shared" ca="1" si="15"/>
        <v>7</v>
      </c>
    </row>
    <row r="491" spans="1:5" x14ac:dyDescent="0.25">
      <c r="A491" s="17">
        <f ca="1">INDEX(Stations,INT((ROWS(A$2:A491)-1)/(DATE(YEAR(Invoer!$A$5),12,31)-DATE(YEAR(Invoer!$A$5),1,1)+1))+2,1)</f>
        <v>83</v>
      </c>
      <c r="B491" t="str">
        <f ca="1">TEXT(DATE(YEAR(Invoer!$A$5),1,1)+MOD(ROWS(B$2:B491)-1,DATE(YEAR(Invoer!$A$5),12,31)-DATE(YEAR(Invoer!$A$5),1,1)+1),"jjjjmmdd")</f>
        <v>19430505</v>
      </c>
      <c r="C491" s="18">
        <v>1</v>
      </c>
      <c r="D491" s="23" t="str">
        <f t="shared" ca="1" si="14"/>
        <v>—</v>
      </c>
      <c r="E491" s="24">
        <f t="shared" ca="1" si="15"/>
        <v>7</v>
      </c>
    </row>
    <row r="492" spans="1:5" x14ac:dyDescent="0.25">
      <c r="A492" s="17">
        <f ca="1">INDEX(Stations,INT((ROWS(A$2:A492)-1)/(DATE(YEAR(Invoer!$A$5),12,31)-DATE(YEAR(Invoer!$A$5),1,1)+1))+2,1)</f>
        <v>83</v>
      </c>
      <c r="B492" t="str">
        <f ca="1">TEXT(DATE(YEAR(Invoer!$A$5),1,1)+MOD(ROWS(B$2:B492)-1,DATE(YEAR(Invoer!$A$5),12,31)-DATE(YEAR(Invoer!$A$5),1,1)+1),"jjjjmmdd")</f>
        <v>19430506</v>
      </c>
      <c r="C492" s="18">
        <v>1</v>
      </c>
      <c r="D492" s="23" t="str">
        <f t="shared" ca="1" si="14"/>
        <v>—</v>
      </c>
      <c r="E492" s="24">
        <f t="shared" ca="1" si="15"/>
        <v>7</v>
      </c>
    </row>
    <row r="493" spans="1:5" x14ac:dyDescent="0.25">
      <c r="A493" s="17">
        <f ca="1">INDEX(Stations,INT((ROWS(A$2:A493)-1)/(DATE(YEAR(Invoer!$A$5),12,31)-DATE(YEAR(Invoer!$A$5),1,1)+1))+2,1)</f>
        <v>83</v>
      </c>
      <c r="B493" t="str">
        <f ca="1">TEXT(DATE(YEAR(Invoer!$A$5),1,1)+MOD(ROWS(B$2:B493)-1,DATE(YEAR(Invoer!$A$5),12,31)-DATE(YEAR(Invoer!$A$5),1,1)+1),"jjjjmmdd")</f>
        <v>19430507</v>
      </c>
      <c r="C493" s="18">
        <v>1</v>
      </c>
      <c r="D493" s="23" t="str">
        <f t="shared" ca="1" si="14"/>
        <v>—</v>
      </c>
      <c r="E493" s="24">
        <f t="shared" ca="1" si="15"/>
        <v>7</v>
      </c>
    </row>
    <row r="494" spans="1:5" x14ac:dyDescent="0.25">
      <c r="A494" s="17">
        <f ca="1">INDEX(Stations,INT((ROWS(A$2:A494)-1)/(DATE(YEAR(Invoer!$A$5),12,31)-DATE(YEAR(Invoer!$A$5),1,1)+1))+2,1)</f>
        <v>83</v>
      </c>
      <c r="B494" t="str">
        <f ca="1">TEXT(DATE(YEAR(Invoer!$A$5),1,1)+MOD(ROWS(B$2:B494)-1,DATE(YEAR(Invoer!$A$5),12,31)-DATE(YEAR(Invoer!$A$5),1,1)+1),"jjjjmmdd")</f>
        <v>19430508</v>
      </c>
      <c r="C494" s="18">
        <v>1</v>
      </c>
      <c r="D494" s="23" t="str">
        <f t="shared" ca="1" si="14"/>
        <v>—</v>
      </c>
      <c r="E494" s="24">
        <f t="shared" ca="1" si="15"/>
        <v>7</v>
      </c>
    </row>
    <row r="495" spans="1:5" x14ac:dyDescent="0.25">
      <c r="A495" s="17">
        <f ca="1">INDEX(Stations,INT((ROWS(A$2:A495)-1)/(DATE(YEAR(Invoer!$A$5),12,31)-DATE(YEAR(Invoer!$A$5),1,1)+1))+2,1)</f>
        <v>83</v>
      </c>
      <c r="B495" t="str">
        <f ca="1">TEXT(DATE(YEAR(Invoer!$A$5),1,1)+MOD(ROWS(B$2:B495)-1,DATE(YEAR(Invoer!$A$5),12,31)-DATE(YEAR(Invoer!$A$5),1,1)+1),"jjjjmmdd")</f>
        <v>19430509</v>
      </c>
      <c r="C495" s="18">
        <v>1</v>
      </c>
      <c r="D495" s="23" t="str">
        <f t="shared" ca="1" si="14"/>
        <v>—</v>
      </c>
      <c r="E495" s="24">
        <f t="shared" ca="1" si="15"/>
        <v>7</v>
      </c>
    </row>
    <row r="496" spans="1:5" x14ac:dyDescent="0.25">
      <c r="A496" s="17">
        <f ca="1">INDEX(Stations,INT((ROWS(A$2:A496)-1)/(DATE(YEAR(Invoer!$A$5),12,31)-DATE(YEAR(Invoer!$A$5),1,1)+1))+2,1)</f>
        <v>83</v>
      </c>
      <c r="B496" t="str">
        <f ca="1">TEXT(DATE(YEAR(Invoer!$A$5),1,1)+MOD(ROWS(B$2:B496)-1,DATE(YEAR(Invoer!$A$5),12,31)-DATE(YEAR(Invoer!$A$5),1,1)+1),"jjjjmmdd")</f>
        <v>19430510</v>
      </c>
      <c r="C496" s="18">
        <v>1</v>
      </c>
      <c r="D496" s="23" t="str">
        <f t="shared" ca="1" si="14"/>
        <v>—</v>
      </c>
      <c r="E496" s="24">
        <f t="shared" ca="1" si="15"/>
        <v>7</v>
      </c>
    </row>
    <row r="497" spans="1:5" x14ac:dyDescent="0.25">
      <c r="A497" s="17">
        <f ca="1">INDEX(Stations,INT((ROWS(A$2:A497)-1)/(DATE(YEAR(Invoer!$A$5),12,31)-DATE(YEAR(Invoer!$A$5),1,1)+1))+2,1)</f>
        <v>83</v>
      </c>
      <c r="B497" t="str">
        <f ca="1">TEXT(DATE(YEAR(Invoer!$A$5),1,1)+MOD(ROWS(B$2:B497)-1,DATE(YEAR(Invoer!$A$5),12,31)-DATE(YEAR(Invoer!$A$5),1,1)+1),"jjjjmmdd")</f>
        <v>19430511</v>
      </c>
      <c r="C497" s="18">
        <v>1</v>
      </c>
      <c r="D497" s="23" t="str">
        <f t="shared" ca="1" si="14"/>
        <v>—</v>
      </c>
      <c r="E497" s="24">
        <f t="shared" ca="1" si="15"/>
        <v>7</v>
      </c>
    </row>
    <row r="498" spans="1:5" x14ac:dyDescent="0.25">
      <c r="A498" s="17">
        <f ca="1">INDEX(Stations,INT((ROWS(A$2:A498)-1)/(DATE(YEAR(Invoer!$A$5),12,31)-DATE(YEAR(Invoer!$A$5),1,1)+1))+2,1)</f>
        <v>83</v>
      </c>
      <c r="B498" t="str">
        <f ca="1">TEXT(DATE(YEAR(Invoer!$A$5),1,1)+MOD(ROWS(B$2:B498)-1,DATE(YEAR(Invoer!$A$5),12,31)-DATE(YEAR(Invoer!$A$5),1,1)+1),"jjjjmmdd")</f>
        <v>19430512</v>
      </c>
      <c r="C498" s="18">
        <v>1</v>
      </c>
      <c r="D498" s="23" t="str">
        <f t="shared" ca="1" si="14"/>
        <v>—</v>
      </c>
      <c r="E498" s="24">
        <f t="shared" ca="1" si="15"/>
        <v>7</v>
      </c>
    </row>
    <row r="499" spans="1:5" x14ac:dyDescent="0.25">
      <c r="A499" s="17">
        <f ca="1">INDEX(Stations,INT((ROWS(A$2:A499)-1)/(DATE(YEAR(Invoer!$A$5),12,31)-DATE(YEAR(Invoer!$A$5),1,1)+1))+2,1)</f>
        <v>83</v>
      </c>
      <c r="B499" t="str">
        <f ca="1">TEXT(DATE(YEAR(Invoer!$A$5),1,1)+MOD(ROWS(B$2:B499)-1,DATE(YEAR(Invoer!$A$5),12,31)-DATE(YEAR(Invoer!$A$5),1,1)+1),"jjjjmmdd")</f>
        <v>19430513</v>
      </c>
      <c r="C499" s="18">
        <v>1</v>
      </c>
      <c r="D499" s="23" t="str">
        <f t="shared" ca="1" si="14"/>
        <v>—</v>
      </c>
      <c r="E499" s="24">
        <f t="shared" ca="1" si="15"/>
        <v>7</v>
      </c>
    </row>
    <row r="500" spans="1:5" x14ac:dyDescent="0.25">
      <c r="A500" s="17">
        <f ca="1">INDEX(Stations,INT((ROWS(A$2:A500)-1)/(DATE(YEAR(Invoer!$A$5),12,31)-DATE(YEAR(Invoer!$A$5),1,1)+1))+2,1)</f>
        <v>83</v>
      </c>
      <c r="B500" t="str">
        <f ca="1">TEXT(DATE(YEAR(Invoer!$A$5),1,1)+MOD(ROWS(B$2:B500)-1,DATE(YEAR(Invoer!$A$5),12,31)-DATE(YEAR(Invoer!$A$5),1,1)+1),"jjjjmmdd")</f>
        <v>19430514</v>
      </c>
      <c r="C500" s="18">
        <v>1</v>
      </c>
      <c r="D500" s="23" t="str">
        <f t="shared" ca="1" si="14"/>
        <v>—</v>
      </c>
      <c r="E500" s="24">
        <f t="shared" ca="1" si="15"/>
        <v>7</v>
      </c>
    </row>
    <row r="501" spans="1:5" x14ac:dyDescent="0.25">
      <c r="A501" s="17">
        <f ca="1">INDEX(Stations,INT((ROWS(A$2:A501)-1)/(DATE(YEAR(Invoer!$A$5),12,31)-DATE(YEAR(Invoer!$A$5),1,1)+1))+2,1)</f>
        <v>83</v>
      </c>
      <c r="B501" t="str">
        <f ca="1">TEXT(DATE(YEAR(Invoer!$A$5),1,1)+MOD(ROWS(B$2:B501)-1,DATE(YEAR(Invoer!$A$5),12,31)-DATE(YEAR(Invoer!$A$5),1,1)+1),"jjjjmmdd")</f>
        <v>19430515</v>
      </c>
      <c r="C501" s="18">
        <v>1</v>
      </c>
      <c r="D501" s="23" t="str">
        <f t="shared" ca="1" si="14"/>
        <v>—</v>
      </c>
      <c r="E501" s="24">
        <f t="shared" ca="1" si="15"/>
        <v>7</v>
      </c>
    </row>
    <row r="502" spans="1:5" x14ac:dyDescent="0.25">
      <c r="A502" s="17">
        <f ca="1">INDEX(Stations,INT((ROWS(A$2:A502)-1)/(DATE(YEAR(Invoer!$A$5),12,31)-DATE(YEAR(Invoer!$A$5),1,1)+1))+2,1)</f>
        <v>83</v>
      </c>
      <c r="B502" t="str">
        <f ca="1">TEXT(DATE(YEAR(Invoer!$A$5),1,1)+MOD(ROWS(B$2:B502)-1,DATE(YEAR(Invoer!$A$5),12,31)-DATE(YEAR(Invoer!$A$5),1,1)+1),"jjjjmmdd")</f>
        <v>19430516</v>
      </c>
      <c r="C502" s="18">
        <v>1</v>
      </c>
      <c r="D502" s="23" t="str">
        <f t="shared" ca="1" si="14"/>
        <v>—</v>
      </c>
      <c r="E502" s="24">
        <f t="shared" ca="1" si="15"/>
        <v>7</v>
      </c>
    </row>
    <row r="503" spans="1:5" x14ac:dyDescent="0.25">
      <c r="A503" s="17">
        <f ca="1">INDEX(Stations,INT((ROWS(A$2:A503)-1)/(DATE(YEAR(Invoer!$A$5),12,31)-DATE(YEAR(Invoer!$A$5),1,1)+1))+2,1)</f>
        <v>83</v>
      </c>
      <c r="B503" t="str">
        <f ca="1">TEXT(DATE(YEAR(Invoer!$A$5),1,1)+MOD(ROWS(B$2:B503)-1,DATE(YEAR(Invoer!$A$5),12,31)-DATE(YEAR(Invoer!$A$5),1,1)+1),"jjjjmmdd")</f>
        <v>19430517</v>
      </c>
      <c r="C503" s="18">
        <v>1</v>
      </c>
      <c r="D503" s="23" t="str">
        <f t="shared" ca="1" si="14"/>
        <v>—</v>
      </c>
      <c r="E503" s="24">
        <f t="shared" ca="1" si="15"/>
        <v>7</v>
      </c>
    </row>
    <row r="504" spans="1:5" x14ac:dyDescent="0.25">
      <c r="A504" s="17">
        <f ca="1">INDEX(Stations,INT((ROWS(A$2:A504)-1)/(DATE(YEAR(Invoer!$A$5),12,31)-DATE(YEAR(Invoer!$A$5),1,1)+1))+2,1)</f>
        <v>83</v>
      </c>
      <c r="B504" t="str">
        <f ca="1">TEXT(DATE(YEAR(Invoer!$A$5),1,1)+MOD(ROWS(B$2:B504)-1,DATE(YEAR(Invoer!$A$5),12,31)-DATE(YEAR(Invoer!$A$5),1,1)+1),"jjjjmmdd")</f>
        <v>19430518</v>
      </c>
      <c r="C504" s="18">
        <v>1</v>
      </c>
      <c r="D504" s="23" t="str">
        <f t="shared" ca="1" si="14"/>
        <v>—</v>
      </c>
      <c r="E504" s="24">
        <f t="shared" ca="1" si="15"/>
        <v>7</v>
      </c>
    </row>
    <row r="505" spans="1:5" x14ac:dyDescent="0.25">
      <c r="A505" s="17">
        <f ca="1">INDEX(Stations,INT((ROWS(A$2:A505)-1)/(DATE(YEAR(Invoer!$A$5),12,31)-DATE(YEAR(Invoer!$A$5),1,1)+1))+2,1)</f>
        <v>83</v>
      </c>
      <c r="B505" t="str">
        <f ca="1">TEXT(DATE(YEAR(Invoer!$A$5),1,1)+MOD(ROWS(B$2:B505)-1,DATE(YEAR(Invoer!$A$5),12,31)-DATE(YEAR(Invoer!$A$5),1,1)+1),"jjjjmmdd")</f>
        <v>19430519</v>
      </c>
      <c r="C505" s="18">
        <v>1</v>
      </c>
      <c r="D505" s="23" t="str">
        <f t="shared" ca="1" si="14"/>
        <v>—</v>
      </c>
      <c r="E505" s="24">
        <f t="shared" ca="1" si="15"/>
        <v>7</v>
      </c>
    </row>
    <row r="506" spans="1:5" x14ac:dyDescent="0.25">
      <c r="A506" s="17">
        <f ca="1">INDEX(Stations,INT((ROWS(A$2:A506)-1)/(DATE(YEAR(Invoer!$A$5),12,31)-DATE(YEAR(Invoer!$A$5),1,1)+1))+2,1)</f>
        <v>83</v>
      </c>
      <c r="B506" t="str">
        <f ca="1">TEXT(DATE(YEAR(Invoer!$A$5),1,1)+MOD(ROWS(B$2:B506)-1,DATE(YEAR(Invoer!$A$5),12,31)-DATE(YEAR(Invoer!$A$5),1,1)+1),"jjjjmmdd")</f>
        <v>19430520</v>
      </c>
      <c r="C506" s="18">
        <v>1</v>
      </c>
      <c r="D506" s="23" t="str">
        <f t="shared" ca="1" si="14"/>
        <v>—</v>
      </c>
      <c r="E506" s="24">
        <f t="shared" ca="1" si="15"/>
        <v>7</v>
      </c>
    </row>
    <row r="507" spans="1:5" x14ac:dyDescent="0.25">
      <c r="A507" s="17">
        <f ca="1">INDEX(Stations,INT((ROWS(A$2:A507)-1)/(DATE(YEAR(Invoer!$A$5),12,31)-DATE(YEAR(Invoer!$A$5),1,1)+1))+2,1)</f>
        <v>83</v>
      </c>
      <c r="B507" t="str">
        <f ca="1">TEXT(DATE(YEAR(Invoer!$A$5),1,1)+MOD(ROWS(B$2:B507)-1,DATE(YEAR(Invoer!$A$5),12,31)-DATE(YEAR(Invoer!$A$5),1,1)+1),"jjjjmmdd")</f>
        <v>19430521</v>
      </c>
      <c r="C507" s="18">
        <v>1</v>
      </c>
      <c r="D507" s="23" t="str">
        <f t="shared" ca="1" si="14"/>
        <v>—</v>
      </c>
      <c r="E507" s="24">
        <f t="shared" ca="1" si="15"/>
        <v>7</v>
      </c>
    </row>
    <row r="508" spans="1:5" x14ac:dyDescent="0.25">
      <c r="A508" s="17">
        <f ca="1">INDEX(Stations,INT((ROWS(A$2:A508)-1)/(DATE(YEAR(Invoer!$A$5),12,31)-DATE(YEAR(Invoer!$A$5),1,1)+1))+2,1)</f>
        <v>83</v>
      </c>
      <c r="B508" t="str">
        <f ca="1">TEXT(DATE(YEAR(Invoer!$A$5),1,1)+MOD(ROWS(B$2:B508)-1,DATE(YEAR(Invoer!$A$5),12,31)-DATE(YEAR(Invoer!$A$5),1,1)+1),"jjjjmmdd")</f>
        <v>19430522</v>
      </c>
      <c r="C508" s="18">
        <v>1</v>
      </c>
      <c r="D508" s="23" t="str">
        <f t="shared" ca="1" si="14"/>
        <v>—</v>
      </c>
      <c r="E508" s="24">
        <f t="shared" ca="1" si="15"/>
        <v>7</v>
      </c>
    </row>
    <row r="509" spans="1:5" x14ac:dyDescent="0.25">
      <c r="A509" s="17">
        <f ca="1">INDEX(Stations,INT((ROWS(A$2:A509)-1)/(DATE(YEAR(Invoer!$A$5),12,31)-DATE(YEAR(Invoer!$A$5),1,1)+1))+2,1)</f>
        <v>83</v>
      </c>
      <c r="B509" t="str">
        <f ca="1">TEXT(DATE(YEAR(Invoer!$A$5),1,1)+MOD(ROWS(B$2:B509)-1,DATE(YEAR(Invoer!$A$5),12,31)-DATE(YEAR(Invoer!$A$5),1,1)+1),"jjjjmmdd")</f>
        <v>19430523</v>
      </c>
      <c r="C509" s="18">
        <v>1</v>
      </c>
      <c r="D509" s="23" t="str">
        <f t="shared" ca="1" si="14"/>
        <v>—</v>
      </c>
      <c r="E509" s="24">
        <f t="shared" ca="1" si="15"/>
        <v>7</v>
      </c>
    </row>
    <row r="510" spans="1:5" x14ac:dyDescent="0.25">
      <c r="A510" s="17">
        <f ca="1">INDEX(Stations,INT((ROWS(A$2:A510)-1)/(DATE(YEAR(Invoer!$A$5),12,31)-DATE(YEAR(Invoer!$A$5),1,1)+1))+2,1)</f>
        <v>83</v>
      </c>
      <c r="B510" t="str">
        <f ca="1">TEXT(DATE(YEAR(Invoer!$A$5),1,1)+MOD(ROWS(B$2:B510)-1,DATE(YEAR(Invoer!$A$5),12,31)-DATE(YEAR(Invoer!$A$5),1,1)+1),"jjjjmmdd")</f>
        <v>19430524</v>
      </c>
      <c r="C510" s="18">
        <v>1</v>
      </c>
      <c r="D510" s="23" t="str">
        <f t="shared" ca="1" si="14"/>
        <v>—</v>
      </c>
      <c r="E510" s="24">
        <f t="shared" ca="1" si="15"/>
        <v>7</v>
      </c>
    </row>
    <row r="511" spans="1:5" x14ac:dyDescent="0.25">
      <c r="A511" s="17">
        <f ca="1">INDEX(Stations,INT((ROWS(A$2:A511)-1)/(DATE(YEAR(Invoer!$A$5),12,31)-DATE(YEAR(Invoer!$A$5),1,1)+1))+2,1)</f>
        <v>83</v>
      </c>
      <c r="B511" t="str">
        <f ca="1">TEXT(DATE(YEAR(Invoer!$A$5),1,1)+MOD(ROWS(B$2:B511)-1,DATE(YEAR(Invoer!$A$5),12,31)-DATE(YEAR(Invoer!$A$5),1,1)+1),"jjjjmmdd")</f>
        <v>19430525</v>
      </c>
      <c r="C511" s="18">
        <v>1</v>
      </c>
      <c r="D511" s="23" t="str">
        <f t="shared" ca="1" si="14"/>
        <v>—</v>
      </c>
      <c r="E511" s="24">
        <f t="shared" ca="1" si="15"/>
        <v>7</v>
      </c>
    </row>
    <row r="512" spans="1:5" x14ac:dyDescent="0.25">
      <c r="A512" s="17">
        <f ca="1">INDEX(Stations,INT((ROWS(A$2:A512)-1)/(DATE(YEAR(Invoer!$A$5),12,31)-DATE(YEAR(Invoer!$A$5),1,1)+1))+2,1)</f>
        <v>83</v>
      </c>
      <c r="B512" t="str">
        <f ca="1">TEXT(DATE(YEAR(Invoer!$A$5),1,1)+MOD(ROWS(B$2:B512)-1,DATE(YEAR(Invoer!$A$5),12,31)-DATE(YEAR(Invoer!$A$5),1,1)+1),"jjjjmmdd")</f>
        <v>19430526</v>
      </c>
      <c r="C512" s="18">
        <v>1</v>
      </c>
      <c r="D512" s="23" t="str">
        <f t="shared" ca="1" si="14"/>
        <v>—</v>
      </c>
      <c r="E512" s="24">
        <f t="shared" ca="1" si="15"/>
        <v>7</v>
      </c>
    </row>
    <row r="513" spans="1:5" x14ac:dyDescent="0.25">
      <c r="A513" s="17">
        <f ca="1">INDEX(Stations,INT((ROWS(A$2:A513)-1)/(DATE(YEAR(Invoer!$A$5),12,31)-DATE(YEAR(Invoer!$A$5),1,1)+1))+2,1)</f>
        <v>83</v>
      </c>
      <c r="B513" t="str">
        <f ca="1">TEXT(DATE(YEAR(Invoer!$A$5),1,1)+MOD(ROWS(B$2:B513)-1,DATE(YEAR(Invoer!$A$5),12,31)-DATE(YEAR(Invoer!$A$5),1,1)+1),"jjjjmmdd")</f>
        <v>19430527</v>
      </c>
      <c r="C513" s="18">
        <v>1</v>
      </c>
      <c r="D513" s="23" t="str">
        <f t="shared" ca="1" si="14"/>
        <v>—</v>
      </c>
      <c r="E513" s="24">
        <f t="shared" ca="1" si="15"/>
        <v>7</v>
      </c>
    </row>
    <row r="514" spans="1:5" x14ac:dyDescent="0.25">
      <c r="A514" s="17">
        <f ca="1">INDEX(Stations,INT((ROWS(A$2:A514)-1)/(DATE(YEAR(Invoer!$A$5),12,31)-DATE(YEAR(Invoer!$A$5),1,1)+1))+2,1)</f>
        <v>83</v>
      </c>
      <c r="B514" t="str">
        <f ca="1">TEXT(DATE(YEAR(Invoer!$A$5),1,1)+MOD(ROWS(B$2:B514)-1,DATE(YEAR(Invoer!$A$5),12,31)-DATE(YEAR(Invoer!$A$5),1,1)+1),"jjjjmmdd")</f>
        <v>19430528</v>
      </c>
      <c r="C514" s="18">
        <v>1</v>
      </c>
      <c r="D514" s="23" t="str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—</v>
      </c>
      <c r="E514" s="24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7</v>
      </c>
    </row>
    <row r="515" spans="1:5" x14ac:dyDescent="0.25">
      <c r="A515" s="17">
        <f ca="1">INDEX(Stations,INT((ROWS(A$2:A515)-1)/(DATE(YEAR(Invoer!$A$5),12,31)-DATE(YEAR(Invoer!$A$5),1,1)+1))+2,1)</f>
        <v>83</v>
      </c>
      <c r="B515" t="str">
        <f ca="1">TEXT(DATE(YEAR(Invoer!$A$5),1,1)+MOD(ROWS(B$2:B515)-1,DATE(YEAR(Invoer!$A$5),12,31)-DATE(YEAR(Invoer!$A$5),1,1)+1),"jjjjmmdd")</f>
        <v>19430529</v>
      </c>
      <c r="C515" s="18">
        <v>1</v>
      </c>
      <c r="D515" s="23" t="str">
        <f t="shared" ca="1" si="16"/>
        <v>—</v>
      </c>
      <c r="E515" s="24">
        <f t="shared" ca="1" si="17"/>
        <v>7</v>
      </c>
    </row>
    <row r="516" spans="1:5" x14ac:dyDescent="0.25">
      <c r="A516" s="17">
        <f ca="1">INDEX(Stations,INT((ROWS(A$2:A516)-1)/(DATE(YEAR(Invoer!$A$5),12,31)-DATE(YEAR(Invoer!$A$5),1,1)+1))+2,1)</f>
        <v>83</v>
      </c>
      <c r="B516" t="str">
        <f ca="1">TEXT(DATE(YEAR(Invoer!$A$5),1,1)+MOD(ROWS(B$2:B516)-1,DATE(YEAR(Invoer!$A$5),12,31)-DATE(YEAR(Invoer!$A$5),1,1)+1),"jjjjmmdd")</f>
        <v>19430530</v>
      </c>
      <c r="C516" s="18">
        <v>1</v>
      </c>
      <c r="D516" s="23" t="str">
        <f t="shared" ca="1" si="16"/>
        <v>—</v>
      </c>
      <c r="E516" s="24">
        <f t="shared" ca="1" si="17"/>
        <v>7</v>
      </c>
    </row>
    <row r="517" spans="1:5" x14ac:dyDescent="0.25">
      <c r="A517" s="17">
        <f ca="1">INDEX(Stations,INT((ROWS(A$2:A517)-1)/(DATE(YEAR(Invoer!$A$5),12,31)-DATE(YEAR(Invoer!$A$5),1,1)+1))+2,1)</f>
        <v>83</v>
      </c>
      <c r="B517" t="str">
        <f ca="1">TEXT(DATE(YEAR(Invoer!$A$5),1,1)+MOD(ROWS(B$2:B517)-1,DATE(YEAR(Invoer!$A$5),12,31)-DATE(YEAR(Invoer!$A$5),1,1)+1),"jjjjmmdd")</f>
        <v>19430531</v>
      </c>
      <c r="C517" s="18">
        <v>1</v>
      </c>
      <c r="D517" s="23" t="str">
        <f t="shared" ca="1" si="16"/>
        <v>—</v>
      </c>
      <c r="E517" s="24">
        <f t="shared" ca="1" si="17"/>
        <v>7</v>
      </c>
    </row>
    <row r="518" spans="1:5" x14ac:dyDescent="0.25">
      <c r="A518" s="17">
        <f ca="1">INDEX(Stations,INT((ROWS(A$2:A518)-1)/(DATE(YEAR(Invoer!$A$5),12,31)-DATE(YEAR(Invoer!$A$5),1,1)+1))+2,1)</f>
        <v>83</v>
      </c>
      <c r="B518" t="str">
        <f ca="1">TEXT(DATE(YEAR(Invoer!$A$5),1,1)+MOD(ROWS(B$2:B518)-1,DATE(YEAR(Invoer!$A$5),12,31)-DATE(YEAR(Invoer!$A$5),1,1)+1),"jjjjmmdd")</f>
        <v>19430601</v>
      </c>
      <c r="C518" s="18">
        <v>1</v>
      </c>
      <c r="D518" s="23" t="str">
        <f t="shared" ca="1" si="16"/>
        <v>—</v>
      </c>
      <c r="E518" s="24">
        <f t="shared" ca="1" si="17"/>
        <v>7</v>
      </c>
    </row>
    <row r="519" spans="1:5" x14ac:dyDescent="0.25">
      <c r="A519" s="17">
        <f ca="1">INDEX(Stations,INT((ROWS(A$2:A519)-1)/(DATE(YEAR(Invoer!$A$5),12,31)-DATE(YEAR(Invoer!$A$5),1,1)+1))+2,1)</f>
        <v>83</v>
      </c>
      <c r="B519" t="str">
        <f ca="1">TEXT(DATE(YEAR(Invoer!$A$5),1,1)+MOD(ROWS(B$2:B519)-1,DATE(YEAR(Invoer!$A$5),12,31)-DATE(YEAR(Invoer!$A$5),1,1)+1),"jjjjmmdd")</f>
        <v>19430602</v>
      </c>
      <c r="C519" s="18">
        <v>1</v>
      </c>
      <c r="D519" s="23" t="str">
        <f t="shared" ca="1" si="16"/>
        <v>—</v>
      </c>
      <c r="E519" s="24">
        <f t="shared" ca="1" si="17"/>
        <v>7</v>
      </c>
    </row>
    <row r="520" spans="1:5" x14ac:dyDescent="0.25">
      <c r="A520" s="17">
        <f ca="1">INDEX(Stations,INT((ROWS(A$2:A520)-1)/(DATE(YEAR(Invoer!$A$5),12,31)-DATE(YEAR(Invoer!$A$5),1,1)+1))+2,1)</f>
        <v>83</v>
      </c>
      <c r="B520" t="str">
        <f ca="1">TEXT(DATE(YEAR(Invoer!$A$5),1,1)+MOD(ROWS(B$2:B520)-1,DATE(YEAR(Invoer!$A$5),12,31)-DATE(YEAR(Invoer!$A$5),1,1)+1),"jjjjmmdd")</f>
        <v>19430603</v>
      </c>
      <c r="C520" s="18">
        <v>1</v>
      </c>
      <c r="D520" s="23" t="str">
        <f t="shared" ca="1" si="16"/>
        <v>—</v>
      </c>
      <c r="E520" s="24">
        <f t="shared" ca="1" si="17"/>
        <v>7</v>
      </c>
    </row>
    <row r="521" spans="1:5" x14ac:dyDescent="0.25">
      <c r="A521" s="17">
        <f ca="1">INDEX(Stations,INT((ROWS(A$2:A521)-1)/(DATE(YEAR(Invoer!$A$5),12,31)-DATE(YEAR(Invoer!$A$5),1,1)+1))+2,1)</f>
        <v>83</v>
      </c>
      <c r="B521" t="str">
        <f ca="1">TEXT(DATE(YEAR(Invoer!$A$5),1,1)+MOD(ROWS(B$2:B521)-1,DATE(YEAR(Invoer!$A$5),12,31)-DATE(YEAR(Invoer!$A$5),1,1)+1),"jjjjmmdd")</f>
        <v>19430604</v>
      </c>
      <c r="C521" s="18">
        <v>1</v>
      </c>
      <c r="D521" s="23" t="str">
        <f t="shared" ca="1" si="16"/>
        <v>—</v>
      </c>
      <c r="E521" s="24">
        <f t="shared" ca="1" si="17"/>
        <v>7</v>
      </c>
    </row>
    <row r="522" spans="1:5" x14ac:dyDescent="0.25">
      <c r="A522" s="17">
        <f ca="1">INDEX(Stations,INT((ROWS(A$2:A522)-1)/(DATE(YEAR(Invoer!$A$5),12,31)-DATE(YEAR(Invoer!$A$5),1,1)+1))+2,1)</f>
        <v>83</v>
      </c>
      <c r="B522" t="str">
        <f ca="1">TEXT(DATE(YEAR(Invoer!$A$5),1,1)+MOD(ROWS(B$2:B522)-1,DATE(YEAR(Invoer!$A$5),12,31)-DATE(YEAR(Invoer!$A$5),1,1)+1),"jjjjmmdd")</f>
        <v>19430605</v>
      </c>
      <c r="C522" s="18">
        <v>1</v>
      </c>
      <c r="D522" s="23" t="str">
        <f t="shared" ca="1" si="16"/>
        <v>—</v>
      </c>
      <c r="E522" s="24">
        <f t="shared" ca="1" si="17"/>
        <v>7</v>
      </c>
    </row>
    <row r="523" spans="1:5" x14ac:dyDescent="0.25">
      <c r="A523" s="17">
        <f ca="1">INDEX(Stations,INT((ROWS(A$2:A523)-1)/(DATE(YEAR(Invoer!$A$5),12,31)-DATE(YEAR(Invoer!$A$5),1,1)+1))+2,1)</f>
        <v>83</v>
      </c>
      <c r="B523" t="str">
        <f ca="1">TEXT(DATE(YEAR(Invoer!$A$5),1,1)+MOD(ROWS(B$2:B523)-1,DATE(YEAR(Invoer!$A$5),12,31)-DATE(YEAR(Invoer!$A$5),1,1)+1),"jjjjmmdd")</f>
        <v>19430606</v>
      </c>
      <c r="C523" s="18">
        <v>1</v>
      </c>
      <c r="D523" s="23" t="str">
        <f t="shared" ca="1" si="16"/>
        <v>—</v>
      </c>
      <c r="E523" s="24">
        <f t="shared" ca="1" si="17"/>
        <v>7</v>
      </c>
    </row>
    <row r="524" spans="1:5" x14ac:dyDescent="0.25">
      <c r="A524" s="17">
        <f ca="1">INDEX(Stations,INT((ROWS(A$2:A524)-1)/(DATE(YEAR(Invoer!$A$5),12,31)-DATE(YEAR(Invoer!$A$5),1,1)+1))+2,1)</f>
        <v>83</v>
      </c>
      <c r="B524" t="str">
        <f ca="1">TEXT(DATE(YEAR(Invoer!$A$5),1,1)+MOD(ROWS(B$2:B524)-1,DATE(YEAR(Invoer!$A$5),12,31)-DATE(YEAR(Invoer!$A$5),1,1)+1),"jjjjmmdd")</f>
        <v>19430607</v>
      </c>
      <c r="C524" s="18">
        <v>1</v>
      </c>
      <c r="D524" s="23" t="str">
        <f t="shared" ca="1" si="16"/>
        <v>—</v>
      </c>
      <c r="E524" s="24">
        <f t="shared" ca="1" si="17"/>
        <v>7</v>
      </c>
    </row>
    <row r="525" spans="1:5" x14ac:dyDescent="0.25">
      <c r="A525" s="17">
        <f ca="1">INDEX(Stations,INT((ROWS(A$2:A525)-1)/(DATE(YEAR(Invoer!$A$5),12,31)-DATE(YEAR(Invoer!$A$5),1,1)+1))+2,1)</f>
        <v>83</v>
      </c>
      <c r="B525" t="str">
        <f ca="1">TEXT(DATE(YEAR(Invoer!$A$5),1,1)+MOD(ROWS(B$2:B525)-1,DATE(YEAR(Invoer!$A$5),12,31)-DATE(YEAR(Invoer!$A$5),1,1)+1),"jjjjmmdd")</f>
        <v>19430608</v>
      </c>
      <c r="C525" s="18">
        <v>1</v>
      </c>
      <c r="D525" s="23" t="str">
        <f t="shared" ca="1" si="16"/>
        <v>—</v>
      </c>
      <c r="E525" s="24">
        <f t="shared" ca="1" si="17"/>
        <v>7</v>
      </c>
    </row>
    <row r="526" spans="1:5" x14ac:dyDescent="0.25">
      <c r="A526" s="17">
        <f ca="1">INDEX(Stations,INT((ROWS(A$2:A526)-1)/(DATE(YEAR(Invoer!$A$5),12,31)-DATE(YEAR(Invoer!$A$5),1,1)+1))+2,1)</f>
        <v>83</v>
      </c>
      <c r="B526" t="str">
        <f ca="1">TEXT(DATE(YEAR(Invoer!$A$5),1,1)+MOD(ROWS(B$2:B526)-1,DATE(YEAR(Invoer!$A$5),12,31)-DATE(YEAR(Invoer!$A$5),1,1)+1),"jjjjmmdd")</f>
        <v>19430609</v>
      </c>
      <c r="C526" s="18">
        <v>1</v>
      </c>
      <c r="D526" s="23" t="str">
        <f t="shared" ca="1" si="16"/>
        <v>—</v>
      </c>
      <c r="E526" s="24">
        <f t="shared" ca="1" si="17"/>
        <v>7</v>
      </c>
    </row>
    <row r="527" spans="1:5" x14ac:dyDescent="0.25">
      <c r="A527" s="17">
        <f ca="1">INDEX(Stations,INT((ROWS(A$2:A527)-1)/(DATE(YEAR(Invoer!$A$5),12,31)-DATE(YEAR(Invoer!$A$5),1,1)+1))+2,1)</f>
        <v>83</v>
      </c>
      <c r="B527" t="str">
        <f ca="1">TEXT(DATE(YEAR(Invoer!$A$5),1,1)+MOD(ROWS(B$2:B527)-1,DATE(YEAR(Invoer!$A$5),12,31)-DATE(YEAR(Invoer!$A$5),1,1)+1),"jjjjmmdd")</f>
        <v>19430610</v>
      </c>
      <c r="C527" s="18">
        <v>1</v>
      </c>
      <c r="D527" s="23" t="str">
        <f t="shared" ca="1" si="16"/>
        <v>—</v>
      </c>
      <c r="E527" s="24">
        <f t="shared" ca="1" si="17"/>
        <v>7</v>
      </c>
    </row>
    <row r="528" spans="1:5" x14ac:dyDescent="0.25">
      <c r="A528" s="17">
        <f ca="1">INDEX(Stations,INT((ROWS(A$2:A528)-1)/(DATE(YEAR(Invoer!$A$5),12,31)-DATE(YEAR(Invoer!$A$5),1,1)+1))+2,1)</f>
        <v>83</v>
      </c>
      <c r="B528" t="str">
        <f ca="1">TEXT(DATE(YEAR(Invoer!$A$5),1,1)+MOD(ROWS(B$2:B528)-1,DATE(YEAR(Invoer!$A$5),12,31)-DATE(YEAR(Invoer!$A$5),1,1)+1),"jjjjmmdd")</f>
        <v>19430611</v>
      </c>
      <c r="C528" s="18">
        <v>1</v>
      </c>
      <c r="D528" s="23" t="str">
        <f t="shared" ca="1" si="16"/>
        <v>—</v>
      </c>
      <c r="E528" s="24">
        <f t="shared" ca="1" si="17"/>
        <v>7</v>
      </c>
    </row>
    <row r="529" spans="1:5" x14ac:dyDescent="0.25">
      <c r="A529" s="17">
        <f ca="1">INDEX(Stations,INT((ROWS(A$2:A529)-1)/(DATE(YEAR(Invoer!$A$5),12,31)-DATE(YEAR(Invoer!$A$5),1,1)+1))+2,1)</f>
        <v>83</v>
      </c>
      <c r="B529" t="str">
        <f ca="1">TEXT(DATE(YEAR(Invoer!$A$5),1,1)+MOD(ROWS(B$2:B529)-1,DATE(YEAR(Invoer!$A$5),12,31)-DATE(YEAR(Invoer!$A$5),1,1)+1),"jjjjmmdd")</f>
        <v>19430612</v>
      </c>
      <c r="C529" s="18">
        <v>1</v>
      </c>
      <c r="D529" s="23" t="str">
        <f t="shared" ca="1" si="16"/>
        <v>—</v>
      </c>
      <c r="E529" s="24">
        <f t="shared" ca="1" si="17"/>
        <v>7</v>
      </c>
    </row>
    <row r="530" spans="1:5" x14ac:dyDescent="0.25">
      <c r="A530" s="17">
        <f ca="1">INDEX(Stations,INT((ROWS(A$2:A530)-1)/(DATE(YEAR(Invoer!$A$5),12,31)-DATE(YEAR(Invoer!$A$5),1,1)+1))+2,1)</f>
        <v>83</v>
      </c>
      <c r="B530" t="str">
        <f ca="1">TEXT(DATE(YEAR(Invoer!$A$5),1,1)+MOD(ROWS(B$2:B530)-1,DATE(YEAR(Invoer!$A$5),12,31)-DATE(YEAR(Invoer!$A$5),1,1)+1),"jjjjmmdd")</f>
        <v>19430613</v>
      </c>
      <c r="C530" s="18">
        <v>1</v>
      </c>
      <c r="D530" s="23" t="str">
        <f t="shared" ca="1" si="16"/>
        <v>—</v>
      </c>
      <c r="E530" s="24">
        <f t="shared" ca="1" si="17"/>
        <v>7</v>
      </c>
    </row>
    <row r="531" spans="1:5" x14ac:dyDescent="0.25">
      <c r="A531" s="17">
        <f ca="1">INDEX(Stations,INT((ROWS(A$2:A531)-1)/(DATE(YEAR(Invoer!$A$5),12,31)-DATE(YEAR(Invoer!$A$5),1,1)+1))+2,1)</f>
        <v>83</v>
      </c>
      <c r="B531" t="str">
        <f ca="1">TEXT(DATE(YEAR(Invoer!$A$5),1,1)+MOD(ROWS(B$2:B531)-1,DATE(YEAR(Invoer!$A$5),12,31)-DATE(YEAR(Invoer!$A$5),1,1)+1),"jjjjmmdd")</f>
        <v>19430614</v>
      </c>
      <c r="C531" s="18">
        <v>1</v>
      </c>
      <c r="D531" s="23" t="str">
        <f t="shared" ca="1" si="16"/>
        <v>—</v>
      </c>
      <c r="E531" s="24">
        <f t="shared" ca="1" si="17"/>
        <v>7</v>
      </c>
    </row>
    <row r="532" spans="1:5" x14ac:dyDescent="0.25">
      <c r="A532" s="17">
        <f ca="1">INDEX(Stations,INT((ROWS(A$2:A532)-1)/(DATE(YEAR(Invoer!$A$5),12,31)-DATE(YEAR(Invoer!$A$5),1,1)+1))+2,1)</f>
        <v>83</v>
      </c>
      <c r="B532" t="str">
        <f ca="1">TEXT(DATE(YEAR(Invoer!$A$5),1,1)+MOD(ROWS(B$2:B532)-1,DATE(YEAR(Invoer!$A$5),12,31)-DATE(YEAR(Invoer!$A$5),1,1)+1),"jjjjmmdd")</f>
        <v>19430615</v>
      </c>
      <c r="C532" s="18">
        <v>1</v>
      </c>
      <c r="D532" s="23" t="str">
        <f t="shared" ca="1" si="16"/>
        <v>—</v>
      </c>
      <c r="E532" s="24">
        <f t="shared" ca="1" si="17"/>
        <v>7</v>
      </c>
    </row>
    <row r="533" spans="1:5" x14ac:dyDescent="0.25">
      <c r="A533" s="17">
        <f ca="1">INDEX(Stations,INT((ROWS(A$2:A533)-1)/(DATE(YEAR(Invoer!$A$5),12,31)-DATE(YEAR(Invoer!$A$5),1,1)+1))+2,1)</f>
        <v>83</v>
      </c>
      <c r="B533" t="str">
        <f ca="1">TEXT(DATE(YEAR(Invoer!$A$5),1,1)+MOD(ROWS(B$2:B533)-1,DATE(YEAR(Invoer!$A$5),12,31)-DATE(YEAR(Invoer!$A$5),1,1)+1),"jjjjmmdd")</f>
        <v>19430616</v>
      </c>
      <c r="C533" s="18">
        <v>1</v>
      </c>
      <c r="D533" s="23" t="str">
        <f t="shared" ca="1" si="16"/>
        <v>—</v>
      </c>
      <c r="E533" s="24">
        <f t="shared" ca="1" si="17"/>
        <v>7</v>
      </c>
    </row>
    <row r="534" spans="1:5" x14ac:dyDescent="0.25">
      <c r="A534" s="17">
        <f ca="1">INDEX(Stations,INT((ROWS(A$2:A534)-1)/(DATE(YEAR(Invoer!$A$5),12,31)-DATE(YEAR(Invoer!$A$5),1,1)+1))+2,1)</f>
        <v>83</v>
      </c>
      <c r="B534" t="str">
        <f ca="1">TEXT(DATE(YEAR(Invoer!$A$5),1,1)+MOD(ROWS(B$2:B534)-1,DATE(YEAR(Invoer!$A$5),12,31)-DATE(YEAR(Invoer!$A$5),1,1)+1),"jjjjmmdd")</f>
        <v>19430617</v>
      </c>
      <c r="C534" s="18">
        <v>1</v>
      </c>
      <c r="D534" s="23" t="str">
        <f t="shared" ca="1" si="16"/>
        <v>—</v>
      </c>
      <c r="E534" s="24">
        <f t="shared" ca="1" si="17"/>
        <v>7</v>
      </c>
    </row>
    <row r="535" spans="1:5" x14ac:dyDescent="0.25">
      <c r="A535" s="17">
        <f ca="1">INDEX(Stations,INT((ROWS(A$2:A535)-1)/(DATE(YEAR(Invoer!$A$5),12,31)-DATE(YEAR(Invoer!$A$5),1,1)+1))+2,1)</f>
        <v>83</v>
      </c>
      <c r="B535" t="str">
        <f ca="1">TEXT(DATE(YEAR(Invoer!$A$5),1,1)+MOD(ROWS(B$2:B535)-1,DATE(YEAR(Invoer!$A$5),12,31)-DATE(YEAR(Invoer!$A$5),1,1)+1),"jjjjmmdd")</f>
        <v>19430618</v>
      </c>
      <c r="C535" s="18">
        <v>1</v>
      </c>
      <c r="D535" s="23" t="str">
        <f t="shared" ca="1" si="16"/>
        <v>—</v>
      </c>
      <c r="E535" s="24">
        <f t="shared" ca="1" si="17"/>
        <v>7</v>
      </c>
    </row>
    <row r="536" spans="1:5" x14ac:dyDescent="0.25">
      <c r="A536" s="17">
        <f ca="1">INDEX(Stations,INT((ROWS(A$2:A536)-1)/(DATE(YEAR(Invoer!$A$5),12,31)-DATE(YEAR(Invoer!$A$5),1,1)+1))+2,1)</f>
        <v>83</v>
      </c>
      <c r="B536" t="str">
        <f ca="1">TEXT(DATE(YEAR(Invoer!$A$5),1,1)+MOD(ROWS(B$2:B536)-1,DATE(YEAR(Invoer!$A$5),12,31)-DATE(YEAR(Invoer!$A$5),1,1)+1),"jjjjmmdd")</f>
        <v>19430619</v>
      </c>
      <c r="C536" s="18">
        <v>1</v>
      </c>
      <c r="D536" s="23" t="str">
        <f t="shared" ca="1" si="16"/>
        <v>—</v>
      </c>
      <c r="E536" s="24">
        <f t="shared" ca="1" si="17"/>
        <v>7</v>
      </c>
    </row>
    <row r="537" spans="1:5" x14ac:dyDescent="0.25">
      <c r="A537" s="17">
        <f ca="1">INDEX(Stations,INT((ROWS(A$2:A537)-1)/(DATE(YEAR(Invoer!$A$5),12,31)-DATE(YEAR(Invoer!$A$5),1,1)+1))+2,1)</f>
        <v>83</v>
      </c>
      <c r="B537" t="str">
        <f ca="1">TEXT(DATE(YEAR(Invoer!$A$5),1,1)+MOD(ROWS(B$2:B537)-1,DATE(YEAR(Invoer!$A$5),12,31)-DATE(YEAR(Invoer!$A$5),1,1)+1),"jjjjmmdd")</f>
        <v>19430620</v>
      </c>
      <c r="C537" s="18">
        <v>1</v>
      </c>
      <c r="D537" s="23" t="str">
        <f t="shared" ca="1" si="16"/>
        <v>—</v>
      </c>
      <c r="E537" s="24">
        <f t="shared" ca="1" si="17"/>
        <v>7</v>
      </c>
    </row>
    <row r="538" spans="1:5" x14ac:dyDescent="0.25">
      <c r="A538" s="17">
        <f ca="1">INDEX(Stations,INT((ROWS(A$2:A538)-1)/(DATE(YEAR(Invoer!$A$5),12,31)-DATE(YEAR(Invoer!$A$5),1,1)+1))+2,1)</f>
        <v>83</v>
      </c>
      <c r="B538" t="str">
        <f ca="1">TEXT(DATE(YEAR(Invoer!$A$5),1,1)+MOD(ROWS(B$2:B538)-1,DATE(YEAR(Invoer!$A$5),12,31)-DATE(YEAR(Invoer!$A$5),1,1)+1),"jjjjmmdd")</f>
        <v>19430621</v>
      </c>
      <c r="C538" s="18">
        <v>1</v>
      </c>
      <c r="D538" s="23" t="str">
        <f t="shared" ca="1" si="16"/>
        <v>—</v>
      </c>
      <c r="E538" s="24">
        <f t="shared" ca="1" si="17"/>
        <v>7</v>
      </c>
    </row>
    <row r="539" spans="1:5" x14ac:dyDescent="0.25">
      <c r="A539" s="17">
        <f ca="1">INDEX(Stations,INT((ROWS(A$2:A539)-1)/(DATE(YEAR(Invoer!$A$5),12,31)-DATE(YEAR(Invoer!$A$5),1,1)+1))+2,1)</f>
        <v>83</v>
      </c>
      <c r="B539" t="str">
        <f ca="1">TEXT(DATE(YEAR(Invoer!$A$5),1,1)+MOD(ROWS(B$2:B539)-1,DATE(YEAR(Invoer!$A$5),12,31)-DATE(YEAR(Invoer!$A$5),1,1)+1),"jjjjmmdd")</f>
        <v>19430622</v>
      </c>
      <c r="C539" s="18">
        <v>1</v>
      </c>
      <c r="D539" s="23" t="str">
        <f t="shared" ca="1" si="16"/>
        <v>—</v>
      </c>
      <c r="E539" s="24">
        <f t="shared" ca="1" si="17"/>
        <v>7</v>
      </c>
    </row>
    <row r="540" spans="1:5" x14ac:dyDescent="0.25">
      <c r="A540" s="17">
        <f ca="1">INDEX(Stations,INT((ROWS(A$2:A540)-1)/(DATE(YEAR(Invoer!$A$5),12,31)-DATE(YEAR(Invoer!$A$5),1,1)+1))+2,1)</f>
        <v>83</v>
      </c>
      <c r="B540" t="str">
        <f ca="1">TEXT(DATE(YEAR(Invoer!$A$5),1,1)+MOD(ROWS(B$2:B540)-1,DATE(YEAR(Invoer!$A$5),12,31)-DATE(YEAR(Invoer!$A$5),1,1)+1),"jjjjmmdd")</f>
        <v>19430623</v>
      </c>
      <c r="C540" s="18">
        <v>1</v>
      </c>
      <c r="D540" s="23" t="str">
        <f t="shared" ca="1" si="16"/>
        <v>—</v>
      </c>
      <c r="E540" s="24">
        <f t="shared" ca="1" si="17"/>
        <v>7</v>
      </c>
    </row>
    <row r="541" spans="1:5" x14ac:dyDescent="0.25">
      <c r="A541" s="17">
        <f ca="1">INDEX(Stations,INT((ROWS(A$2:A541)-1)/(DATE(YEAR(Invoer!$A$5),12,31)-DATE(YEAR(Invoer!$A$5),1,1)+1))+2,1)</f>
        <v>83</v>
      </c>
      <c r="B541" t="str">
        <f ca="1">TEXT(DATE(YEAR(Invoer!$A$5),1,1)+MOD(ROWS(B$2:B541)-1,DATE(YEAR(Invoer!$A$5),12,31)-DATE(YEAR(Invoer!$A$5),1,1)+1),"jjjjmmdd")</f>
        <v>19430624</v>
      </c>
      <c r="C541" s="18">
        <v>1</v>
      </c>
      <c r="D541" s="23" t="str">
        <f t="shared" ca="1" si="16"/>
        <v>—</v>
      </c>
      <c r="E541" s="24">
        <f t="shared" ca="1" si="17"/>
        <v>7</v>
      </c>
    </row>
    <row r="542" spans="1:5" x14ac:dyDescent="0.25">
      <c r="A542" s="17">
        <f ca="1">INDEX(Stations,INT((ROWS(A$2:A542)-1)/(DATE(YEAR(Invoer!$A$5),12,31)-DATE(YEAR(Invoer!$A$5),1,1)+1))+2,1)</f>
        <v>83</v>
      </c>
      <c r="B542" t="str">
        <f ca="1">TEXT(DATE(YEAR(Invoer!$A$5),1,1)+MOD(ROWS(B$2:B542)-1,DATE(YEAR(Invoer!$A$5),12,31)-DATE(YEAR(Invoer!$A$5),1,1)+1),"jjjjmmdd")</f>
        <v>19430625</v>
      </c>
      <c r="C542" s="18">
        <v>1</v>
      </c>
      <c r="D542" s="23" t="str">
        <f t="shared" ca="1" si="16"/>
        <v>—</v>
      </c>
      <c r="E542" s="24">
        <f t="shared" ca="1" si="17"/>
        <v>7</v>
      </c>
    </row>
    <row r="543" spans="1:5" x14ac:dyDescent="0.25">
      <c r="A543" s="17">
        <f ca="1">INDEX(Stations,INT((ROWS(A$2:A543)-1)/(DATE(YEAR(Invoer!$A$5),12,31)-DATE(YEAR(Invoer!$A$5),1,1)+1))+2,1)</f>
        <v>83</v>
      </c>
      <c r="B543" t="str">
        <f ca="1">TEXT(DATE(YEAR(Invoer!$A$5),1,1)+MOD(ROWS(B$2:B543)-1,DATE(YEAR(Invoer!$A$5),12,31)-DATE(YEAR(Invoer!$A$5),1,1)+1),"jjjjmmdd")</f>
        <v>19430626</v>
      </c>
      <c r="C543" s="18">
        <v>1</v>
      </c>
      <c r="D543" s="23" t="str">
        <f t="shared" ca="1" si="16"/>
        <v>—</v>
      </c>
      <c r="E543" s="24">
        <f t="shared" ca="1" si="17"/>
        <v>7</v>
      </c>
    </row>
    <row r="544" spans="1:5" x14ac:dyDescent="0.25">
      <c r="A544" s="17">
        <f ca="1">INDEX(Stations,INT((ROWS(A$2:A544)-1)/(DATE(YEAR(Invoer!$A$5),12,31)-DATE(YEAR(Invoer!$A$5),1,1)+1))+2,1)</f>
        <v>83</v>
      </c>
      <c r="B544" t="str">
        <f ca="1">TEXT(DATE(YEAR(Invoer!$A$5),1,1)+MOD(ROWS(B$2:B544)-1,DATE(YEAR(Invoer!$A$5),12,31)-DATE(YEAR(Invoer!$A$5),1,1)+1),"jjjjmmdd")</f>
        <v>19430627</v>
      </c>
      <c r="C544" s="18">
        <v>1</v>
      </c>
      <c r="D544" s="23" t="str">
        <f t="shared" ca="1" si="16"/>
        <v>—</v>
      </c>
      <c r="E544" s="24">
        <f t="shared" ca="1" si="17"/>
        <v>7</v>
      </c>
    </row>
    <row r="545" spans="1:5" x14ac:dyDescent="0.25">
      <c r="A545" s="17">
        <f ca="1">INDEX(Stations,INT((ROWS(A$2:A545)-1)/(DATE(YEAR(Invoer!$A$5),12,31)-DATE(YEAR(Invoer!$A$5),1,1)+1))+2,1)</f>
        <v>83</v>
      </c>
      <c r="B545" t="str">
        <f ca="1">TEXT(DATE(YEAR(Invoer!$A$5),1,1)+MOD(ROWS(B$2:B545)-1,DATE(YEAR(Invoer!$A$5),12,31)-DATE(YEAR(Invoer!$A$5),1,1)+1),"jjjjmmdd")</f>
        <v>19430628</v>
      </c>
      <c r="C545" s="18">
        <v>1</v>
      </c>
      <c r="D545" s="23" t="str">
        <f t="shared" ca="1" si="16"/>
        <v>—</v>
      </c>
      <c r="E545" s="24">
        <f t="shared" ca="1" si="17"/>
        <v>7</v>
      </c>
    </row>
    <row r="546" spans="1:5" x14ac:dyDescent="0.25">
      <c r="A546" s="17">
        <f ca="1">INDEX(Stations,INT((ROWS(A$2:A546)-1)/(DATE(YEAR(Invoer!$A$5),12,31)-DATE(YEAR(Invoer!$A$5),1,1)+1))+2,1)</f>
        <v>83</v>
      </c>
      <c r="B546" t="str">
        <f ca="1">TEXT(DATE(YEAR(Invoer!$A$5),1,1)+MOD(ROWS(B$2:B546)-1,DATE(YEAR(Invoer!$A$5),12,31)-DATE(YEAR(Invoer!$A$5),1,1)+1),"jjjjmmdd")</f>
        <v>19430629</v>
      </c>
      <c r="C546" s="18">
        <v>1</v>
      </c>
      <c r="D546" s="23" t="str">
        <f t="shared" ca="1" si="16"/>
        <v>—</v>
      </c>
      <c r="E546" s="24">
        <f t="shared" ca="1" si="17"/>
        <v>7</v>
      </c>
    </row>
    <row r="547" spans="1:5" x14ac:dyDescent="0.25">
      <c r="A547" s="17">
        <f ca="1">INDEX(Stations,INT((ROWS(A$2:A547)-1)/(DATE(YEAR(Invoer!$A$5),12,31)-DATE(YEAR(Invoer!$A$5),1,1)+1))+2,1)</f>
        <v>83</v>
      </c>
      <c r="B547" t="str">
        <f ca="1">TEXT(DATE(YEAR(Invoer!$A$5),1,1)+MOD(ROWS(B$2:B547)-1,DATE(YEAR(Invoer!$A$5),12,31)-DATE(YEAR(Invoer!$A$5),1,1)+1),"jjjjmmdd")</f>
        <v>19430630</v>
      </c>
      <c r="C547" s="18">
        <v>1</v>
      </c>
      <c r="D547" s="23" t="str">
        <f t="shared" ca="1" si="16"/>
        <v>—</v>
      </c>
      <c r="E547" s="24">
        <f t="shared" ca="1" si="17"/>
        <v>7</v>
      </c>
    </row>
    <row r="548" spans="1:5" x14ac:dyDescent="0.25">
      <c r="A548" s="17">
        <f ca="1">INDEX(Stations,INT((ROWS(A$2:A548)-1)/(DATE(YEAR(Invoer!$A$5),12,31)-DATE(YEAR(Invoer!$A$5),1,1)+1))+2,1)</f>
        <v>83</v>
      </c>
      <c r="B548" t="str">
        <f ca="1">TEXT(DATE(YEAR(Invoer!$A$5),1,1)+MOD(ROWS(B$2:B548)-1,DATE(YEAR(Invoer!$A$5),12,31)-DATE(YEAR(Invoer!$A$5),1,1)+1),"jjjjmmdd")</f>
        <v>19430701</v>
      </c>
      <c r="C548" s="18">
        <v>1</v>
      </c>
      <c r="D548" s="23" t="str">
        <f t="shared" ca="1" si="16"/>
        <v>—</v>
      </c>
      <c r="E548" s="24">
        <f t="shared" ca="1" si="17"/>
        <v>7</v>
      </c>
    </row>
    <row r="549" spans="1:5" x14ac:dyDescent="0.25">
      <c r="A549" s="17">
        <f ca="1">INDEX(Stations,INT((ROWS(A$2:A549)-1)/(DATE(YEAR(Invoer!$A$5),12,31)-DATE(YEAR(Invoer!$A$5),1,1)+1))+2,1)</f>
        <v>83</v>
      </c>
      <c r="B549" t="str">
        <f ca="1">TEXT(DATE(YEAR(Invoer!$A$5),1,1)+MOD(ROWS(B$2:B549)-1,DATE(YEAR(Invoer!$A$5),12,31)-DATE(YEAR(Invoer!$A$5),1,1)+1),"jjjjmmdd")</f>
        <v>19430702</v>
      </c>
      <c r="C549" s="18">
        <v>1</v>
      </c>
      <c r="D549" s="23" t="str">
        <f t="shared" ca="1" si="16"/>
        <v>—</v>
      </c>
      <c r="E549" s="24">
        <f t="shared" ca="1" si="17"/>
        <v>7</v>
      </c>
    </row>
    <row r="550" spans="1:5" x14ac:dyDescent="0.25">
      <c r="A550" s="17">
        <f ca="1">INDEX(Stations,INT((ROWS(A$2:A550)-1)/(DATE(YEAR(Invoer!$A$5),12,31)-DATE(YEAR(Invoer!$A$5),1,1)+1))+2,1)</f>
        <v>83</v>
      </c>
      <c r="B550" t="str">
        <f ca="1">TEXT(DATE(YEAR(Invoer!$A$5),1,1)+MOD(ROWS(B$2:B550)-1,DATE(YEAR(Invoer!$A$5),12,31)-DATE(YEAR(Invoer!$A$5),1,1)+1),"jjjjmmdd")</f>
        <v>19430703</v>
      </c>
      <c r="C550" s="18">
        <v>1</v>
      </c>
      <c r="D550" s="23" t="str">
        <f t="shared" ca="1" si="16"/>
        <v>—</v>
      </c>
      <c r="E550" s="24">
        <f t="shared" ca="1" si="17"/>
        <v>7</v>
      </c>
    </row>
    <row r="551" spans="1:5" x14ac:dyDescent="0.25">
      <c r="A551" s="17">
        <f ca="1">INDEX(Stations,INT((ROWS(A$2:A551)-1)/(DATE(YEAR(Invoer!$A$5),12,31)-DATE(YEAR(Invoer!$A$5),1,1)+1))+2,1)</f>
        <v>83</v>
      </c>
      <c r="B551" t="str">
        <f ca="1">TEXT(DATE(YEAR(Invoer!$A$5),1,1)+MOD(ROWS(B$2:B551)-1,DATE(YEAR(Invoer!$A$5),12,31)-DATE(YEAR(Invoer!$A$5),1,1)+1),"jjjjmmdd")</f>
        <v>19430704</v>
      </c>
      <c r="C551" s="18">
        <v>1</v>
      </c>
      <c r="D551" s="23" t="str">
        <f t="shared" ca="1" si="16"/>
        <v>—</v>
      </c>
      <c r="E551" s="24">
        <f t="shared" ca="1" si="17"/>
        <v>7</v>
      </c>
    </row>
    <row r="552" spans="1:5" x14ac:dyDescent="0.25">
      <c r="A552" s="17">
        <f ca="1">INDEX(Stations,INT((ROWS(A$2:A552)-1)/(DATE(YEAR(Invoer!$A$5),12,31)-DATE(YEAR(Invoer!$A$5),1,1)+1))+2,1)</f>
        <v>83</v>
      </c>
      <c r="B552" t="str">
        <f ca="1">TEXT(DATE(YEAR(Invoer!$A$5),1,1)+MOD(ROWS(B$2:B552)-1,DATE(YEAR(Invoer!$A$5),12,31)-DATE(YEAR(Invoer!$A$5),1,1)+1),"jjjjmmdd")</f>
        <v>19430705</v>
      </c>
      <c r="C552" s="18">
        <v>1</v>
      </c>
      <c r="D552" s="23" t="str">
        <f t="shared" ca="1" si="16"/>
        <v>—</v>
      </c>
      <c r="E552" s="24">
        <f t="shared" ca="1" si="17"/>
        <v>7</v>
      </c>
    </row>
    <row r="553" spans="1:5" x14ac:dyDescent="0.25">
      <c r="A553" s="17">
        <f ca="1">INDEX(Stations,INT((ROWS(A$2:A553)-1)/(DATE(YEAR(Invoer!$A$5),12,31)-DATE(YEAR(Invoer!$A$5),1,1)+1))+2,1)</f>
        <v>83</v>
      </c>
      <c r="B553" t="str">
        <f ca="1">TEXT(DATE(YEAR(Invoer!$A$5),1,1)+MOD(ROWS(B$2:B553)-1,DATE(YEAR(Invoer!$A$5),12,31)-DATE(YEAR(Invoer!$A$5),1,1)+1),"jjjjmmdd")</f>
        <v>19430706</v>
      </c>
      <c r="C553" s="18">
        <v>1</v>
      </c>
      <c r="D553" s="23" t="str">
        <f t="shared" ca="1" si="16"/>
        <v>—</v>
      </c>
      <c r="E553" s="24">
        <f t="shared" ca="1" si="17"/>
        <v>7</v>
      </c>
    </row>
    <row r="554" spans="1:5" x14ac:dyDescent="0.25">
      <c r="A554" s="17">
        <f ca="1">INDEX(Stations,INT((ROWS(A$2:A554)-1)/(DATE(YEAR(Invoer!$A$5),12,31)-DATE(YEAR(Invoer!$A$5),1,1)+1))+2,1)</f>
        <v>83</v>
      </c>
      <c r="B554" t="str">
        <f ca="1">TEXT(DATE(YEAR(Invoer!$A$5),1,1)+MOD(ROWS(B$2:B554)-1,DATE(YEAR(Invoer!$A$5),12,31)-DATE(YEAR(Invoer!$A$5),1,1)+1),"jjjjmmdd")</f>
        <v>19430707</v>
      </c>
      <c r="C554" s="18">
        <v>1</v>
      </c>
      <c r="D554" s="23" t="str">
        <f t="shared" ca="1" si="16"/>
        <v>—</v>
      </c>
      <c r="E554" s="24">
        <f t="shared" ca="1" si="17"/>
        <v>7</v>
      </c>
    </row>
    <row r="555" spans="1:5" x14ac:dyDescent="0.25">
      <c r="A555" s="17">
        <f ca="1">INDEX(Stations,INT((ROWS(A$2:A555)-1)/(DATE(YEAR(Invoer!$A$5),12,31)-DATE(YEAR(Invoer!$A$5),1,1)+1))+2,1)</f>
        <v>83</v>
      </c>
      <c r="B555" t="str">
        <f ca="1">TEXT(DATE(YEAR(Invoer!$A$5),1,1)+MOD(ROWS(B$2:B555)-1,DATE(YEAR(Invoer!$A$5),12,31)-DATE(YEAR(Invoer!$A$5),1,1)+1),"jjjjmmdd")</f>
        <v>19430708</v>
      </c>
      <c r="C555" s="18">
        <v>1</v>
      </c>
      <c r="D555" s="23" t="str">
        <f t="shared" ca="1" si="16"/>
        <v>—</v>
      </c>
      <c r="E555" s="24">
        <f t="shared" ca="1" si="17"/>
        <v>7</v>
      </c>
    </row>
    <row r="556" spans="1:5" x14ac:dyDescent="0.25">
      <c r="A556" s="17">
        <f ca="1">INDEX(Stations,INT((ROWS(A$2:A556)-1)/(DATE(YEAR(Invoer!$A$5),12,31)-DATE(YEAR(Invoer!$A$5),1,1)+1))+2,1)</f>
        <v>83</v>
      </c>
      <c r="B556" t="str">
        <f ca="1">TEXT(DATE(YEAR(Invoer!$A$5),1,1)+MOD(ROWS(B$2:B556)-1,DATE(YEAR(Invoer!$A$5),12,31)-DATE(YEAR(Invoer!$A$5),1,1)+1),"jjjjmmdd")</f>
        <v>19430709</v>
      </c>
      <c r="C556" s="18">
        <v>1</v>
      </c>
      <c r="D556" s="23" t="str">
        <f t="shared" ca="1" si="16"/>
        <v>—</v>
      </c>
      <c r="E556" s="24">
        <f t="shared" ca="1" si="17"/>
        <v>7</v>
      </c>
    </row>
    <row r="557" spans="1:5" x14ac:dyDescent="0.25">
      <c r="A557" s="17">
        <f ca="1">INDEX(Stations,INT((ROWS(A$2:A557)-1)/(DATE(YEAR(Invoer!$A$5),12,31)-DATE(YEAR(Invoer!$A$5),1,1)+1))+2,1)</f>
        <v>83</v>
      </c>
      <c r="B557" t="str">
        <f ca="1">TEXT(DATE(YEAR(Invoer!$A$5),1,1)+MOD(ROWS(B$2:B557)-1,DATE(YEAR(Invoer!$A$5),12,31)-DATE(YEAR(Invoer!$A$5),1,1)+1),"jjjjmmdd")</f>
        <v>19430710</v>
      </c>
      <c r="C557" s="18">
        <v>1</v>
      </c>
      <c r="D557" s="23" t="str">
        <f t="shared" ca="1" si="16"/>
        <v>—</v>
      </c>
      <c r="E557" s="24">
        <f t="shared" ca="1" si="17"/>
        <v>7</v>
      </c>
    </row>
    <row r="558" spans="1:5" x14ac:dyDescent="0.25">
      <c r="A558" s="17">
        <f ca="1">INDEX(Stations,INT((ROWS(A$2:A558)-1)/(DATE(YEAR(Invoer!$A$5),12,31)-DATE(YEAR(Invoer!$A$5),1,1)+1))+2,1)</f>
        <v>83</v>
      </c>
      <c r="B558" t="str">
        <f ca="1">TEXT(DATE(YEAR(Invoer!$A$5),1,1)+MOD(ROWS(B$2:B558)-1,DATE(YEAR(Invoer!$A$5),12,31)-DATE(YEAR(Invoer!$A$5),1,1)+1),"jjjjmmdd")</f>
        <v>19430711</v>
      </c>
      <c r="C558" s="18">
        <v>1</v>
      </c>
      <c r="D558" s="23" t="str">
        <f t="shared" ca="1" si="16"/>
        <v>—</v>
      </c>
      <c r="E558" s="24">
        <f t="shared" ca="1" si="17"/>
        <v>7</v>
      </c>
    </row>
    <row r="559" spans="1:5" x14ac:dyDescent="0.25">
      <c r="A559" s="17">
        <f ca="1">INDEX(Stations,INT((ROWS(A$2:A559)-1)/(DATE(YEAR(Invoer!$A$5),12,31)-DATE(YEAR(Invoer!$A$5),1,1)+1))+2,1)</f>
        <v>83</v>
      </c>
      <c r="B559" t="str">
        <f ca="1">TEXT(DATE(YEAR(Invoer!$A$5),1,1)+MOD(ROWS(B$2:B559)-1,DATE(YEAR(Invoer!$A$5),12,31)-DATE(YEAR(Invoer!$A$5),1,1)+1),"jjjjmmdd")</f>
        <v>19430712</v>
      </c>
      <c r="C559" s="18">
        <v>1</v>
      </c>
      <c r="D559" s="23" t="str">
        <f t="shared" ca="1" si="16"/>
        <v>—</v>
      </c>
      <c r="E559" s="24">
        <f t="shared" ca="1" si="17"/>
        <v>7</v>
      </c>
    </row>
    <row r="560" spans="1:5" x14ac:dyDescent="0.25">
      <c r="A560" s="17">
        <f ca="1">INDEX(Stations,INT((ROWS(A$2:A560)-1)/(DATE(YEAR(Invoer!$A$5),12,31)-DATE(YEAR(Invoer!$A$5),1,1)+1))+2,1)</f>
        <v>83</v>
      </c>
      <c r="B560" t="str">
        <f ca="1">TEXT(DATE(YEAR(Invoer!$A$5),1,1)+MOD(ROWS(B$2:B560)-1,DATE(YEAR(Invoer!$A$5),12,31)-DATE(YEAR(Invoer!$A$5),1,1)+1),"jjjjmmdd")</f>
        <v>19430713</v>
      </c>
      <c r="C560" s="18">
        <v>1</v>
      </c>
      <c r="D560" s="23" t="str">
        <f t="shared" ca="1" si="16"/>
        <v>—</v>
      </c>
      <c r="E560" s="24">
        <f t="shared" ca="1" si="17"/>
        <v>7</v>
      </c>
    </row>
    <row r="561" spans="1:5" x14ac:dyDescent="0.25">
      <c r="A561" s="17">
        <f ca="1">INDEX(Stations,INT((ROWS(A$2:A561)-1)/(DATE(YEAR(Invoer!$A$5),12,31)-DATE(YEAR(Invoer!$A$5),1,1)+1))+2,1)</f>
        <v>83</v>
      </c>
      <c r="B561" t="str">
        <f ca="1">TEXT(DATE(YEAR(Invoer!$A$5),1,1)+MOD(ROWS(B$2:B561)-1,DATE(YEAR(Invoer!$A$5),12,31)-DATE(YEAR(Invoer!$A$5),1,1)+1),"jjjjmmdd")</f>
        <v>19430714</v>
      </c>
      <c r="C561" s="18">
        <v>1</v>
      </c>
      <c r="D561" s="23" t="str">
        <f t="shared" ca="1" si="16"/>
        <v>—</v>
      </c>
      <c r="E561" s="24">
        <f t="shared" ca="1" si="17"/>
        <v>7</v>
      </c>
    </row>
    <row r="562" spans="1:5" x14ac:dyDescent="0.25">
      <c r="A562" s="17">
        <f ca="1">INDEX(Stations,INT((ROWS(A$2:A562)-1)/(DATE(YEAR(Invoer!$A$5),12,31)-DATE(YEAR(Invoer!$A$5),1,1)+1))+2,1)</f>
        <v>83</v>
      </c>
      <c r="B562" t="str">
        <f ca="1">TEXT(DATE(YEAR(Invoer!$A$5),1,1)+MOD(ROWS(B$2:B562)-1,DATE(YEAR(Invoer!$A$5),12,31)-DATE(YEAR(Invoer!$A$5),1,1)+1),"jjjjmmdd")</f>
        <v>19430715</v>
      </c>
      <c r="C562" s="18">
        <v>1</v>
      </c>
      <c r="D562" s="23" t="str">
        <f t="shared" ca="1" si="16"/>
        <v>—</v>
      </c>
      <c r="E562" s="24">
        <f t="shared" ca="1" si="17"/>
        <v>7</v>
      </c>
    </row>
    <row r="563" spans="1:5" x14ac:dyDescent="0.25">
      <c r="A563" s="17">
        <f ca="1">INDEX(Stations,INT((ROWS(A$2:A563)-1)/(DATE(YEAR(Invoer!$A$5),12,31)-DATE(YEAR(Invoer!$A$5),1,1)+1))+2,1)</f>
        <v>83</v>
      </c>
      <c r="B563" t="str">
        <f ca="1">TEXT(DATE(YEAR(Invoer!$A$5),1,1)+MOD(ROWS(B$2:B563)-1,DATE(YEAR(Invoer!$A$5),12,31)-DATE(YEAR(Invoer!$A$5),1,1)+1),"jjjjmmdd")</f>
        <v>19430716</v>
      </c>
      <c r="C563" s="18">
        <v>1</v>
      </c>
      <c r="D563" s="23" t="str">
        <f t="shared" ca="1" si="16"/>
        <v>—</v>
      </c>
      <c r="E563" s="24">
        <f t="shared" ca="1" si="17"/>
        <v>7</v>
      </c>
    </row>
    <row r="564" spans="1:5" x14ac:dyDescent="0.25">
      <c r="A564" s="17">
        <f ca="1">INDEX(Stations,INT((ROWS(A$2:A564)-1)/(DATE(YEAR(Invoer!$A$5),12,31)-DATE(YEAR(Invoer!$A$5),1,1)+1))+2,1)</f>
        <v>83</v>
      </c>
      <c r="B564" t="str">
        <f ca="1">TEXT(DATE(YEAR(Invoer!$A$5),1,1)+MOD(ROWS(B$2:B564)-1,DATE(YEAR(Invoer!$A$5),12,31)-DATE(YEAR(Invoer!$A$5),1,1)+1),"jjjjmmdd")</f>
        <v>19430717</v>
      </c>
      <c r="C564" s="18">
        <v>1</v>
      </c>
      <c r="D564" s="23" t="str">
        <f t="shared" ca="1" si="16"/>
        <v>—</v>
      </c>
      <c r="E564" s="24">
        <f t="shared" ca="1" si="17"/>
        <v>7</v>
      </c>
    </row>
    <row r="565" spans="1:5" x14ac:dyDescent="0.25">
      <c r="A565" s="17">
        <f ca="1">INDEX(Stations,INT((ROWS(A$2:A565)-1)/(DATE(YEAR(Invoer!$A$5),12,31)-DATE(YEAR(Invoer!$A$5),1,1)+1))+2,1)</f>
        <v>83</v>
      </c>
      <c r="B565" t="str">
        <f ca="1">TEXT(DATE(YEAR(Invoer!$A$5),1,1)+MOD(ROWS(B$2:B565)-1,DATE(YEAR(Invoer!$A$5),12,31)-DATE(YEAR(Invoer!$A$5),1,1)+1),"jjjjmmdd")</f>
        <v>19430718</v>
      </c>
      <c r="C565" s="18">
        <v>1</v>
      </c>
      <c r="D565" s="23" t="str">
        <f t="shared" ca="1" si="16"/>
        <v>—</v>
      </c>
      <c r="E565" s="24">
        <f t="shared" ca="1" si="17"/>
        <v>7</v>
      </c>
    </row>
    <row r="566" spans="1:5" x14ac:dyDescent="0.25">
      <c r="A566" s="17">
        <f ca="1">INDEX(Stations,INT((ROWS(A$2:A566)-1)/(DATE(YEAR(Invoer!$A$5),12,31)-DATE(YEAR(Invoer!$A$5),1,1)+1))+2,1)</f>
        <v>83</v>
      </c>
      <c r="B566" t="str">
        <f ca="1">TEXT(DATE(YEAR(Invoer!$A$5),1,1)+MOD(ROWS(B$2:B566)-1,DATE(YEAR(Invoer!$A$5),12,31)-DATE(YEAR(Invoer!$A$5),1,1)+1),"jjjjmmdd")</f>
        <v>19430719</v>
      </c>
      <c r="C566" s="18">
        <v>1</v>
      </c>
      <c r="D566" s="23" t="str">
        <f t="shared" ca="1" si="16"/>
        <v>—</v>
      </c>
      <c r="E566" s="24">
        <f t="shared" ca="1" si="17"/>
        <v>7</v>
      </c>
    </row>
    <row r="567" spans="1:5" x14ac:dyDescent="0.25">
      <c r="A567" s="17">
        <f ca="1">INDEX(Stations,INT((ROWS(A$2:A567)-1)/(DATE(YEAR(Invoer!$A$5),12,31)-DATE(YEAR(Invoer!$A$5),1,1)+1))+2,1)</f>
        <v>83</v>
      </c>
      <c r="B567" t="str">
        <f ca="1">TEXT(DATE(YEAR(Invoer!$A$5),1,1)+MOD(ROWS(B$2:B567)-1,DATE(YEAR(Invoer!$A$5),12,31)-DATE(YEAR(Invoer!$A$5),1,1)+1),"jjjjmmdd")</f>
        <v>19430720</v>
      </c>
      <c r="C567" s="18">
        <v>1</v>
      </c>
      <c r="D567" s="23" t="str">
        <f t="shared" ca="1" si="16"/>
        <v>—</v>
      </c>
      <c r="E567" s="24">
        <f t="shared" ca="1" si="17"/>
        <v>7</v>
      </c>
    </row>
    <row r="568" spans="1:5" x14ac:dyDescent="0.25">
      <c r="A568" s="17">
        <f ca="1">INDEX(Stations,INT((ROWS(A$2:A568)-1)/(DATE(YEAR(Invoer!$A$5),12,31)-DATE(YEAR(Invoer!$A$5),1,1)+1))+2,1)</f>
        <v>83</v>
      </c>
      <c r="B568" t="str">
        <f ca="1">TEXT(DATE(YEAR(Invoer!$A$5),1,1)+MOD(ROWS(B$2:B568)-1,DATE(YEAR(Invoer!$A$5),12,31)-DATE(YEAR(Invoer!$A$5),1,1)+1),"jjjjmmdd")</f>
        <v>19430721</v>
      </c>
      <c r="C568" s="18">
        <v>1</v>
      </c>
      <c r="D568" s="23" t="str">
        <f t="shared" ca="1" si="16"/>
        <v>—</v>
      </c>
      <c r="E568" s="24">
        <f t="shared" ca="1" si="17"/>
        <v>7</v>
      </c>
    </row>
    <row r="569" spans="1:5" x14ac:dyDescent="0.25">
      <c r="A569" s="17">
        <f ca="1">INDEX(Stations,INT((ROWS(A$2:A569)-1)/(DATE(YEAR(Invoer!$A$5),12,31)-DATE(YEAR(Invoer!$A$5),1,1)+1))+2,1)</f>
        <v>83</v>
      </c>
      <c r="B569" t="str">
        <f ca="1">TEXT(DATE(YEAR(Invoer!$A$5),1,1)+MOD(ROWS(B$2:B569)-1,DATE(YEAR(Invoer!$A$5),12,31)-DATE(YEAR(Invoer!$A$5),1,1)+1),"jjjjmmdd")</f>
        <v>19430722</v>
      </c>
      <c r="C569" s="18">
        <v>1</v>
      </c>
      <c r="D569" s="23" t="str">
        <f t="shared" ca="1" si="16"/>
        <v>—</v>
      </c>
      <c r="E569" s="24">
        <f t="shared" ca="1" si="17"/>
        <v>7</v>
      </c>
    </row>
    <row r="570" spans="1:5" x14ac:dyDescent="0.25">
      <c r="A570" s="17">
        <f ca="1">INDEX(Stations,INT((ROWS(A$2:A570)-1)/(DATE(YEAR(Invoer!$A$5),12,31)-DATE(YEAR(Invoer!$A$5),1,1)+1))+2,1)</f>
        <v>83</v>
      </c>
      <c r="B570" t="str">
        <f ca="1">TEXT(DATE(YEAR(Invoer!$A$5),1,1)+MOD(ROWS(B$2:B570)-1,DATE(YEAR(Invoer!$A$5),12,31)-DATE(YEAR(Invoer!$A$5),1,1)+1),"jjjjmmdd")</f>
        <v>19430723</v>
      </c>
      <c r="C570" s="18">
        <v>1</v>
      </c>
      <c r="D570" s="23" t="str">
        <f t="shared" ca="1" si="16"/>
        <v>—</v>
      </c>
      <c r="E570" s="24">
        <f t="shared" ca="1" si="17"/>
        <v>7</v>
      </c>
    </row>
    <row r="571" spans="1:5" x14ac:dyDescent="0.25">
      <c r="A571" s="17">
        <f ca="1">INDEX(Stations,INT((ROWS(A$2:A571)-1)/(DATE(YEAR(Invoer!$A$5),12,31)-DATE(YEAR(Invoer!$A$5),1,1)+1))+2,1)</f>
        <v>83</v>
      </c>
      <c r="B571" t="str">
        <f ca="1">TEXT(DATE(YEAR(Invoer!$A$5),1,1)+MOD(ROWS(B$2:B571)-1,DATE(YEAR(Invoer!$A$5),12,31)-DATE(YEAR(Invoer!$A$5),1,1)+1),"jjjjmmdd")</f>
        <v>19430724</v>
      </c>
      <c r="C571" s="18">
        <v>1</v>
      </c>
      <c r="D571" s="23" t="str">
        <f t="shared" ca="1" si="16"/>
        <v>—</v>
      </c>
      <c r="E571" s="24">
        <f t="shared" ca="1" si="17"/>
        <v>7</v>
      </c>
    </row>
    <row r="572" spans="1:5" x14ac:dyDescent="0.25">
      <c r="A572" s="17">
        <f ca="1">INDEX(Stations,INT((ROWS(A$2:A572)-1)/(DATE(YEAR(Invoer!$A$5),12,31)-DATE(YEAR(Invoer!$A$5),1,1)+1))+2,1)</f>
        <v>83</v>
      </c>
      <c r="B572" t="str">
        <f ca="1">TEXT(DATE(YEAR(Invoer!$A$5),1,1)+MOD(ROWS(B$2:B572)-1,DATE(YEAR(Invoer!$A$5),12,31)-DATE(YEAR(Invoer!$A$5),1,1)+1),"jjjjmmdd")</f>
        <v>19430725</v>
      </c>
      <c r="C572" s="18">
        <v>1</v>
      </c>
      <c r="D572" s="23" t="str">
        <f t="shared" ca="1" si="16"/>
        <v>—</v>
      </c>
      <c r="E572" s="24">
        <f t="shared" ca="1" si="17"/>
        <v>7</v>
      </c>
    </row>
    <row r="573" spans="1:5" x14ac:dyDescent="0.25">
      <c r="A573" s="17">
        <f ca="1">INDEX(Stations,INT((ROWS(A$2:A573)-1)/(DATE(YEAR(Invoer!$A$5),12,31)-DATE(YEAR(Invoer!$A$5),1,1)+1))+2,1)</f>
        <v>83</v>
      </c>
      <c r="B573" t="str">
        <f ca="1">TEXT(DATE(YEAR(Invoer!$A$5),1,1)+MOD(ROWS(B$2:B573)-1,DATE(YEAR(Invoer!$A$5),12,31)-DATE(YEAR(Invoer!$A$5),1,1)+1),"jjjjmmdd")</f>
        <v>19430726</v>
      </c>
      <c r="C573" s="18">
        <v>1</v>
      </c>
      <c r="D573" s="23" t="str">
        <f t="shared" ca="1" si="16"/>
        <v>—</v>
      </c>
      <c r="E573" s="24">
        <f t="shared" ca="1" si="17"/>
        <v>7</v>
      </c>
    </row>
    <row r="574" spans="1:5" x14ac:dyDescent="0.25">
      <c r="A574" s="17">
        <f ca="1">INDEX(Stations,INT((ROWS(A$2:A574)-1)/(DATE(YEAR(Invoer!$A$5),12,31)-DATE(YEAR(Invoer!$A$5),1,1)+1))+2,1)</f>
        <v>83</v>
      </c>
      <c r="B574" t="str">
        <f ca="1">TEXT(DATE(YEAR(Invoer!$A$5),1,1)+MOD(ROWS(B$2:B574)-1,DATE(YEAR(Invoer!$A$5),12,31)-DATE(YEAR(Invoer!$A$5),1,1)+1),"jjjjmmdd")</f>
        <v>19430727</v>
      </c>
      <c r="C574" s="18">
        <v>1</v>
      </c>
      <c r="D574" s="23" t="str">
        <f t="shared" ca="1" si="16"/>
        <v>—</v>
      </c>
      <c r="E574" s="24">
        <f t="shared" ca="1" si="17"/>
        <v>7</v>
      </c>
    </row>
    <row r="575" spans="1:5" x14ac:dyDescent="0.25">
      <c r="A575" s="17">
        <f ca="1">INDEX(Stations,INT((ROWS(A$2:A575)-1)/(DATE(YEAR(Invoer!$A$5),12,31)-DATE(YEAR(Invoer!$A$5),1,1)+1))+2,1)</f>
        <v>83</v>
      </c>
      <c r="B575" t="str">
        <f ca="1">TEXT(DATE(YEAR(Invoer!$A$5),1,1)+MOD(ROWS(B$2:B575)-1,DATE(YEAR(Invoer!$A$5),12,31)-DATE(YEAR(Invoer!$A$5),1,1)+1),"jjjjmmdd")</f>
        <v>19430728</v>
      </c>
      <c r="C575" s="18">
        <v>1</v>
      </c>
      <c r="D575" s="23" t="str">
        <f t="shared" ca="1" si="16"/>
        <v>—</v>
      </c>
      <c r="E575" s="24">
        <f t="shared" ca="1" si="17"/>
        <v>7</v>
      </c>
    </row>
    <row r="576" spans="1:5" x14ac:dyDescent="0.25">
      <c r="A576" s="17">
        <f ca="1">INDEX(Stations,INT((ROWS(A$2:A576)-1)/(DATE(YEAR(Invoer!$A$5),12,31)-DATE(YEAR(Invoer!$A$5),1,1)+1))+2,1)</f>
        <v>83</v>
      </c>
      <c r="B576" t="str">
        <f ca="1">TEXT(DATE(YEAR(Invoer!$A$5),1,1)+MOD(ROWS(B$2:B576)-1,DATE(YEAR(Invoer!$A$5),12,31)-DATE(YEAR(Invoer!$A$5),1,1)+1),"jjjjmmdd")</f>
        <v>19430729</v>
      </c>
      <c r="C576" s="18">
        <v>1</v>
      </c>
      <c r="D576" s="23" t="str">
        <f t="shared" ca="1" si="16"/>
        <v>—</v>
      </c>
      <c r="E576" s="24">
        <f t="shared" ca="1" si="17"/>
        <v>7</v>
      </c>
    </row>
    <row r="577" spans="1:5" x14ac:dyDescent="0.25">
      <c r="A577" s="17">
        <f ca="1">INDEX(Stations,INT((ROWS(A$2:A577)-1)/(DATE(YEAR(Invoer!$A$5),12,31)-DATE(YEAR(Invoer!$A$5),1,1)+1))+2,1)</f>
        <v>83</v>
      </c>
      <c r="B577" t="str">
        <f ca="1">TEXT(DATE(YEAR(Invoer!$A$5),1,1)+MOD(ROWS(B$2:B577)-1,DATE(YEAR(Invoer!$A$5),12,31)-DATE(YEAR(Invoer!$A$5),1,1)+1),"jjjjmmdd")</f>
        <v>19430730</v>
      </c>
      <c r="C577" s="18">
        <v>1</v>
      </c>
      <c r="D577" s="23" t="str">
        <f t="shared" ca="1" si="16"/>
        <v>—</v>
      </c>
      <c r="E577" s="24">
        <f t="shared" ca="1" si="17"/>
        <v>7</v>
      </c>
    </row>
    <row r="578" spans="1:5" x14ac:dyDescent="0.25">
      <c r="A578" s="17">
        <f ca="1">INDEX(Stations,INT((ROWS(A$2:A578)-1)/(DATE(YEAR(Invoer!$A$5),12,31)-DATE(YEAR(Invoer!$A$5),1,1)+1))+2,1)</f>
        <v>83</v>
      </c>
      <c r="B578" t="str">
        <f ca="1">TEXT(DATE(YEAR(Invoer!$A$5),1,1)+MOD(ROWS(B$2:B578)-1,DATE(YEAR(Invoer!$A$5),12,31)-DATE(YEAR(Invoer!$A$5),1,1)+1),"jjjjmmdd")</f>
        <v>19430731</v>
      </c>
      <c r="C578" s="18">
        <v>1</v>
      </c>
      <c r="D578" s="23" t="str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—</v>
      </c>
      <c r="E578" s="24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7</v>
      </c>
    </row>
    <row r="579" spans="1:5" x14ac:dyDescent="0.25">
      <c r="A579" s="17">
        <f ca="1">INDEX(Stations,INT((ROWS(A$2:A579)-1)/(DATE(YEAR(Invoer!$A$5),12,31)-DATE(YEAR(Invoer!$A$5),1,1)+1))+2,1)</f>
        <v>83</v>
      </c>
      <c r="B579" t="str">
        <f ca="1">TEXT(DATE(YEAR(Invoer!$A$5),1,1)+MOD(ROWS(B$2:B579)-1,DATE(YEAR(Invoer!$A$5),12,31)-DATE(YEAR(Invoer!$A$5),1,1)+1),"jjjjmmdd")</f>
        <v>19430801</v>
      </c>
      <c r="C579" s="18">
        <v>1</v>
      </c>
      <c r="D579" s="23" t="str">
        <f t="shared" ca="1" si="18"/>
        <v>—</v>
      </c>
      <c r="E579" s="24">
        <f t="shared" ca="1" si="19"/>
        <v>7</v>
      </c>
    </row>
    <row r="580" spans="1:5" x14ac:dyDescent="0.25">
      <c r="A580" s="17">
        <f ca="1">INDEX(Stations,INT((ROWS(A$2:A580)-1)/(DATE(YEAR(Invoer!$A$5),12,31)-DATE(YEAR(Invoer!$A$5),1,1)+1))+2,1)</f>
        <v>83</v>
      </c>
      <c r="B580" t="str">
        <f ca="1">TEXT(DATE(YEAR(Invoer!$A$5),1,1)+MOD(ROWS(B$2:B580)-1,DATE(YEAR(Invoer!$A$5),12,31)-DATE(YEAR(Invoer!$A$5),1,1)+1),"jjjjmmdd")</f>
        <v>19430802</v>
      </c>
      <c r="C580" s="18">
        <v>1</v>
      </c>
      <c r="D580" s="23" t="str">
        <f t="shared" ca="1" si="18"/>
        <v>—</v>
      </c>
      <c r="E580" s="24">
        <f t="shared" ca="1" si="19"/>
        <v>7</v>
      </c>
    </row>
    <row r="581" spans="1:5" x14ac:dyDescent="0.25">
      <c r="A581" s="17">
        <f ca="1">INDEX(Stations,INT((ROWS(A$2:A581)-1)/(DATE(YEAR(Invoer!$A$5),12,31)-DATE(YEAR(Invoer!$A$5),1,1)+1))+2,1)</f>
        <v>83</v>
      </c>
      <c r="B581" t="str">
        <f ca="1">TEXT(DATE(YEAR(Invoer!$A$5),1,1)+MOD(ROWS(B$2:B581)-1,DATE(YEAR(Invoer!$A$5),12,31)-DATE(YEAR(Invoer!$A$5),1,1)+1),"jjjjmmdd")</f>
        <v>19430803</v>
      </c>
      <c r="C581" s="18">
        <v>1</v>
      </c>
      <c r="D581" s="23" t="str">
        <f t="shared" ca="1" si="18"/>
        <v>—</v>
      </c>
      <c r="E581" s="24">
        <f t="shared" ca="1" si="19"/>
        <v>7</v>
      </c>
    </row>
    <row r="582" spans="1:5" x14ac:dyDescent="0.25">
      <c r="A582" s="17">
        <f ca="1">INDEX(Stations,INT((ROWS(A$2:A582)-1)/(DATE(YEAR(Invoer!$A$5),12,31)-DATE(YEAR(Invoer!$A$5),1,1)+1))+2,1)</f>
        <v>83</v>
      </c>
      <c r="B582" t="str">
        <f ca="1">TEXT(DATE(YEAR(Invoer!$A$5),1,1)+MOD(ROWS(B$2:B582)-1,DATE(YEAR(Invoer!$A$5),12,31)-DATE(YEAR(Invoer!$A$5),1,1)+1),"jjjjmmdd")</f>
        <v>19430804</v>
      </c>
      <c r="C582" s="18">
        <v>1</v>
      </c>
      <c r="D582" s="23" t="str">
        <f t="shared" ca="1" si="18"/>
        <v>—</v>
      </c>
      <c r="E582" s="24">
        <f t="shared" ca="1" si="19"/>
        <v>7</v>
      </c>
    </row>
    <row r="583" spans="1:5" x14ac:dyDescent="0.25">
      <c r="A583" s="17">
        <f ca="1">INDEX(Stations,INT((ROWS(A$2:A583)-1)/(DATE(YEAR(Invoer!$A$5),12,31)-DATE(YEAR(Invoer!$A$5),1,1)+1))+2,1)</f>
        <v>83</v>
      </c>
      <c r="B583" t="str">
        <f ca="1">TEXT(DATE(YEAR(Invoer!$A$5),1,1)+MOD(ROWS(B$2:B583)-1,DATE(YEAR(Invoer!$A$5),12,31)-DATE(YEAR(Invoer!$A$5),1,1)+1),"jjjjmmdd")</f>
        <v>19430805</v>
      </c>
      <c r="C583" s="18">
        <v>1</v>
      </c>
      <c r="D583" s="23" t="str">
        <f t="shared" ca="1" si="18"/>
        <v>—</v>
      </c>
      <c r="E583" s="24">
        <f t="shared" ca="1" si="19"/>
        <v>7</v>
      </c>
    </row>
    <row r="584" spans="1:5" x14ac:dyDescent="0.25">
      <c r="A584" s="17">
        <f ca="1">INDEX(Stations,INT((ROWS(A$2:A584)-1)/(DATE(YEAR(Invoer!$A$5),12,31)-DATE(YEAR(Invoer!$A$5),1,1)+1))+2,1)</f>
        <v>83</v>
      </c>
      <c r="B584" t="str">
        <f ca="1">TEXT(DATE(YEAR(Invoer!$A$5),1,1)+MOD(ROWS(B$2:B584)-1,DATE(YEAR(Invoer!$A$5),12,31)-DATE(YEAR(Invoer!$A$5),1,1)+1),"jjjjmmdd")</f>
        <v>19430806</v>
      </c>
      <c r="C584" s="18">
        <v>1</v>
      </c>
      <c r="D584" s="23" t="str">
        <f t="shared" ca="1" si="18"/>
        <v>—</v>
      </c>
      <c r="E584" s="24">
        <f t="shared" ca="1" si="19"/>
        <v>7</v>
      </c>
    </row>
    <row r="585" spans="1:5" x14ac:dyDescent="0.25">
      <c r="A585" s="17">
        <f ca="1">INDEX(Stations,INT((ROWS(A$2:A585)-1)/(DATE(YEAR(Invoer!$A$5),12,31)-DATE(YEAR(Invoer!$A$5),1,1)+1))+2,1)</f>
        <v>83</v>
      </c>
      <c r="B585" t="str">
        <f ca="1">TEXT(DATE(YEAR(Invoer!$A$5),1,1)+MOD(ROWS(B$2:B585)-1,DATE(YEAR(Invoer!$A$5),12,31)-DATE(YEAR(Invoer!$A$5),1,1)+1),"jjjjmmdd")</f>
        <v>19430807</v>
      </c>
      <c r="C585" s="18">
        <v>1</v>
      </c>
      <c r="D585" s="23" t="str">
        <f t="shared" ca="1" si="18"/>
        <v>—</v>
      </c>
      <c r="E585" s="24">
        <f t="shared" ca="1" si="19"/>
        <v>7</v>
      </c>
    </row>
    <row r="586" spans="1:5" x14ac:dyDescent="0.25">
      <c r="A586" s="17">
        <f ca="1">INDEX(Stations,INT((ROWS(A$2:A586)-1)/(DATE(YEAR(Invoer!$A$5),12,31)-DATE(YEAR(Invoer!$A$5),1,1)+1))+2,1)</f>
        <v>83</v>
      </c>
      <c r="B586" t="str">
        <f ca="1">TEXT(DATE(YEAR(Invoer!$A$5),1,1)+MOD(ROWS(B$2:B586)-1,DATE(YEAR(Invoer!$A$5),12,31)-DATE(YEAR(Invoer!$A$5),1,1)+1),"jjjjmmdd")</f>
        <v>19430808</v>
      </c>
      <c r="C586" s="18">
        <v>1</v>
      </c>
      <c r="D586" s="23" t="str">
        <f t="shared" ca="1" si="18"/>
        <v>—</v>
      </c>
      <c r="E586" s="24">
        <f t="shared" ca="1" si="19"/>
        <v>7</v>
      </c>
    </row>
    <row r="587" spans="1:5" x14ac:dyDescent="0.25">
      <c r="A587" s="17">
        <f ca="1">INDEX(Stations,INT((ROWS(A$2:A587)-1)/(DATE(YEAR(Invoer!$A$5),12,31)-DATE(YEAR(Invoer!$A$5),1,1)+1))+2,1)</f>
        <v>83</v>
      </c>
      <c r="B587" t="str">
        <f ca="1">TEXT(DATE(YEAR(Invoer!$A$5),1,1)+MOD(ROWS(B$2:B587)-1,DATE(YEAR(Invoer!$A$5),12,31)-DATE(YEAR(Invoer!$A$5),1,1)+1),"jjjjmmdd")</f>
        <v>19430809</v>
      </c>
      <c r="C587" s="18">
        <v>1</v>
      </c>
      <c r="D587" s="23" t="str">
        <f t="shared" ca="1" si="18"/>
        <v>—</v>
      </c>
      <c r="E587" s="24">
        <f t="shared" ca="1" si="19"/>
        <v>7</v>
      </c>
    </row>
    <row r="588" spans="1:5" x14ac:dyDescent="0.25">
      <c r="A588" s="17">
        <f ca="1">INDEX(Stations,INT((ROWS(A$2:A588)-1)/(DATE(YEAR(Invoer!$A$5),12,31)-DATE(YEAR(Invoer!$A$5),1,1)+1))+2,1)</f>
        <v>83</v>
      </c>
      <c r="B588" t="str">
        <f ca="1">TEXT(DATE(YEAR(Invoer!$A$5),1,1)+MOD(ROWS(B$2:B588)-1,DATE(YEAR(Invoer!$A$5),12,31)-DATE(YEAR(Invoer!$A$5),1,1)+1),"jjjjmmdd")</f>
        <v>19430810</v>
      </c>
      <c r="C588" s="18">
        <v>1</v>
      </c>
      <c r="D588" s="23" t="str">
        <f t="shared" ca="1" si="18"/>
        <v>—</v>
      </c>
      <c r="E588" s="24">
        <f t="shared" ca="1" si="19"/>
        <v>7</v>
      </c>
    </row>
    <row r="589" spans="1:5" x14ac:dyDescent="0.25">
      <c r="A589" s="17">
        <f ca="1">INDEX(Stations,INT((ROWS(A$2:A589)-1)/(DATE(YEAR(Invoer!$A$5),12,31)-DATE(YEAR(Invoer!$A$5),1,1)+1))+2,1)</f>
        <v>83</v>
      </c>
      <c r="B589" t="str">
        <f ca="1">TEXT(DATE(YEAR(Invoer!$A$5),1,1)+MOD(ROWS(B$2:B589)-1,DATE(YEAR(Invoer!$A$5),12,31)-DATE(YEAR(Invoer!$A$5),1,1)+1),"jjjjmmdd")</f>
        <v>19430811</v>
      </c>
      <c r="C589" s="18">
        <v>1</v>
      </c>
      <c r="D589" s="23" t="str">
        <f t="shared" ca="1" si="18"/>
        <v>—</v>
      </c>
      <c r="E589" s="24">
        <f t="shared" ca="1" si="19"/>
        <v>7</v>
      </c>
    </row>
    <row r="590" spans="1:5" x14ac:dyDescent="0.25">
      <c r="A590" s="17">
        <f ca="1">INDEX(Stations,INT((ROWS(A$2:A590)-1)/(DATE(YEAR(Invoer!$A$5),12,31)-DATE(YEAR(Invoer!$A$5),1,1)+1))+2,1)</f>
        <v>83</v>
      </c>
      <c r="B590" t="str">
        <f ca="1">TEXT(DATE(YEAR(Invoer!$A$5),1,1)+MOD(ROWS(B$2:B590)-1,DATE(YEAR(Invoer!$A$5),12,31)-DATE(YEAR(Invoer!$A$5),1,1)+1),"jjjjmmdd")</f>
        <v>19430812</v>
      </c>
      <c r="C590" s="18">
        <v>1</v>
      </c>
      <c r="D590" s="23" t="str">
        <f t="shared" ca="1" si="18"/>
        <v>—</v>
      </c>
      <c r="E590" s="24">
        <f t="shared" ca="1" si="19"/>
        <v>7</v>
      </c>
    </row>
    <row r="591" spans="1:5" x14ac:dyDescent="0.25">
      <c r="A591" s="17">
        <f ca="1">INDEX(Stations,INT((ROWS(A$2:A591)-1)/(DATE(YEAR(Invoer!$A$5),12,31)-DATE(YEAR(Invoer!$A$5),1,1)+1))+2,1)</f>
        <v>83</v>
      </c>
      <c r="B591" t="str">
        <f ca="1">TEXT(DATE(YEAR(Invoer!$A$5),1,1)+MOD(ROWS(B$2:B591)-1,DATE(YEAR(Invoer!$A$5),12,31)-DATE(YEAR(Invoer!$A$5),1,1)+1),"jjjjmmdd")</f>
        <v>19430813</v>
      </c>
      <c r="C591" s="18">
        <v>1</v>
      </c>
      <c r="D591" s="23" t="str">
        <f t="shared" ca="1" si="18"/>
        <v>—</v>
      </c>
      <c r="E591" s="24">
        <f t="shared" ca="1" si="19"/>
        <v>7</v>
      </c>
    </row>
    <row r="592" spans="1:5" x14ac:dyDescent="0.25">
      <c r="A592" s="17">
        <f ca="1">INDEX(Stations,INT((ROWS(A$2:A592)-1)/(DATE(YEAR(Invoer!$A$5),12,31)-DATE(YEAR(Invoer!$A$5),1,1)+1))+2,1)</f>
        <v>83</v>
      </c>
      <c r="B592" t="str">
        <f ca="1">TEXT(DATE(YEAR(Invoer!$A$5),1,1)+MOD(ROWS(B$2:B592)-1,DATE(YEAR(Invoer!$A$5),12,31)-DATE(YEAR(Invoer!$A$5),1,1)+1),"jjjjmmdd")</f>
        <v>19430814</v>
      </c>
      <c r="C592" s="18">
        <v>1</v>
      </c>
      <c r="D592" s="23" t="str">
        <f t="shared" ca="1" si="18"/>
        <v>—</v>
      </c>
      <c r="E592" s="24">
        <f t="shared" ca="1" si="19"/>
        <v>7</v>
      </c>
    </row>
    <row r="593" spans="1:5" x14ac:dyDescent="0.25">
      <c r="A593" s="17">
        <f ca="1">INDEX(Stations,INT((ROWS(A$2:A593)-1)/(DATE(YEAR(Invoer!$A$5),12,31)-DATE(YEAR(Invoer!$A$5),1,1)+1))+2,1)</f>
        <v>83</v>
      </c>
      <c r="B593" t="str">
        <f ca="1">TEXT(DATE(YEAR(Invoer!$A$5),1,1)+MOD(ROWS(B$2:B593)-1,DATE(YEAR(Invoer!$A$5),12,31)-DATE(YEAR(Invoer!$A$5),1,1)+1),"jjjjmmdd")</f>
        <v>19430815</v>
      </c>
      <c r="C593" s="18">
        <v>1</v>
      </c>
      <c r="D593" s="23" t="str">
        <f t="shared" ca="1" si="18"/>
        <v>—</v>
      </c>
      <c r="E593" s="24">
        <f t="shared" ca="1" si="19"/>
        <v>7</v>
      </c>
    </row>
    <row r="594" spans="1:5" x14ac:dyDescent="0.25">
      <c r="A594" s="17">
        <f ca="1">INDEX(Stations,INT((ROWS(A$2:A594)-1)/(DATE(YEAR(Invoer!$A$5),12,31)-DATE(YEAR(Invoer!$A$5),1,1)+1))+2,1)</f>
        <v>83</v>
      </c>
      <c r="B594" t="str">
        <f ca="1">TEXT(DATE(YEAR(Invoer!$A$5),1,1)+MOD(ROWS(B$2:B594)-1,DATE(YEAR(Invoer!$A$5),12,31)-DATE(YEAR(Invoer!$A$5),1,1)+1),"jjjjmmdd")</f>
        <v>19430816</v>
      </c>
      <c r="C594" s="18">
        <v>1</v>
      </c>
      <c r="D594" s="23" t="str">
        <f t="shared" ca="1" si="18"/>
        <v>—</v>
      </c>
      <c r="E594" s="24">
        <f t="shared" ca="1" si="19"/>
        <v>7</v>
      </c>
    </row>
    <row r="595" spans="1:5" x14ac:dyDescent="0.25">
      <c r="A595" s="17">
        <f ca="1">INDEX(Stations,INT((ROWS(A$2:A595)-1)/(DATE(YEAR(Invoer!$A$5),12,31)-DATE(YEAR(Invoer!$A$5),1,1)+1))+2,1)</f>
        <v>83</v>
      </c>
      <c r="B595" t="str">
        <f ca="1">TEXT(DATE(YEAR(Invoer!$A$5),1,1)+MOD(ROWS(B$2:B595)-1,DATE(YEAR(Invoer!$A$5),12,31)-DATE(YEAR(Invoer!$A$5),1,1)+1),"jjjjmmdd")</f>
        <v>19430817</v>
      </c>
      <c r="C595" s="18">
        <v>1</v>
      </c>
      <c r="D595" s="23" t="str">
        <f t="shared" ca="1" si="18"/>
        <v>—</v>
      </c>
      <c r="E595" s="24">
        <f t="shared" ca="1" si="19"/>
        <v>7</v>
      </c>
    </row>
    <row r="596" spans="1:5" x14ac:dyDescent="0.25">
      <c r="A596" s="17">
        <f ca="1">INDEX(Stations,INT((ROWS(A$2:A596)-1)/(DATE(YEAR(Invoer!$A$5),12,31)-DATE(YEAR(Invoer!$A$5),1,1)+1))+2,1)</f>
        <v>83</v>
      </c>
      <c r="B596" t="str">
        <f ca="1">TEXT(DATE(YEAR(Invoer!$A$5),1,1)+MOD(ROWS(B$2:B596)-1,DATE(YEAR(Invoer!$A$5),12,31)-DATE(YEAR(Invoer!$A$5),1,1)+1),"jjjjmmdd")</f>
        <v>19430818</v>
      </c>
      <c r="C596" s="18">
        <v>1</v>
      </c>
      <c r="D596" s="23" t="str">
        <f t="shared" ca="1" si="18"/>
        <v>—</v>
      </c>
      <c r="E596" s="24">
        <f t="shared" ca="1" si="19"/>
        <v>7</v>
      </c>
    </row>
    <row r="597" spans="1:5" x14ac:dyDescent="0.25">
      <c r="A597" s="17">
        <f ca="1">INDEX(Stations,INT((ROWS(A$2:A597)-1)/(DATE(YEAR(Invoer!$A$5),12,31)-DATE(YEAR(Invoer!$A$5),1,1)+1))+2,1)</f>
        <v>83</v>
      </c>
      <c r="B597" t="str">
        <f ca="1">TEXT(DATE(YEAR(Invoer!$A$5),1,1)+MOD(ROWS(B$2:B597)-1,DATE(YEAR(Invoer!$A$5),12,31)-DATE(YEAR(Invoer!$A$5),1,1)+1),"jjjjmmdd")</f>
        <v>19430819</v>
      </c>
      <c r="C597" s="18">
        <v>1</v>
      </c>
      <c r="D597" s="23" t="str">
        <f t="shared" ca="1" si="18"/>
        <v>—</v>
      </c>
      <c r="E597" s="24">
        <f t="shared" ca="1" si="19"/>
        <v>7</v>
      </c>
    </row>
    <row r="598" spans="1:5" x14ac:dyDescent="0.25">
      <c r="A598" s="17">
        <f ca="1">INDEX(Stations,INT((ROWS(A$2:A598)-1)/(DATE(YEAR(Invoer!$A$5),12,31)-DATE(YEAR(Invoer!$A$5),1,1)+1))+2,1)</f>
        <v>83</v>
      </c>
      <c r="B598" t="str">
        <f ca="1">TEXT(DATE(YEAR(Invoer!$A$5),1,1)+MOD(ROWS(B$2:B598)-1,DATE(YEAR(Invoer!$A$5),12,31)-DATE(YEAR(Invoer!$A$5),1,1)+1),"jjjjmmdd")</f>
        <v>19430820</v>
      </c>
      <c r="C598" s="18">
        <v>1</v>
      </c>
      <c r="D598" s="23" t="str">
        <f t="shared" ca="1" si="18"/>
        <v>—</v>
      </c>
      <c r="E598" s="24">
        <f t="shared" ca="1" si="19"/>
        <v>7</v>
      </c>
    </row>
    <row r="599" spans="1:5" x14ac:dyDescent="0.25">
      <c r="A599" s="17">
        <f ca="1">INDEX(Stations,INT((ROWS(A$2:A599)-1)/(DATE(YEAR(Invoer!$A$5),12,31)-DATE(YEAR(Invoer!$A$5),1,1)+1))+2,1)</f>
        <v>83</v>
      </c>
      <c r="B599" t="str">
        <f ca="1">TEXT(DATE(YEAR(Invoer!$A$5),1,1)+MOD(ROWS(B$2:B599)-1,DATE(YEAR(Invoer!$A$5),12,31)-DATE(YEAR(Invoer!$A$5),1,1)+1),"jjjjmmdd")</f>
        <v>19430821</v>
      </c>
      <c r="C599" s="18">
        <v>1</v>
      </c>
      <c r="D599" s="23" t="str">
        <f t="shared" ca="1" si="18"/>
        <v>—</v>
      </c>
      <c r="E599" s="24">
        <f t="shared" ca="1" si="19"/>
        <v>7</v>
      </c>
    </row>
    <row r="600" spans="1:5" x14ac:dyDescent="0.25">
      <c r="A600" s="17">
        <f ca="1">INDEX(Stations,INT((ROWS(A$2:A600)-1)/(DATE(YEAR(Invoer!$A$5),12,31)-DATE(YEAR(Invoer!$A$5),1,1)+1))+2,1)</f>
        <v>83</v>
      </c>
      <c r="B600" t="str">
        <f ca="1">TEXT(DATE(YEAR(Invoer!$A$5),1,1)+MOD(ROWS(B$2:B600)-1,DATE(YEAR(Invoer!$A$5),12,31)-DATE(YEAR(Invoer!$A$5),1,1)+1),"jjjjmmdd")</f>
        <v>19430822</v>
      </c>
      <c r="C600" s="18">
        <v>1</v>
      </c>
      <c r="D600" s="23" t="str">
        <f t="shared" ca="1" si="18"/>
        <v>—</v>
      </c>
      <c r="E600" s="24">
        <f t="shared" ca="1" si="19"/>
        <v>7</v>
      </c>
    </row>
    <row r="601" spans="1:5" x14ac:dyDescent="0.25">
      <c r="A601" s="17">
        <f ca="1">INDEX(Stations,INT((ROWS(A$2:A601)-1)/(DATE(YEAR(Invoer!$A$5),12,31)-DATE(YEAR(Invoer!$A$5),1,1)+1))+2,1)</f>
        <v>83</v>
      </c>
      <c r="B601" t="str">
        <f ca="1">TEXT(DATE(YEAR(Invoer!$A$5),1,1)+MOD(ROWS(B$2:B601)-1,DATE(YEAR(Invoer!$A$5),12,31)-DATE(YEAR(Invoer!$A$5),1,1)+1),"jjjjmmdd")</f>
        <v>19430823</v>
      </c>
      <c r="C601" s="18">
        <v>1</v>
      </c>
      <c r="D601" s="23" t="str">
        <f t="shared" ca="1" si="18"/>
        <v>—</v>
      </c>
      <c r="E601" s="24">
        <f t="shared" ca="1" si="19"/>
        <v>7</v>
      </c>
    </row>
    <row r="602" spans="1:5" x14ac:dyDescent="0.25">
      <c r="A602" s="17">
        <f ca="1">INDEX(Stations,INT((ROWS(A$2:A602)-1)/(DATE(YEAR(Invoer!$A$5),12,31)-DATE(YEAR(Invoer!$A$5),1,1)+1))+2,1)</f>
        <v>83</v>
      </c>
      <c r="B602" t="str">
        <f ca="1">TEXT(DATE(YEAR(Invoer!$A$5),1,1)+MOD(ROWS(B$2:B602)-1,DATE(YEAR(Invoer!$A$5),12,31)-DATE(YEAR(Invoer!$A$5),1,1)+1),"jjjjmmdd")</f>
        <v>19430824</v>
      </c>
      <c r="C602" s="18">
        <v>1</v>
      </c>
      <c r="D602" s="23" t="str">
        <f t="shared" ca="1" si="18"/>
        <v>—</v>
      </c>
      <c r="E602" s="24">
        <f t="shared" ca="1" si="19"/>
        <v>7</v>
      </c>
    </row>
    <row r="603" spans="1:5" x14ac:dyDescent="0.25">
      <c r="A603" s="17">
        <f ca="1">INDEX(Stations,INT((ROWS(A$2:A603)-1)/(DATE(YEAR(Invoer!$A$5),12,31)-DATE(YEAR(Invoer!$A$5),1,1)+1))+2,1)</f>
        <v>83</v>
      </c>
      <c r="B603" t="str">
        <f ca="1">TEXT(DATE(YEAR(Invoer!$A$5),1,1)+MOD(ROWS(B$2:B603)-1,DATE(YEAR(Invoer!$A$5),12,31)-DATE(YEAR(Invoer!$A$5),1,1)+1),"jjjjmmdd")</f>
        <v>19430825</v>
      </c>
      <c r="C603" s="18">
        <v>1</v>
      </c>
      <c r="D603" s="23" t="str">
        <f t="shared" ca="1" si="18"/>
        <v>—</v>
      </c>
      <c r="E603" s="24">
        <f t="shared" ca="1" si="19"/>
        <v>7</v>
      </c>
    </row>
    <row r="604" spans="1:5" x14ac:dyDescent="0.25">
      <c r="A604" s="17">
        <f ca="1">INDEX(Stations,INT((ROWS(A$2:A604)-1)/(DATE(YEAR(Invoer!$A$5),12,31)-DATE(YEAR(Invoer!$A$5),1,1)+1))+2,1)</f>
        <v>83</v>
      </c>
      <c r="B604" t="str">
        <f ca="1">TEXT(DATE(YEAR(Invoer!$A$5),1,1)+MOD(ROWS(B$2:B604)-1,DATE(YEAR(Invoer!$A$5),12,31)-DATE(YEAR(Invoer!$A$5),1,1)+1),"jjjjmmdd")</f>
        <v>19430826</v>
      </c>
      <c r="C604" s="18">
        <v>1</v>
      </c>
      <c r="D604" s="23" t="str">
        <f t="shared" ca="1" si="18"/>
        <v>—</v>
      </c>
      <c r="E604" s="24">
        <f t="shared" ca="1" si="19"/>
        <v>7</v>
      </c>
    </row>
    <row r="605" spans="1:5" x14ac:dyDescent="0.25">
      <c r="A605" s="17">
        <f ca="1">INDEX(Stations,INT((ROWS(A$2:A605)-1)/(DATE(YEAR(Invoer!$A$5),12,31)-DATE(YEAR(Invoer!$A$5),1,1)+1))+2,1)</f>
        <v>83</v>
      </c>
      <c r="B605" t="str">
        <f ca="1">TEXT(DATE(YEAR(Invoer!$A$5),1,1)+MOD(ROWS(B$2:B605)-1,DATE(YEAR(Invoer!$A$5),12,31)-DATE(YEAR(Invoer!$A$5),1,1)+1),"jjjjmmdd")</f>
        <v>19430827</v>
      </c>
      <c r="C605" s="18">
        <v>1</v>
      </c>
      <c r="D605" s="23" t="str">
        <f t="shared" ca="1" si="18"/>
        <v>—</v>
      </c>
      <c r="E605" s="24">
        <f t="shared" ca="1" si="19"/>
        <v>7</v>
      </c>
    </row>
    <row r="606" spans="1:5" x14ac:dyDescent="0.25">
      <c r="A606" s="17">
        <f ca="1">INDEX(Stations,INT((ROWS(A$2:A606)-1)/(DATE(YEAR(Invoer!$A$5),12,31)-DATE(YEAR(Invoer!$A$5),1,1)+1))+2,1)</f>
        <v>83</v>
      </c>
      <c r="B606" t="str">
        <f ca="1">TEXT(DATE(YEAR(Invoer!$A$5),1,1)+MOD(ROWS(B$2:B606)-1,DATE(YEAR(Invoer!$A$5),12,31)-DATE(YEAR(Invoer!$A$5),1,1)+1),"jjjjmmdd")</f>
        <v>19430828</v>
      </c>
      <c r="C606" s="18">
        <v>1</v>
      </c>
      <c r="D606" s="23" t="str">
        <f t="shared" ca="1" si="18"/>
        <v>—</v>
      </c>
      <c r="E606" s="24">
        <f t="shared" ca="1" si="19"/>
        <v>7</v>
      </c>
    </row>
    <row r="607" spans="1:5" x14ac:dyDescent="0.25">
      <c r="A607" s="17">
        <f ca="1">INDEX(Stations,INT((ROWS(A$2:A607)-1)/(DATE(YEAR(Invoer!$A$5),12,31)-DATE(YEAR(Invoer!$A$5),1,1)+1))+2,1)</f>
        <v>83</v>
      </c>
      <c r="B607" t="str">
        <f ca="1">TEXT(DATE(YEAR(Invoer!$A$5),1,1)+MOD(ROWS(B$2:B607)-1,DATE(YEAR(Invoer!$A$5),12,31)-DATE(YEAR(Invoer!$A$5),1,1)+1),"jjjjmmdd")</f>
        <v>19430829</v>
      </c>
      <c r="C607" s="18">
        <v>1</v>
      </c>
      <c r="D607" s="23" t="str">
        <f t="shared" ca="1" si="18"/>
        <v>—</v>
      </c>
      <c r="E607" s="24">
        <f t="shared" ca="1" si="19"/>
        <v>7</v>
      </c>
    </row>
    <row r="608" spans="1:5" x14ac:dyDescent="0.25">
      <c r="A608" s="17">
        <f ca="1">INDEX(Stations,INT((ROWS(A$2:A608)-1)/(DATE(YEAR(Invoer!$A$5),12,31)-DATE(YEAR(Invoer!$A$5),1,1)+1))+2,1)</f>
        <v>83</v>
      </c>
      <c r="B608" t="str">
        <f ca="1">TEXT(DATE(YEAR(Invoer!$A$5),1,1)+MOD(ROWS(B$2:B608)-1,DATE(YEAR(Invoer!$A$5),12,31)-DATE(YEAR(Invoer!$A$5),1,1)+1),"jjjjmmdd")</f>
        <v>19430830</v>
      </c>
      <c r="C608" s="18">
        <v>1</v>
      </c>
      <c r="D608" s="23" t="str">
        <f t="shared" ca="1" si="18"/>
        <v>—</v>
      </c>
      <c r="E608" s="24">
        <f t="shared" ca="1" si="19"/>
        <v>7</v>
      </c>
    </row>
    <row r="609" spans="1:5" x14ac:dyDescent="0.25">
      <c r="A609" s="17">
        <f ca="1">INDEX(Stations,INT((ROWS(A$2:A609)-1)/(DATE(YEAR(Invoer!$A$5),12,31)-DATE(YEAR(Invoer!$A$5),1,1)+1))+2,1)</f>
        <v>83</v>
      </c>
      <c r="B609" t="str">
        <f ca="1">TEXT(DATE(YEAR(Invoer!$A$5),1,1)+MOD(ROWS(B$2:B609)-1,DATE(YEAR(Invoer!$A$5),12,31)-DATE(YEAR(Invoer!$A$5),1,1)+1),"jjjjmmdd")</f>
        <v>19430831</v>
      </c>
      <c r="C609" s="18">
        <v>1</v>
      </c>
      <c r="D609" s="23" t="str">
        <f t="shared" ca="1" si="18"/>
        <v>—</v>
      </c>
      <c r="E609" s="24">
        <f t="shared" ca="1" si="19"/>
        <v>7</v>
      </c>
    </row>
    <row r="610" spans="1:5" x14ac:dyDescent="0.25">
      <c r="A610" s="17">
        <f ca="1">INDEX(Stations,INT((ROWS(A$2:A610)-1)/(DATE(YEAR(Invoer!$A$5),12,31)-DATE(YEAR(Invoer!$A$5),1,1)+1))+2,1)</f>
        <v>83</v>
      </c>
      <c r="B610" t="str">
        <f ca="1">TEXT(DATE(YEAR(Invoer!$A$5),1,1)+MOD(ROWS(B$2:B610)-1,DATE(YEAR(Invoer!$A$5),12,31)-DATE(YEAR(Invoer!$A$5),1,1)+1),"jjjjmmdd")</f>
        <v>19430901</v>
      </c>
      <c r="C610" s="18">
        <v>1</v>
      </c>
      <c r="D610" s="23" t="str">
        <f t="shared" ca="1" si="18"/>
        <v>—</v>
      </c>
      <c r="E610" s="24">
        <f t="shared" ca="1" si="19"/>
        <v>7</v>
      </c>
    </row>
    <row r="611" spans="1:5" x14ac:dyDescent="0.25">
      <c r="A611" s="17">
        <f ca="1">INDEX(Stations,INT((ROWS(A$2:A611)-1)/(DATE(YEAR(Invoer!$A$5),12,31)-DATE(YEAR(Invoer!$A$5),1,1)+1))+2,1)</f>
        <v>83</v>
      </c>
      <c r="B611" t="str">
        <f ca="1">TEXT(DATE(YEAR(Invoer!$A$5),1,1)+MOD(ROWS(B$2:B611)-1,DATE(YEAR(Invoer!$A$5),12,31)-DATE(YEAR(Invoer!$A$5),1,1)+1),"jjjjmmdd")</f>
        <v>19430902</v>
      </c>
      <c r="C611" s="18">
        <v>1</v>
      </c>
      <c r="D611" s="23" t="str">
        <f t="shared" ca="1" si="18"/>
        <v>—</v>
      </c>
      <c r="E611" s="24">
        <f t="shared" ca="1" si="19"/>
        <v>7</v>
      </c>
    </row>
    <row r="612" spans="1:5" x14ac:dyDescent="0.25">
      <c r="A612" s="17">
        <f ca="1">INDEX(Stations,INT((ROWS(A$2:A612)-1)/(DATE(YEAR(Invoer!$A$5),12,31)-DATE(YEAR(Invoer!$A$5),1,1)+1))+2,1)</f>
        <v>83</v>
      </c>
      <c r="B612" t="str">
        <f ca="1">TEXT(DATE(YEAR(Invoer!$A$5),1,1)+MOD(ROWS(B$2:B612)-1,DATE(YEAR(Invoer!$A$5),12,31)-DATE(YEAR(Invoer!$A$5),1,1)+1),"jjjjmmdd")</f>
        <v>19430903</v>
      </c>
      <c r="C612" s="18">
        <v>1</v>
      </c>
      <c r="D612" s="23" t="str">
        <f t="shared" ca="1" si="18"/>
        <v>—</v>
      </c>
      <c r="E612" s="24">
        <f t="shared" ca="1" si="19"/>
        <v>7</v>
      </c>
    </row>
    <row r="613" spans="1:5" x14ac:dyDescent="0.25">
      <c r="A613" s="17">
        <f ca="1">INDEX(Stations,INT((ROWS(A$2:A613)-1)/(DATE(YEAR(Invoer!$A$5),12,31)-DATE(YEAR(Invoer!$A$5),1,1)+1))+2,1)</f>
        <v>83</v>
      </c>
      <c r="B613" t="str">
        <f ca="1">TEXT(DATE(YEAR(Invoer!$A$5),1,1)+MOD(ROWS(B$2:B613)-1,DATE(YEAR(Invoer!$A$5),12,31)-DATE(YEAR(Invoer!$A$5),1,1)+1),"jjjjmmdd")</f>
        <v>19430904</v>
      </c>
      <c r="C613" s="18">
        <v>1</v>
      </c>
      <c r="D613" s="23" t="str">
        <f t="shared" ca="1" si="18"/>
        <v>—</v>
      </c>
      <c r="E613" s="24">
        <f t="shared" ca="1" si="19"/>
        <v>7</v>
      </c>
    </row>
    <row r="614" spans="1:5" x14ac:dyDescent="0.25">
      <c r="A614" s="17">
        <f ca="1">INDEX(Stations,INT((ROWS(A$2:A614)-1)/(DATE(YEAR(Invoer!$A$5),12,31)-DATE(YEAR(Invoer!$A$5),1,1)+1))+2,1)</f>
        <v>83</v>
      </c>
      <c r="B614" t="str">
        <f ca="1">TEXT(DATE(YEAR(Invoer!$A$5),1,1)+MOD(ROWS(B$2:B614)-1,DATE(YEAR(Invoer!$A$5),12,31)-DATE(YEAR(Invoer!$A$5),1,1)+1),"jjjjmmdd")</f>
        <v>19430905</v>
      </c>
      <c r="C614" s="18">
        <v>1</v>
      </c>
      <c r="D614" s="23" t="str">
        <f t="shared" ca="1" si="18"/>
        <v>—</v>
      </c>
      <c r="E614" s="24">
        <f t="shared" ca="1" si="19"/>
        <v>7</v>
      </c>
    </row>
    <row r="615" spans="1:5" x14ac:dyDescent="0.25">
      <c r="A615" s="17">
        <f ca="1">INDEX(Stations,INT((ROWS(A$2:A615)-1)/(DATE(YEAR(Invoer!$A$5),12,31)-DATE(YEAR(Invoer!$A$5),1,1)+1))+2,1)</f>
        <v>83</v>
      </c>
      <c r="B615" t="str">
        <f ca="1">TEXT(DATE(YEAR(Invoer!$A$5),1,1)+MOD(ROWS(B$2:B615)-1,DATE(YEAR(Invoer!$A$5),12,31)-DATE(YEAR(Invoer!$A$5),1,1)+1),"jjjjmmdd")</f>
        <v>19430906</v>
      </c>
      <c r="C615" s="18">
        <v>1</v>
      </c>
      <c r="D615" s="23" t="str">
        <f t="shared" ca="1" si="18"/>
        <v>—</v>
      </c>
      <c r="E615" s="24">
        <f t="shared" ca="1" si="19"/>
        <v>7</v>
      </c>
    </row>
    <row r="616" spans="1:5" x14ac:dyDescent="0.25">
      <c r="A616" s="17">
        <f ca="1">INDEX(Stations,INT((ROWS(A$2:A616)-1)/(DATE(YEAR(Invoer!$A$5),12,31)-DATE(YEAR(Invoer!$A$5),1,1)+1))+2,1)</f>
        <v>83</v>
      </c>
      <c r="B616" t="str">
        <f ca="1">TEXT(DATE(YEAR(Invoer!$A$5),1,1)+MOD(ROWS(B$2:B616)-1,DATE(YEAR(Invoer!$A$5),12,31)-DATE(YEAR(Invoer!$A$5),1,1)+1),"jjjjmmdd")</f>
        <v>19430907</v>
      </c>
      <c r="C616" s="18">
        <v>1</v>
      </c>
      <c r="D616" s="23" t="str">
        <f t="shared" ca="1" si="18"/>
        <v>—</v>
      </c>
      <c r="E616" s="24">
        <f t="shared" ca="1" si="19"/>
        <v>7</v>
      </c>
    </row>
    <row r="617" spans="1:5" x14ac:dyDescent="0.25">
      <c r="A617" s="17">
        <f ca="1">INDEX(Stations,INT((ROWS(A$2:A617)-1)/(DATE(YEAR(Invoer!$A$5),12,31)-DATE(YEAR(Invoer!$A$5),1,1)+1))+2,1)</f>
        <v>83</v>
      </c>
      <c r="B617" t="str">
        <f ca="1">TEXT(DATE(YEAR(Invoer!$A$5),1,1)+MOD(ROWS(B$2:B617)-1,DATE(YEAR(Invoer!$A$5),12,31)-DATE(YEAR(Invoer!$A$5),1,1)+1),"jjjjmmdd")</f>
        <v>19430908</v>
      </c>
      <c r="C617" s="18">
        <v>1</v>
      </c>
      <c r="D617" s="23" t="str">
        <f t="shared" ca="1" si="18"/>
        <v>—</v>
      </c>
      <c r="E617" s="24">
        <f t="shared" ca="1" si="19"/>
        <v>7</v>
      </c>
    </row>
    <row r="618" spans="1:5" x14ac:dyDescent="0.25">
      <c r="A618" s="17">
        <f ca="1">INDEX(Stations,INT((ROWS(A$2:A618)-1)/(DATE(YEAR(Invoer!$A$5),12,31)-DATE(YEAR(Invoer!$A$5),1,1)+1))+2,1)</f>
        <v>83</v>
      </c>
      <c r="B618" t="str">
        <f ca="1">TEXT(DATE(YEAR(Invoer!$A$5),1,1)+MOD(ROWS(B$2:B618)-1,DATE(YEAR(Invoer!$A$5),12,31)-DATE(YEAR(Invoer!$A$5),1,1)+1),"jjjjmmdd")</f>
        <v>19430909</v>
      </c>
      <c r="C618" s="18">
        <v>1</v>
      </c>
      <c r="D618" s="23" t="str">
        <f t="shared" ca="1" si="18"/>
        <v>—</v>
      </c>
      <c r="E618" s="24">
        <f t="shared" ca="1" si="19"/>
        <v>7</v>
      </c>
    </row>
    <row r="619" spans="1:5" x14ac:dyDescent="0.25">
      <c r="A619" s="17">
        <f ca="1">INDEX(Stations,INT((ROWS(A$2:A619)-1)/(DATE(YEAR(Invoer!$A$5),12,31)-DATE(YEAR(Invoer!$A$5),1,1)+1))+2,1)</f>
        <v>83</v>
      </c>
      <c r="B619" t="str">
        <f ca="1">TEXT(DATE(YEAR(Invoer!$A$5),1,1)+MOD(ROWS(B$2:B619)-1,DATE(YEAR(Invoer!$A$5),12,31)-DATE(YEAR(Invoer!$A$5),1,1)+1),"jjjjmmdd")</f>
        <v>19430910</v>
      </c>
      <c r="C619" s="18">
        <v>1</v>
      </c>
      <c r="D619" s="23" t="str">
        <f t="shared" ca="1" si="18"/>
        <v>—</v>
      </c>
      <c r="E619" s="24">
        <f t="shared" ca="1" si="19"/>
        <v>7</v>
      </c>
    </row>
    <row r="620" spans="1:5" x14ac:dyDescent="0.25">
      <c r="A620" s="17">
        <f ca="1">INDEX(Stations,INT((ROWS(A$2:A620)-1)/(DATE(YEAR(Invoer!$A$5),12,31)-DATE(YEAR(Invoer!$A$5),1,1)+1))+2,1)</f>
        <v>83</v>
      </c>
      <c r="B620" t="str">
        <f ca="1">TEXT(DATE(YEAR(Invoer!$A$5),1,1)+MOD(ROWS(B$2:B620)-1,DATE(YEAR(Invoer!$A$5),12,31)-DATE(YEAR(Invoer!$A$5),1,1)+1),"jjjjmmdd")</f>
        <v>19430911</v>
      </c>
      <c r="C620" s="18">
        <v>1</v>
      </c>
      <c r="D620" s="23" t="str">
        <f t="shared" ca="1" si="18"/>
        <v>—</v>
      </c>
      <c r="E620" s="24">
        <f t="shared" ca="1" si="19"/>
        <v>7</v>
      </c>
    </row>
    <row r="621" spans="1:5" x14ac:dyDescent="0.25">
      <c r="A621" s="17">
        <f ca="1">INDEX(Stations,INT((ROWS(A$2:A621)-1)/(DATE(YEAR(Invoer!$A$5),12,31)-DATE(YEAR(Invoer!$A$5),1,1)+1))+2,1)</f>
        <v>83</v>
      </c>
      <c r="B621" t="str">
        <f ca="1">TEXT(DATE(YEAR(Invoer!$A$5),1,1)+MOD(ROWS(B$2:B621)-1,DATE(YEAR(Invoer!$A$5),12,31)-DATE(YEAR(Invoer!$A$5),1,1)+1),"jjjjmmdd")</f>
        <v>19430912</v>
      </c>
      <c r="C621" s="18">
        <v>1</v>
      </c>
      <c r="D621" s="23" t="str">
        <f t="shared" ca="1" si="18"/>
        <v>—</v>
      </c>
      <c r="E621" s="24">
        <f t="shared" ca="1" si="19"/>
        <v>7</v>
      </c>
    </row>
    <row r="622" spans="1:5" x14ac:dyDescent="0.25">
      <c r="A622" s="17">
        <f ca="1">INDEX(Stations,INT((ROWS(A$2:A622)-1)/(DATE(YEAR(Invoer!$A$5),12,31)-DATE(YEAR(Invoer!$A$5),1,1)+1))+2,1)</f>
        <v>83</v>
      </c>
      <c r="B622" t="str">
        <f ca="1">TEXT(DATE(YEAR(Invoer!$A$5),1,1)+MOD(ROWS(B$2:B622)-1,DATE(YEAR(Invoer!$A$5),12,31)-DATE(YEAR(Invoer!$A$5),1,1)+1),"jjjjmmdd")</f>
        <v>19430913</v>
      </c>
      <c r="C622" s="18">
        <v>1</v>
      </c>
      <c r="D622" s="23" t="str">
        <f t="shared" ca="1" si="18"/>
        <v>—</v>
      </c>
      <c r="E622" s="24">
        <f t="shared" ca="1" si="19"/>
        <v>7</v>
      </c>
    </row>
    <row r="623" spans="1:5" x14ac:dyDescent="0.25">
      <c r="A623" s="17">
        <f ca="1">INDEX(Stations,INT((ROWS(A$2:A623)-1)/(DATE(YEAR(Invoer!$A$5),12,31)-DATE(YEAR(Invoer!$A$5),1,1)+1))+2,1)</f>
        <v>83</v>
      </c>
      <c r="B623" t="str">
        <f ca="1">TEXT(DATE(YEAR(Invoer!$A$5),1,1)+MOD(ROWS(B$2:B623)-1,DATE(YEAR(Invoer!$A$5),12,31)-DATE(YEAR(Invoer!$A$5),1,1)+1),"jjjjmmdd")</f>
        <v>19430914</v>
      </c>
      <c r="C623" s="18">
        <v>1</v>
      </c>
      <c r="D623" s="23" t="str">
        <f t="shared" ca="1" si="18"/>
        <v>—</v>
      </c>
      <c r="E623" s="24">
        <f t="shared" ca="1" si="19"/>
        <v>7</v>
      </c>
    </row>
    <row r="624" spans="1:5" x14ac:dyDescent="0.25">
      <c r="A624" s="17">
        <f ca="1">INDEX(Stations,INT((ROWS(A$2:A624)-1)/(DATE(YEAR(Invoer!$A$5),12,31)-DATE(YEAR(Invoer!$A$5),1,1)+1))+2,1)</f>
        <v>83</v>
      </c>
      <c r="B624" t="str">
        <f ca="1">TEXT(DATE(YEAR(Invoer!$A$5),1,1)+MOD(ROWS(B$2:B624)-1,DATE(YEAR(Invoer!$A$5),12,31)-DATE(YEAR(Invoer!$A$5),1,1)+1),"jjjjmmdd")</f>
        <v>19430915</v>
      </c>
      <c r="C624" s="18">
        <v>1</v>
      </c>
      <c r="D624" s="23" t="str">
        <f t="shared" ca="1" si="18"/>
        <v>—</v>
      </c>
      <c r="E624" s="24">
        <f t="shared" ca="1" si="19"/>
        <v>7</v>
      </c>
    </row>
    <row r="625" spans="1:5" x14ac:dyDescent="0.25">
      <c r="A625" s="17">
        <f ca="1">INDEX(Stations,INT((ROWS(A$2:A625)-1)/(DATE(YEAR(Invoer!$A$5),12,31)-DATE(YEAR(Invoer!$A$5),1,1)+1))+2,1)</f>
        <v>83</v>
      </c>
      <c r="B625" t="str">
        <f ca="1">TEXT(DATE(YEAR(Invoer!$A$5),1,1)+MOD(ROWS(B$2:B625)-1,DATE(YEAR(Invoer!$A$5),12,31)-DATE(YEAR(Invoer!$A$5),1,1)+1),"jjjjmmdd")</f>
        <v>19430916</v>
      </c>
      <c r="C625" s="18">
        <v>1</v>
      </c>
      <c r="D625" s="23" t="str">
        <f t="shared" ca="1" si="18"/>
        <v>—</v>
      </c>
      <c r="E625" s="24">
        <f t="shared" ca="1" si="19"/>
        <v>7</v>
      </c>
    </row>
    <row r="626" spans="1:5" x14ac:dyDescent="0.25">
      <c r="A626" s="17">
        <f ca="1">INDEX(Stations,INT((ROWS(A$2:A626)-1)/(DATE(YEAR(Invoer!$A$5),12,31)-DATE(YEAR(Invoer!$A$5),1,1)+1))+2,1)</f>
        <v>83</v>
      </c>
      <c r="B626" t="str">
        <f ca="1">TEXT(DATE(YEAR(Invoer!$A$5),1,1)+MOD(ROWS(B$2:B626)-1,DATE(YEAR(Invoer!$A$5),12,31)-DATE(YEAR(Invoer!$A$5),1,1)+1),"jjjjmmdd")</f>
        <v>19430917</v>
      </c>
      <c r="C626" s="18">
        <v>1</v>
      </c>
      <c r="D626" s="23" t="str">
        <f t="shared" ca="1" si="18"/>
        <v>—</v>
      </c>
      <c r="E626" s="24">
        <f t="shared" ca="1" si="19"/>
        <v>7</v>
      </c>
    </row>
    <row r="627" spans="1:5" x14ac:dyDescent="0.25">
      <c r="A627" s="17">
        <f ca="1">INDEX(Stations,INT((ROWS(A$2:A627)-1)/(DATE(YEAR(Invoer!$A$5),12,31)-DATE(YEAR(Invoer!$A$5),1,1)+1))+2,1)</f>
        <v>83</v>
      </c>
      <c r="B627" t="str">
        <f ca="1">TEXT(DATE(YEAR(Invoer!$A$5),1,1)+MOD(ROWS(B$2:B627)-1,DATE(YEAR(Invoer!$A$5),12,31)-DATE(YEAR(Invoer!$A$5),1,1)+1),"jjjjmmdd")</f>
        <v>19430918</v>
      </c>
      <c r="C627" s="18">
        <v>1</v>
      </c>
      <c r="D627" s="23" t="str">
        <f t="shared" ca="1" si="18"/>
        <v>—</v>
      </c>
      <c r="E627" s="24">
        <f t="shared" ca="1" si="19"/>
        <v>7</v>
      </c>
    </row>
    <row r="628" spans="1:5" x14ac:dyDescent="0.25">
      <c r="A628" s="17">
        <f ca="1">INDEX(Stations,INT((ROWS(A$2:A628)-1)/(DATE(YEAR(Invoer!$A$5),12,31)-DATE(YEAR(Invoer!$A$5),1,1)+1))+2,1)</f>
        <v>83</v>
      </c>
      <c r="B628" t="str">
        <f ca="1">TEXT(DATE(YEAR(Invoer!$A$5),1,1)+MOD(ROWS(B$2:B628)-1,DATE(YEAR(Invoer!$A$5),12,31)-DATE(YEAR(Invoer!$A$5),1,1)+1),"jjjjmmdd")</f>
        <v>19430919</v>
      </c>
      <c r="C628" s="18">
        <v>1</v>
      </c>
      <c r="D628" s="23" t="str">
        <f t="shared" ca="1" si="18"/>
        <v>—</v>
      </c>
      <c r="E628" s="24">
        <f t="shared" ca="1" si="19"/>
        <v>7</v>
      </c>
    </row>
    <row r="629" spans="1:5" x14ac:dyDescent="0.25">
      <c r="A629" s="17">
        <f ca="1">INDEX(Stations,INT((ROWS(A$2:A629)-1)/(DATE(YEAR(Invoer!$A$5),12,31)-DATE(YEAR(Invoer!$A$5),1,1)+1))+2,1)</f>
        <v>83</v>
      </c>
      <c r="B629" t="str">
        <f ca="1">TEXT(DATE(YEAR(Invoer!$A$5),1,1)+MOD(ROWS(B$2:B629)-1,DATE(YEAR(Invoer!$A$5),12,31)-DATE(YEAR(Invoer!$A$5),1,1)+1),"jjjjmmdd")</f>
        <v>19430920</v>
      </c>
      <c r="C629" s="18">
        <v>1</v>
      </c>
      <c r="D629" s="23" t="str">
        <f t="shared" ca="1" si="18"/>
        <v>—</v>
      </c>
      <c r="E629" s="24">
        <f t="shared" ca="1" si="19"/>
        <v>7</v>
      </c>
    </row>
    <row r="630" spans="1:5" x14ac:dyDescent="0.25">
      <c r="A630" s="17">
        <f ca="1">INDEX(Stations,INT((ROWS(A$2:A630)-1)/(DATE(YEAR(Invoer!$A$5),12,31)-DATE(YEAR(Invoer!$A$5),1,1)+1))+2,1)</f>
        <v>83</v>
      </c>
      <c r="B630" t="str">
        <f ca="1">TEXT(DATE(YEAR(Invoer!$A$5),1,1)+MOD(ROWS(B$2:B630)-1,DATE(YEAR(Invoer!$A$5),12,31)-DATE(YEAR(Invoer!$A$5),1,1)+1),"jjjjmmdd")</f>
        <v>19430921</v>
      </c>
      <c r="C630" s="18">
        <v>1</v>
      </c>
      <c r="D630" s="23" t="str">
        <f t="shared" ca="1" si="18"/>
        <v>—</v>
      </c>
      <c r="E630" s="24">
        <f t="shared" ca="1" si="19"/>
        <v>7</v>
      </c>
    </row>
    <row r="631" spans="1:5" x14ac:dyDescent="0.25">
      <c r="A631" s="17">
        <f ca="1">INDEX(Stations,INT((ROWS(A$2:A631)-1)/(DATE(YEAR(Invoer!$A$5),12,31)-DATE(YEAR(Invoer!$A$5),1,1)+1))+2,1)</f>
        <v>83</v>
      </c>
      <c r="B631" t="str">
        <f ca="1">TEXT(DATE(YEAR(Invoer!$A$5),1,1)+MOD(ROWS(B$2:B631)-1,DATE(YEAR(Invoer!$A$5),12,31)-DATE(YEAR(Invoer!$A$5),1,1)+1),"jjjjmmdd")</f>
        <v>19430922</v>
      </c>
      <c r="C631" s="18">
        <v>1</v>
      </c>
      <c r="D631" s="23" t="str">
        <f t="shared" ca="1" si="18"/>
        <v>—</v>
      </c>
      <c r="E631" s="24">
        <f t="shared" ca="1" si="19"/>
        <v>7</v>
      </c>
    </row>
    <row r="632" spans="1:5" x14ac:dyDescent="0.25">
      <c r="A632" s="17">
        <f ca="1">INDEX(Stations,INT((ROWS(A$2:A632)-1)/(DATE(YEAR(Invoer!$A$5),12,31)-DATE(YEAR(Invoer!$A$5),1,1)+1))+2,1)</f>
        <v>83</v>
      </c>
      <c r="B632" t="str">
        <f ca="1">TEXT(DATE(YEAR(Invoer!$A$5),1,1)+MOD(ROWS(B$2:B632)-1,DATE(YEAR(Invoer!$A$5),12,31)-DATE(YEAR(Invoer!$A$5),1,1)+1),"jjjjmmdd")</f>
        <v>19430923</v>
      </c>
      <c r="C632" s="18">
        <v>1</v>
      </c>
      <c r="D632" s="23" t="str">
        <f t="shared" ca="1" si="18"/>
        <v>—</v>
      </c>
      <c r="E632" s="24">
        <f t="shared" ca="1" si="19"/>
        <v>7</v>
      </c>
    </row>
    <row r="633" spans="1:5" x14ac:dyDescent="0.25">
      <c r="A633" s="17">
        <f ca="1">INDEX(Stations,INT((ROWS(A$2:A633)-1)/(DATE(YEAR(Invoer!$A$5),12,31)-DATE(YEAR(Invoer!$A$5),1,1)+1))+2,1)</f>
        <v>83</v>
      </c>
      <c r="B633" t="str">
        <f ca="1">TEXT(DATE(YEAR(Invoer!$A$5),1,1)+MOD(ROWS(B$2:B633)-1,DATE(YEAR(Invoer!$A$5),12,31)-DATE(YEAR(Invoer!$A$5),1,1)+1),"jjjjmmdd")</f>
        <v>19430924</v>
      </c>
      <c r="C633" s="18">
        <v>1</v>
      </c>
      <c r="D633" s="23" t="str">
        <f t="shared" ca="1" si="18"/>
        <v>—</v>
      </c>
      <c r="E633" s="24">
        <f t="shared" ca="1" si="19"/>
        <v>7</v>
      </c>
    </row>
    <row r="634" spans="1:5" x14ac:dyDescent="0.25">
      <c r="A634" s="17">
        <f ca="1">INDEX(Stations,INT((ROWS(A$2:A634)-1)/(DATE(YEAR(Invoer!$A$5),12,31)-DATE(YEAR(Invoer!$A$5),1,1)+1))+2,1)</f>
        <v>83</v>
      </c>
      <c r="B634" t="str">
        <f ca="1">TEXT(DATE(YEAR(Invoer!$A$5),1,1)+MOD(ROWS(B$2:B634)-1,DATE(YEAR(Invoer!$A$5),12,31)-DATE(YEAR(Invoer!$A$5),1,1)+1),"jjjjmmdd")</f>
        <v>19430925</v>
      </c>
      <c r="C634" s="18">
        <v>1</v>
      </c>
      <c r="D634" s="23" t="str">
        <f t="shared" ca="1" si="18"/>
        <v>—</v>
      </c>
      <c r="E634" s="24">
        <f t="shared" ca="1" si="19"/>
        <v>7</v>
      </c>
    </row>
    <row r="635" spans="1:5" x14ac:dyDescent="0.25">
      <c r="A635" s="17">
        <f ca="1">INDEX(Stations,INT((ROWS(A$2:A635)-1)/(DATE(YEAR(Invoer!$A$5),12,31)-DATE(YEAR(Invoer!$A$5),1,1)+1))+2,1)</f>
        <v>83</v>
      </c>
      <c r="B635" t="str">
        <f ca="1">TEXT(DATE(YEAR(Invoer!$A$5),1,1)+MOD(ROWS(B$2:B635)-1,DATE(YEAR(Invoer!$A$5),12,31)-DATE(YEAR(Invoer!$A$5),1,1)+1),"jjjjmmdd")</f>
        <v>19430926</v>
      </c>
      <c r="C635" s="18">
        <v>1</v>
      </c>
      <c r="D635" s="23" t="str">
        <f t="shared" ca="1" si="18"/>
        <v>—</v>
      </c>
      <c r="E635" s="24">
        <f t="shared" ca="1" si="19"/>
        <v>7</v>
      </c>
    </row>
    <row r="636" spans="1:5" x14ac:dyDescent="0.25">
      <c r="A636" s="17">
        <f ca="1">INDEX(Stations,INT((ROWS(A$2:A636)-1)/(DATE(YEAR(Invoer!$A$5),12,31)-DATE(YEAR(Invoer!$A$5),1,1)+1))+2,1)</f>
        <v>83</v>
      </c>
      <c r="B636" t="str">
        <f ca="1">TEXT(DATE(YEAR(Invoer!$A$5),1,1)+MOD(ROWS(B$2:B636)-1,DATE(YEAR(Invoer!$A$5),12,31)-DATE(YEAR(Invoer!$A$5),1,1)+1),"jjjjmmdd")</f>
        <v>19430927</v>
      </c>
      <c r="C636" s="18">
        <v>1</v>
      </c>
      <c r="D636" s="23" t="str">
        <f t="shared" ca="1" si="18"/>
        <v>—</v>
      </c>
      <c r="E636" s="24">
        <f t="shared" ca="1" si="19"/>
        <v>7</v>
      </c>
    </row>
    <row r="637" spans="1:5" x14ac:dyDescent="0.25">
      <c r="A637" s="17">
        <f ca="1">INDEX(Stations,INT((ROWS(A$2:A637)-1)/(DATE(YEAR(Invoer!$A$5),12,31)-DATE(YEAR(Invoer!$A$5),1,1)+1))+2,1)</f>
        <v>83</v>
      </c>
      <c r="B637" t="str">
        <f ca="1">TEXT(DATE(YEAR(Invoer!$A$5),1,1)+MOD(ROWS(B$2:B637)-1,DATE(YEAR(Invoer!$A$5),12,31)-DATE(YEAR(Invoer!$A$5),1,1)+1),"jjjjmmdd")</f>
        <v>19430928</v>
      </c>
      <c r="C637" s="18">
        <v>1</v>
      </c>
      <c r="D637" s="23" t="str">
        <f t="shared" ca="1" si="18"/>
        <v>—</v>
      </c>
      <c r="E637" s="24">
        <f t="shared" ca="1" si="19"/>
        <v>7</v>
      </c>
    </row>
    <row r="638" spans="1:5" x14ac:dyDescent="0.25">
      <c r="A638" s="17">
        <f ca="1">INDEX(Stations,INT((ROWS(A$2:A638)-1)/(DATE(YEAR(Invoer!$A$5),12,31)-DATE(YEAR(Invoer!$A$5),1,1)+1))+2,1)</f>
        <v>83</v>
      </c>
      <c r="B638" t="str">
        <f ca="1">TEXT(DATE(YEAR(Invoer!$A$5),1,1)+MOD(ROWS(B$2:B638)-1,DATE(YEAR(Invoer!$A$5),12,31)-DATE(YEAR(Invoer!$A$5),1,1)+1),"jjjjmmdd")</f>
        <v>19430929</v>
      </c>
      <c r="C638" s="18">
        <v>1</v>
      </c>
      <c r="D638" s="23" t="str">
        <f t="shared" ca="1" si="18"/>
        <v>—</v>
      </c>
      <c r="E638" s="24">
        <f t="shared" ca="1" si="19"/>
        <v>7</v>
      </c>
    </row>
    <row r="639" spans="1:5" x14ac:dyDescent="0.25">
      <c r="A639" s="17">
        <f ca="1">INDEX(Stations,INT((ROWS(A$2:A639)-1)/(DATE(YEAR(Invoer!$A$5),12,31)-DATE(YEAR(Invoer!$A$5),1,1)+1))+2,1)</f>
        <v>83</v>
      </c>
      <c r="B639" t="str">
        <f ca="1">TEXT(DATE(YEAR(Invoer!$A$5),1,1)+MOD(ROWS(B$2:B639)-1,DATE(YEAR(Invoer!$A$5),12,31)-DATE(YEAR(Invoer!$A$5),1,1)+1),"jjjjmmdd")</f>
        <v>19430930</v>
      </c>
      <c r="C639" s="18">
        <v>1</v>
      </c>
      <c r="D639" s="23" t="str">
        <f t="shared" ca="1" si="18"/>
        <v>—</v>
      </c>
      <c r="E639" s="24">
        <f t="shared" ca="1" si="19"/>
        <v>7</v>
      </c>
    </row>
    <row r="640" spans="1:5" x14ac:dyDescent="0.25">
      <c r="A640" s="17">
        <f ca="1">INDEX(Stations,INT((ROWS(A$2:A640)-1)/(DATE(YEAR(Invoer!$A$5),12,31)-DATE(YEAR(Invoer!$A$5),1,1)+1))+2,1)</f>
        <v>83</v>
      </c>
      <c r="B640" t="str">
        <f ca="1">TEXT(DATE(YEAR(Invoer!$A$5),1,1)+MOD(ROWS(B$2:B640)-1,DATE(YEAR(Invoer!$A$5),12,31)-DATE(YEAR(Invoer!$A$5),1,1)+1),"jjjjmmdd")</f>
        <v>19431001</v>
      </c>
      <c r="C640" s="18">
        <v>1</v>
      </c>
      <c r="D640" s="23" t="str">
        <f t="shared" ca="1" si="18"/>
        <v>—</v>
      </c>
      <c r="E640" s="24">
        <f t="shared" ca="1" si="19"/>
        <v>7</v>
      </c>
    </row>
    <row r="641" spans="1:5" x14ac:dyDescent="0.25">
      <c r="A641" s="17">
        <f ca="1">INDEX(Stations,INT((ROWS(A$2:A641)-1)/(DATE(YEAR(Invoer!$A$5),12,31)-DATE(YEAR(Invoer!$A$5),1,1)+1))+2,1)</f>
        <v>83</v>
      </c>
      <c r="B641" t="str">
        <f ca="1">TEXT(DATE(YEAR(Invoer!$A$5),1,1)+MOD(ROWS(B$2:B641)-1,DATE(YEAR(Invoer!$A$5),12,31)-DATE(YEAR(Invoer!$A$5),1,1)+1),"jjjjmmdd")</f>
        <v>19431002</v>
      </c>
      <c r="C641" s="18">
        <v>1</v>
      </c>
      <c r="D641" s="23" t="str">
        <f t="shared" ca="1" si="18"/>
        <v>—</v>
      </c>
      <c r="E641" s="24">
        <f t="shared" ca="1" si="19"/>
        <v>7</v>
      </c>
    </row>
    <row r="642" spans="1:5" x14ac:dyDescent="0.25">
      <c r="A642" s="17">
        <f ca="1">INDEX(Stations,INT((ROWS(A$2:A642)-1)/(DATE(YEAR(Invoer!$A$5),12,31)-DATE(YEAR(Invoer!$A$5),1,1)+1))+2,1)</f>
        <v>83</v>
      </c>
      <c r="B642" t="str">
        <f ca="1">TEXT(DATE(YEAR(Invoer!$A$5),1,1)+MOD(ROWS(B$2:B642)-1,DATE(YEAR(Invoer!$A$5),12,31)-DATE(YEAR(Invoer!$A$5),1,1)+1),"jjjjmmdd")</f>
        <v>19431003</v>
      </c>
      <c r="C642" s="18">
        <v>1</v>
      </c>
      <c r="D642" s="23" t="str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—</v>
      </c>
      <c r="E642" s="24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7</v>
      </c>
    </row>
    <row r="643" spans="1:5" x14ac:dyDescent="0.25">
      <c r="A643" s="17">
        <f ca="1">INDEX(Stations,INT((ROWS(A$2:A643)-1)/(DATE(YEAR(Invoer!$A$5),12,31)-DATE(YEAR(Invoer!$A$5),1,1)+1))+2,1)</f>
        <v>83</v>
      </c>
      <c r="B643" t="str">
        <f ca="1">TEXT(DATE(YEAR(Invoer!$A$5),1,1)+MOD(ROWS(B$2:B643)-1,DATE(YEAR(Invoer!$A$5),12,31)-DATE(YEAR(Invoer!$A$5),1,1)+1),"jjjjmmdd")</f>
        <v>19431004</v>
      </c>
      <c r="C643" s="18">
        <v>1</v>
      </c>
      <c r="D643" s="23" t="str">
        <f t="shared" ca="1" si="20"/>
        <v>—</v>
      </c>
      <c r="E643" s="24">
        <f t="shared" ca="1" si="21"/>
        <v>7</v>
      </c>
    </row>
    <row r="644" spans="1:5" x14ac:dyDescent="0.25">
      <c r="A644" s="17">
        <f ca="1">INDEX(Stations,INT((ROWS(A$2:A644)-1)/(DATE(YEAR(Invoer!$A$5),12,31)-DATE(YEAR(Invoer!$A$5),1,1)+1))+2,1)</f>
        <v>83</v>
      </c>
      <c r="B644" t="str">
        <f ca="1">TEXT(DATE(YEAR(Invoer!$A$5),1,1)+MOD(ROWS(B$2:B644)-1,DATE(YEAR(Invoer!$A$5),12,31)-DATE(YEAR(Invoer!$A$5),1,1)+1),"jjjjmmdd")</f>
        <v>19431005</v>
      </c>
      <c r="C644" s="18">
        <v>1</v>
      </c>
      <c r="D644" s="23" t="str">
        <f t="shared" ca="1" si="20"/>
        <v>—</v>
      </c>
      <c r="E644" s="24">
        <f t="shared" ca="1" si="21"/>
        <v>7</v>
      </c>
    </row>
    <row r="645" spans="1:5" x14ac:dyDescent="0.25">
      <c r="A645" s="17">
        <f ca="1">INDEX(Stations,INT((ROWS(A$2:A645)-1)/(DATE(YEAR(Invoer!$A$5),12,31)-DATE(YEAR(Invoer!$A$5),1,1)+1))+2,1)</f>
        <v>83</v>
      </c>
      <c r="B645" t="str">
        <f ca="1">TEXT(DATE(YEAR(Invoer!$A$5),1,1)+MOD(ROWS(B$2:B645)-1,DATE(YEAR(Invoer!$A$5),12,31)-DATE(YEAR(Invoer!$A$5),1,1)+1),"jjjjmmdd")</f>
        <v>19431006</v>
      </c>
      <c r="C645" s="18">
        <v>1</v>
      </c>
      <c r="D645" s="23" t="str">
        <f t="shared" ca="1" si="20"/>
        <v>—</v>
      </c>
      <c r="E645" s="24">
        <f t="shared" ca="1" si="21"/>
        <v>7</v>
      </c>
    </row>
    <row r="646" spans="1:5" x14ac:dyDescent="0.25">
      <c r="A646" s="17">
        <f ca="1">INDEX(Stations,INT((ROWS(A$2:A646)-1)/(DATE(YEAR(Invoer!$A$5),12,31)-DATE(YEAR(Invoer!$A$5),1,1)+1))+2,1)</f>
        <v>83</v>
      </c>
      <c r="B646" t="str">
        <f ca="1">TEXT(DATE(YEAR(Invoer!$A$5),1,1)+MOD(ROWS(B$2:B646)-1,DATE(YEAR(Invoer!$A$5),12,31)-DATE(YEAR(Invoer!$A$5),1,1)+1),"jjjjmmdd")</f>
        <v>19431007</v>
      </c>
      <c r="C646" s="18">
        <v>1</v>
      </c>
      <c r="D646" s="23" t="str">
        <f t="shared" ca="1" si="20"/>
        <v>—</v>
      </c>
      <c r="E646" s="24">
        <f t="shared" ca="1" si="21"/>
        <v>7</v>
      </c>
    </row>
    <row r="647" spans="1:5" x14ac:dyDescent="0.25">
      <c r="A647" s="17">
        <f ca="1">INDEX(Stations,INT((ROWS(A$2:A647)-1)/(DATE(YEAR(Invoer!$A$5),12,31)-DATE(YEAR(Invoer!$A$5),1,1)+1))+2,1)</f>
        <v>83</v>
      </c>
      <c r="B647" t="str">
        <f ca="1">TEXT(DATE(YEAR(Invoer!$A$5),1,1)+MOD(ROWS(B$2:B647)-1,DATE(YEAR(Invoer!$A$5),12,31)-DATE(YEAR(Invoer!$A$5),1,1)+1),"jjjjmmdd")</f>
        <v>19431008</v>
      </c>
      <c r="C647" s="18">
        <v>1</v>
      </c>
      <c r="D647" s="23" t="str">
        <f t="shared" ca="1" si="20"/>
        <v>—</v>
      </c>
      <c r="E647" s="24">
        <f t="shared" ca="1" si="21"/>
        <v>7</v>
      </c>
    </row>
    <row r="648" spans="1:5" x14ac:dyDescent="0.25">
      <c r="A648" s="17">
        <f ca="1">INDEX(Stations,INT((ROWS(A$2:A648)-1)/(DATE(YEAR(Invoer!$A$5),12,31)-DATE(YEAR(Invoer!$A$5),1,1)+1))+2,1)</f>
        <v>83</v>
      </c>
      <c r="B648" t="str">
        <f ca="1">TEXT(DATE(YEAR(Invoer!$A$5),1,1)+MOD(ROWS(B$2:B648)-1,DATE(YEAR(Invoer!$A$5),12,31)-DATE(YEAR(Invoer!$A$5),1,1)+1),"jjjjmmdd")</f>
        <v>19431009</v>
      </c>
      <c r="C648" s="18">
        <v>1</v>
      </c>
      <c r="D648" s="23" t="str">
        <f t="shared" ca="1" si="20"/>
        <v>—</v>
      </c>
      <c r="E648" s="24">
        <f t="shared" ca="1" si="21"/>
        <v>7</v>
      </c>
    </row>
    <row r="649" spans="1:5" x14ac:dyDescent="0.25">
      <c r="A649" s="17">
        <f ca="1">INDEX(Stations,INT((ROWS(A$2:A649)-1)/(DATE(YEAR(Invoer!$A$5),12,31)-DATE(YEAR(Invoer!$A$5),1,1)+1))+2,1)</f>
        <v>83</v>
      </c>
      <c r="B649" t="str">
        <f ca="1">TEXT(DATE(YEAR(Invoer!$A$5),1,1)+MOD(ROWS(B$2:B649)-1,DATE(YEAR(Invoer!$A$5),12,31)-DATE(YEAR(Invoer!$A$5),1,1)+1),"jjjjmmdd")</f>
        <v>19431010</v>
      </c>
      <c r="C649" s="18">
        <v>1</v>
      </c>
      <c r="D649" s="23" t="str">
        <f t="shared" ca="1" si="20"/>
        <v>—</v>
      </c>
      <c r="E649" s="24">
        <f t="shared" ca="1" si="21"/>
        <v>7</v>
      </c>
    </row>
    <row r="650" spans="1:5" x14ac:dyDescent="0.25">
      <c r="A650" s="17">
        <f ca="1">INDEX(Stations,INT((ROWS(A$2:A650)-1)/(DATE(YEAR(Invoer!$A$5),12,31)-DATE(YEAR(Invoer!$A$5),1,1)+1))+2,1)</f>
        <v>83</v>
      </c>
      <c r="B650" t="str">
        <f ca="1">TEXT(DATE(YEAR(Invoer!$A$5),1,1)+MOD(ROWS(B$2:B650)-1,DATE(YEAR(Invoer!$A$5),12,31)-DATE(YEAR(Invoer!$A$5),1,1)+1),"jjjjmmdd")</f>
        <v>19431011</v>
      </c>
      <c r="C650" s="18">
        <v>1</v>
      </c>
      <c r="D650" s="23" t="str">
        <f t="shared" ca="1" si="20"/>
        <v>—</v>
      </c>
      <c r="E650" s="24">
        <f t="shared" ca="1" si="21"/>
        <v>7</v>
      </c>
    </row>
    <row r="651" spans="1:5" x14ac:dyDescent="0.25">
      <c r="A651" s="17">
        <f ca="1">INDEX(Stations,INT((ROWS(A$2:A651)-1)/(DATE(YEAR(Invoer!$A$5),12,31)-DATE(YEAR(Invoer!$A$5),1,1)+1))+2,1)</f>
        <v>83</v>
      </c>
      <c r="B651" t="str">
        <f ca="1">TEXT(DATE(YEAR(Invoer!$A$5),1,1)+MOD(ROWS(B$2:B651)-1,DATE(YEAR(Invoer!$A$5),12,31)-DATE(YEAR(Invoer!$A$5),1,1)+1),"jjjjmmdd")</f>
        <v>19431012</v>
      </c>
      <c r="C651" s="18">
        <v>1</v>
      </c>
      <c r="D651" s="23" t="str">
        <f t="shared" ca="1" si="20"/>
        <v>—</v>
      </c>
      <c r="E651" s="24">
        <f t="shared" ca="1" si="21"/>
        <v>7</v>
      </c>
    </row>
    <row r="652" spans="1:5" x14ac:dyDescent="0.25">
      <c r="A652" s="17">
        <f ca="1">INDEX(Stations,INT((ROWS(A$2:A652)-1)/(DATE(YEAR(Invoer!$A$5),12,31)-DATE(YEAR(Invoer!$A$5),1,1)+1))+2,1)</f>
        <v>83</v>
      </c>
      <c r="B652" t="str">
        <f ca="1">TEXT(DATE(YEAR(Invoer!$A$5),1,1)+MOD(ROWS(B$2:B652)-1,DATE(YEAR(Invoer!$A$5),12,31)-DATE(YEAR(Invoer!$A$5),1,1)+1),"jjjjmmdd")</f>
        <v>19431013</v>
      </c>
      <c r="C652" s="18">
        <v>1</v>
      </c>
      <c r="D652" s="23" t="str">
        <f t="shared" ca="1" si="20"/>
        <v>—</v>
      </c>
      <c r="E652" s="24">
        <f t="shared" ca="1" si="21"/>
        <v>7</v>
      </c>
    </row>
    <row r="653" spans="1:5" x14ac:dyDescent="0.25">
      <c r="A653" s="17">
        <f ca="1">INDEX(Stations,INT((ROWS(A$2:A653)-1)/(DATE(YEAR(Invoer!$A$5),12,31)-DATE(YEAR(Invoer!$A$5),1,1)+1))+2,1)</f>
        <v>83</v>
      </c>
      <c r="B653" t="str">
        <f ca="1">TEXT(DATE(YEAR(Invoer!$A$5),1,1)+MOD(ROWS(B$2:B653)-1,DATE(YEAR(Invoer!$A$5),12,31)-DATE(YEAR(Invoer!$A$5),1,1)+1),"jjjjmmdd")</f>
        <v>19431014</v>
      </c>
      <c r="C653" s="18">
        <v>1</v>
      </c>
      <c r="D653" s="23" t="str">
        <f t="shared" ca="1" si="20"/>
        <v>—</v>
      </c>
      <c r="E653" s="24">
        <f t="shared" ca="1" si="21"/>
        <v>7</v>
      </c>
    </row>
    <row r="654" spans="1:5" x14ac:dyDescent="0.25">
      <c r="A654" s="17">
        <f ca="1">INDEX(Stations,INT((ROWS(A$2:A654)-1)/(DATE(YEAR(Invoer!$A$5),12,31)-DATE(YEAR(Invoer!$A$5),1,1)+1))+2,1)</f>
        <v>83</v>
      </c>
      <c r="B654" t="str">
        <f ca="1">TEXT(DATE(YEAR(Invoer!$A$5),1,1)+MOD(ROWS(B$2:B654)-1,DATE(YEAR(Invoer!$A$5),12,31)-DATE(YEAR(Invoer!$A$5),1,1)+1),"jjjjmmdd")</f>
        <v>19431015</v>
      </c>
      <c r="C654" s="18">
        <v>1</v>
      </c>
      <c r="D654" s="23" t="str">
        <f t="shared" ca="1" si="20"/>
        <v>—</v>
      </c>
      <c r="E654" s="24">
        <f t="shared" ca="1" si="21"/>
        <v>7</v>
      </c>
    </row>
    <row r="655" spans="1:5" x14ac:dyDescent="0.25">
      <c r="A655" s="17">
        <f ca="1">INDEX(Stations,INT((ROWS(A$2:A655)-1)/(DATE(YEAR(Invoer!$A$5),12,31)-DATE(YEAR(Invoer!$A$5),1,1)+1))+2,1)</f>
        <v>83</v>
      </c>
      <c r="B655" t="str">
        <f ca="1">TEXT(DATE(YEAR(Invoer!$A$5),1,1)+MOD(ROWS(B$2:B655)-1,DATE(YEAR(Invoer!$A$5),12,31)-DATE(YEAR(Invoer!$A$5),1,1)+1),"jjjjmmdd")</f>
        <v>19431016</v>
      </c>
      <c r="C655" s="18">
        <v>1</v>
      </c>
      <c r="D655" s="23" t="str">
        <f t="shared" ca="1" si="20"/>
        <v>—</v>
      </c>
      <c r="E655" s="24">
        <f t="shared" ca="1" si="21"/>
        <v>7</v>
      </c>
    </row>
    <row r="656" spans="1:5" x14ac:dyDescent="0.25">
      <c r="A656" s="17">
        <f ca="1">INDEX(Stations,INT((ROWS(A$2:A656)-1)/(DATE(YEAR(Invoer!$A$5),12,31)-DATE(YEAR(Invoer!$A$5),1,1)+1))+2,1)</f>
        <v>83</v>
      </c>
      <c r="B656" t="str">
        <f ca="1">TEXT(DATE(YEAR(Invoer!$A$5),1,1)+MOD(ROWS(B$2:B656)-1,DATE(YEAR(Invoer!$A$5),12,31)-DATE(YEAR(Invoer!$A$5),1,1)+1),"jjjjmmdd")</f>
        <v>19431017</v>
      </c>
      <c r="C656" s="18">
        <v>1</v>
      </c>
      <c r="D656" s="23" t="str">
        <f t="shared" ca="1" si="20"/>
        <v>—</v>
      </c>
      <c r="E656" s="24">
        <f t="shared" ca="1" si="21"/>
        <v>7</v>
      </c>
    </row>
    <row r="657" spans="1:5" x14ac:dyDescent="0.25">
      <c r="A657" s="17">
        <f ca="1">INDEX(Stations,INT((ROWS(A$2:A657)-1)/(DATE(YEAR(Invoer!$A$5),12,31)-DATE(YEAR(Invoer!$A$5),1,1)+1))+2,1)</f>
        <v>83</v>
      </c>
      <c r="B657" t="str">
        <f ca="1">TEXT(DATE(YEAR(Invoer!$A$5),1,1)+MOD(ROWS(B$2:B657)-1,DATE(YEAR(Invoer!$A$5),12,31)-DATE(YEAR(Invoer!$A$5),1,1)+1),"jjjjmmdd")</f>
        <v>19431018</v>
      </c>
      <c r="C657" s="18">
        <v>1</v>
      </c>
      <c r="D657" s="23" t="str">
        <f t="shared" ca="1" si="20"/>
        <v>—</v>
      </c>
      <c r="E657" s="24">
        <f t="shared" ca="1" si="21"/>
        <v>7</v>
      </c>
    </row>
    <row r="658" spans="1:5" x14ac:dyDescent="0.25">
      <c r="A658" s="17">
        <f ca="1">INDEX(Stations,INT((ROWS(A$2:A658)-1)/(DATE(YEAR(Invoer!$A$5),12,31)-DATE(YEAR(Invoer!$A$5),1,1)+1))+2,1)</f>
        <v>83</v>
      </c>
      <c r="B658" t="str">
        <f ca="1">TEXT(DATE(YEAR(Invoer!$A$5),1,1)+MOD(ROWS(B$2:B658)-1,DATE(YEAR(Invoer!$A$5),12,31)-DATE(YEAR(Invoer!$A$5),1,1)+1),"jjjjmmdd")</f>
        <v>19431019</v>
      </c>
      <c r="C658" s="18">
        <v>1</v>
      </c>
      <c r="D658" s="23" t="str">
        <f t="shared" ca="1" si="20"/>
        <v>—</v>
      </c>
      <c r="E658" s="24">
        <f t="shared" ca="1" si="21"/>
        <v>7</v>
      </c>
    </row>
    <row r="659" spans="1:5" x14ac:dyDescent="0.25">
      <c r="A659" s="17">
        <f ca="1">INDEX(Stations,INT((ROWS(A$2:A659)-1)/(DATE(YEAR(Invoer!$A$5),12,31)-DATE(YEAR(Invoer!$A$5),1,1)+1))+2,1)</f>
        <v>83</v>
      </c>
      <c r="B659" t="str">
        <f ca="1">TEXT(DATE(YEAR(Invoer!$A$5),1,1)+MOD(ROWS(B$2:B659)-1,DATE(YEAR(Invoer!$A$5),12,31)-DATE(YEAR(Invoer!$A$5),1,1)+1),"jjjjmmdd")</f>
        <v>19431020</v>
      </c>
      <c r="C659" s="18">
        <v>1</v>
      </c>
      <c r="D659" s="23" t="str">
        <f t="shared" ca="1" si="20"/>
        <v>—</v>
      </c>
      <c r="E659" s="24">
        <f t="shared" ca="1" si="21"/>
        <v>7</v>
      </c>
    </row>
    <row r="660" spans="1:5" x14ac:dyDescent="0.25">
      <c r="A660" s="17">
        <f ca="1">INDEX(Stations,INT((ROWS(A$2:A660)-1)/(DATE(YEAR(Invoer!$A$5),12,31)-DATE(YEAR(Invoer!$A$5),1,1)+1))+2,1)</f>
        <v>83</v>
      </c>
      <c r="B660" t="str">
        <f ca="1">TEXT(DATE(YEAR(Invoer!$A$5),1,1)+MOD(ROWS(B$2:B660)-1,DATE(YEAR(Invoer!$A$5),12,31)-DATE(YEAR(Invoer!$A$5),1,1)+1),"jjjjmmdd")</f>
        <v>19431021</v>
      </c>
      <c r="C660" s="18">
        <v>1</v>
      </c>
      <c r="D660" s="23" t="str">
        <f t="shared" ca="1" si="20"/>
        <v>—</v>
      </c>
      <c r="E660" s="24">
        <f t="shared" ca="1" si="21"/>
        <v>7</v>
      </c>
    </row>
    <row r="661" spans="1:5" x14ac:dyDescent="0.25">
      <c r="A661" s="17">
        <f ca="1">INDEX(Stations,INT((ROWS(A$2:A661)-1)/(DATE(YEAR(Invoer!$A$5),12,31)-DATE(YEAR(Invoer!$A$5),1,1)+1))+2,1)</f>
        <v>83</v>
      </c>
      <c r="B661" t="str">
        <f ca="1">TEXT(DATE(YEAR(Invoer!$A$5),1,1)+MOD(ROWS(B$2:B661)-1,DATE(YEAR(Invoer!$A$5),12,31)-DATE(YEAR(Invoer!$A$5),1,1)+1),"jjjjmmdd")</f>
        <v>19431022</v>
      </c>
      <c r="C661" s="18">
        <v>1</v>
      </c>
      <c r="D661" s="23" t="str">
        <f t="shared" ca="1" si="20"/>
        <v>—</v>
      </c>
      <c r="E661" s="24">
        <f t="shared" ca="1" si="21"/>
        <v>7</v>
      </c>
    </row>
    <row r="662" spans="1:5" x14ac:dyDescent="0.25">
      <c r="A662" s="17">
        <f ca="1">INDEX(Stations,INT((ROWS(A$2:A662)-1)/(DATE(YEAR(Invoer!$A$5),12,31)-DATE(YEAR(Invoer!$A$5),1,1)+1))+2,1)</f>
        <v>83</v>
      </c>
      <c r="B662" t="str">
        <f ca="1">TEXT(DATE(YEAR(Invoer!$A$5),1,1)+MOD(ROWS(B$2:B662)-1,DATE(YEAR(Invoer!$A$5),12,31)-DATE(YEAR(Invoer!$A$5),1,1)+1),"jjjjmmdd")</f>
        <v>19431023</v>
      </c>
      <c r="C662" s="18">
        <v>1</v>
      </c>
      <c r="D662" s="23" t="str">
        <f t="shared" ca="1" si="20"/>
        <v>—</v>
      </c>
      <c r="E662" s="24">
        <f t="shared" ca="1" si="21"/>
        <v>7</v>
      </c>
    </row>
    <row r="663" spans="1:5" x14ac:dyDescent="0.25">
      <c r="A663" s="17">
        <f ca="1">INDEX(Stations,INT((ROWS(A$2:A663)-1)/(DATE(YEAR(Invoer!$A$5),12,31)-DATE(YEAR(Invoer!$A$5),1,1)+1))+2,1)</f>
        <v>83</v>
      </c>
      <c r="B663" t="str">
        <f ca="1">TEXT(DATE(YEAR(Invoer!$A$5),1,1)+MOD(ROWS(B$2:B663)-1,DATE(YEAR(Invoer!$A$5),12,31)-DATE(YEAR(Invoer!$A$5),1,1)+1),"jjjjmmdd")</f>
        <v>19431024</v>
      </c>
      <c r="C663" s="18">
        <v>1</v>
      </c>
      <c r="D663" s="23" t="str">
        <f t="shared" ca="1" si="20"/>
        <v>—</v>
      </c>
      <c r="E663" s="24">
        <f t="shared" ca="1" si="21"/>
        <v>7</v>
      </c>
    </row>
    <row r="664" spans="1:5" x14ac:dyDescent="0.25">
      <c r="A664" s="17">
        <f ca="1">INDEX(Stations,INT((ROWS(A$2:A664)-1)/(DATE(YEAR(Invoer!$A$5),12,31)-DATE(YEAR(Invoer!$A$5),1,1)+1))+2,1)</f>
        <v>83</v>
      </c>
      <c r="B664" t="str">
        <f ca="1">TEXT(DATE(YEAR(Invoer!$A$5),1,1)+MOD(ROWS(B$2:B664)-1,DATE(YEAR(Invoer!$A$5),12,31)-DATE(YEAR(Invoer!$A$5),1,1)+1),"jjjjmmdd")</f>
        <v>19431025</v>
      </c>
      <c r="C664" s="18">
        <v>1</v>
      </c>
      <c r="D664" s="23" t="str">
        <f t="shared" ca="1" si="20"/>
        <v>—</v>
      </c>
      <c r="E664" s="24">
        <f t="shared" ca="1" si="21"/>
        <v>7</v>
      </c>
    </row>
    <row r="665" spans="1:5" x14ac:dyDescent="0.25">
      <c r="A665" s="17">
        <f ca="1">INDEX(Stations,INT((ROWS(A$2:A665)-1)/(DATE(YEAR(Invoer!$A$5),12,31)-DATE(YEAR(Invoer!$A$5),1,1)+1))+2,1)</f>
        <v>83</v>
      </c>
      <c r="B665" t="str">
        <f ca="1">TEXT(DATE(YEAR(Invoer!$A$5),1,1)+MOD(ROWS(B$2:B665)-1,DATE(YEAR(Invoer!$A$5),12,31)-DATE(YEAR(Invoer!$A$5),1,1)+1),"jjjjmmdd")</f>
        <v>19431026</v>
      </c>
      <c r="C665" s="18">
        <v>1</v>
      </c>
      <c r="D665" s="23" t="str">
        <f t="shared" ca="1" si="20"/>
        <v>—</v>
      </c>
      <c r="E665" s="24">
        <f t="shared" ca="1" si="21"/>
        <v>7</v>
      </c>
    </row>
    <row r="666" spans="1:5" x14ac:dyDescent="0.25">
      <c r="A666" s="17">
        <f ca="1">INDEX(Stations,INT((ROWS(A$2:A666)-1)/(DATE(YEAR(Invoer!$A$5),12,31)-DATE(YEAR(Invoer!$A$5),1,1)+1))+2,1)</f>
        <v>83</v>
      </c>
      <c r="B666" t="str">
        <f ca="1">TEXT(DATE(YEAR(Invoer!$A$5),1,1)+MOD(ROWS(B$2:B666)-1,DATE(YEAR(Invoer!$A$5),12,31)-DATE(YEAR(Invoer!$A$5),1,1)+1),"jjjjmmdd")</f>
        <v>19431027</v>
      </c>
      <c r="C666" s="18">
        <v>1</v>
      </c>
      <c r="D666" s="23" t="str">
        <f t="shared" ca="1" si="20"/>
        <v>—</v>
      </c>
      <c r="E666" s="24">
        <f t="shared" ca="1" si="21"/>
        <v>7</v>
      </c>
    </row>
    <row r="667" spans="1:5" x14ac:dyDescent="0.25">
      <c r="A667" s="17">
        <f ca="1">INDEX(Stations,INT((ROWS(A$2:A667)-1)/(DATE(YEAR(Invoer!$A$5),12,31)-DATE(YEAR(Invoer!$A$5),1,1)+1))+2,1)</f>
        <v>83</v>
      </c>
      <c r="B667" t="str">
        <f ca="1">TEXT(DATE(YEAR(Invoer!$A$5),1,1)+MOD(ROWS(B$2:B667)-1,DATE(YEAR(Invoer!$A$5),12,31)-DATE(YEAR(Invoer!$A$5),1,1)+1),"jjjjmmdd")</f>
        <v>19431028</v>
      </c>
      <c r="C667" s="18">
        <v>1</v>
      </c>
      <c r="D667" s="23" t="str">
        <f t="shared" ca="1" si="20"/>
        <v>—</v>
      </c>
      <c r="E667" s="24">
        <f t="shared" ca="1" si="21"/>
        <v>7</v>
      </c>
    </row>
    <row r="668" spans="1:5" x14ac:dyDescent="0.25">
      <c r="A668" s="17">
        <f ca="1">INDEX(Stations,INT((ROWS(A$2:A668)-1)/(DATE(YEAR(Invoer!$A$5),12,31)-DATE(YEAR(Invoer!$A$5),1,1)+1))+2,1)</f>
        <v>83</v>
      </c>
      <c r="B668" t="str">
        <f ca="1">TEXT(DATE(YEAR(Invoer!$A$5),1,1)+MOD(ROWS(B$2:B668)-1,DATE(YEAR(Invoer!$A$5),12,31)-DATE(YEAR(Invoer!$A$5),1,1)+1),"jjjjmmdd")</f>
        <v>19431029</v>
      </c>
      <c r="C668" s="18">
        <v>1</v>
      </c>
      <c r="D668" s="23" t="str">
        <f t="shared" ca="1" si="20"/>
        <v>—</v>
      </c>
      <c r="E668" s="24">
        <f t="shared" ca="1" si="21"/>
        <v>7</v>
      </c>
    </row>
    <row r="669" spans="1:5" x14ac:dyDescent="0.25">
      <c r="A669" s="17">
        <f ca="1">INDEX(Stations,INT((ROWS(A$2:A669)-1)/(DATE(YEAR(Invoer!$A$5),12,31)-DATE(YEAR(Invoer!$A$5),1,1)+1))+2,1)</f>
        <v>83</v>
      </c>
      <c r="B669" t="str">
        <f ca="1">TEXT(DATE(YEAR(Invoer!$A$5),1,1)+MOD(ROWS(B$2:B669)-1,DATE(YEAR(Invoer!$A$5),12,31)-DATE(YEAR(Invoer!$A$5),1,1)+1),"jjjjmmdd")</f>
        <v>19431030</v>
      </c>
      <c r="C669" s="18">
        <v>1</v>
      </c>
      <c r="D669" s="23" t="str">
        <f t="shared" ca="1" si="20"/>
        <v>—</v>
      </c>
      <c r="E669" s="24">
        <f t="shared" ca="1" si="21"/>
        <v>7</v>
      </c>
    </row>
    <row r="670" spans="1:5" x14ac:dyDescent="0.25">
      <c r="A670" s="17">
        <f ca="1">INDEX(Stations,INT((ROWS(A$2:A670)-1)/(DATE(YEAR(Invoer!$A$5),12,31)-DATE(YEAR(Invoer!$A$5),1,1)+1))+2,1)</f>
        <v>83</v>
      </c>
      <c r="B670" t="str">
        <f ca="1">TEXT(DATE(YEAR(Invoer!$A$5),1,1)+MOD(ROWS(B$2:B670)-1,DATE(YEAR(Invoer!$A$5),12,31)-DATE(YEAR(Invoer!$A$5),1,1)+1),"jjjjmmdd")</f>
        <v>19431031</v>
      </c>
      <c r="C670" s="18">
        <v>1</v>
      </c>
      <c r="D670" s="23" t="str">
        <f t="shared" ca="1" si="20"/>
        <v>—</v>
      </c>
      <c r="E670" s="24">
        <f t="shared" ca="1" si="21"/>
        <v>7</v>
      </c>
    </row>
    <row r="671" spans="1:5" x14ac:dyDescent="0.25">
      <c r="A671" s="17">
        <f ca="1">INDEX(Stations,INT((ROWS(A$2:A671)-1)/(DATE(YEAR(Invoer!$A$5),12,31)-DATE(YEAR(Invoer!$A$5),1,1)+1))+2,1)</f>
        <v>83</v>
      </c>
      <c r="B671" t="str">
        <f ca="1">TEXT(DATE(YEAR(Invoer!$A$5),1,1)+MOD(ROWS(B$2:B671)-1,DATE(YEAR(Invoer!$A$5),12,31)-DATE(YEAR(Invoer!$A$5),1,1)+1),"jjjjmmdd")</f>
        <v>19431101</v>
      </c>
      <c r="C671" s="18">
        <v>1</v>
      </c>
      <c r="D671" s="23" t="str">
        <f t="shared" ca="1" si="20"/>
        <v>—</v>
      </c>
      <c r="E671" s="24">
        <f t="shared" ca="1" si="21"/>
        <v>7</v>
      </c>
    </row>
    <row r="672" spans="1:5" x14ac:dyDescent="0.25">
      <c r="A672" s="17">
        <f ca="1">INDEX(Stations,INT((ROWS(A$2:A672)-1)/(DATE(YEAR(Invoer!$A$5),12,31)-DATE(YEAR(Invoer!$A$5),1,1)+1))+2,1)</f>
        <v>83</v>
      </c>
      <c r="B672" t="str">
        <f ca="1">TEXT(DATE(YEAR(Invoer!$A$5),1,1)+MOD(ROWS(B$2:B672)-1,DATE(YEAR(Invoer!$A$5),12,31)-DATE(YEAR(Invoer!$A$5),1,1)+1),"jjjjmmdd")</f>
        <v>19431102</v>
      </c>
      <c r="C672" s="18">
        <v>1</v>
      </c>
      <c r="D672" s="23" t="str">
        <f t="shared" ca="1" si="20"/>
        <v>—</v>
      </c>
      <c r="E672" s="24">
        <f t="shared" ca="1" si="21"/>
        <v>7</v>
      </c>
    </row>
    <row r="673" spans="1:5" x14ac:dyDescent="0.25">
      <c r="A673" s="17">
        <f ca="1">INDEX(Stations,INT((ROWS(A$2:A673)-1)/(DATE(YEAR(Invoer!$A$5),12,31)-DATE(YEAR(Invoer!$A$5),1,1)+1))+2,1)</f>
        <v>83</v>
      </c>
      <c r="B673" t="str">
        <f ca="1">TEXT(DATE(YEAR(Invoer!$A$5),1,1)+MOD(ROWS(B$2:B673)-1,DATE(YEAR(Invoer!$A$5),12,31)-DATE(YEAR(Invoer!$A$5),1,1)+1),"jjjjmmdd")</f>
        <v>19431103</v>
      </c>
      <c r="C673" s="18">
        <v>1</v>
      </c>
      <c r="D673" s="23" t="str">
        <f t="shared" ca="1" si="20"/>
        <v>—</v>
      </c>
      <c r="E673" s="24">
        <f t="shared" ca="1" si="21"/>
        <v>7</v>
      </c>
    </row>
    <row r="674" spans="1:5" x14ac:dyDescent="0.25">
      <c r="A674" s="17">
        <f ca="1">INDEX(Stations,INT((ROWS(A$2:A674)-1)/(DATE(YEAR(Invoer!$A$5),12,31)-DATE(YEAR(Invoer!$A$5),1,1)+1))+2,1)</f>
        <v>83</v>
      </c>
      <c r="B674" t="str">
        <f ca="1">TEXT(DATE(YEAR(Invoer!$A$5),1,1)+MOD(ROWS(B$2:B674)-1,DATE(YEAR(Invoer!$A$5),12,31)-DATE(YEAR(Invoer!$A$5),1,1)+1),"jjjjmmdd")</f>
        <v>19431104</v>
      </c>
      <c r="C674" s="18">
        <v>1</v>
      </c>
      <c r="D674" s="23" t="str">
        <f t="shared" ca="1" si="20"/>
        <v>—</v>
      </c>
      <c r="E674" s="24">
        <f t="shared" ca="1" si="21"/>
        <v>7</v>
      </c>
    </row>
    <row r="675" spans="1:5" x14ac:dyDescent="0.25">
      <c r="A675" s="17">
        <f ca="1">INDEX(Stations,INT((ROWS(A$2:A675)-1)/(DATE(YEAR(Invoer!$A$5),12,31)-DATE(YEAR(Invoer!$A$5),1,1)+1))+2,1)</f>
        <v>83</v>
      </c>
      <c r="B675" t="str">
        <f ca="1">TEXT(DATE(YEAR(Invoer!$A$5),1,1)+MOD(ROWS(B$2:B675)-1,DATE(YEAR(Invoer!$A$5),12,31)-DATE(YEAR(Invoer!$A$5),1,1)+1),"jjjjmmdd")</f>
        <v>19431105</v>
      </c>
      <c r="C675" s="18">
        <v>1</v>
      </c>
      <c r="D675" s="23" t="str">
        <f t="shared" ca="1" si="20"/>
        <v>—</v>
      </c>
      <c r="E675" s="24">
        <f t="shared" ca="1" si="21"/>
        <v>7</v>
      </c>
    </row>
    <row r="676" spans="1:5" x14ac:dyDescent="0.25">
      <c r="A676" s="17">
        <f ca="1">INDEX(Stations,INT((ROWS(A$2:A676)-1)/(DATE(YEAR(Invoer!$A$5),12,31)-DATE(YEAR(Invoer!$A$5),1,1)+1))+2,1)</f>
        <v>83</v>
      </c>
      <c r="B676" t="str">
        <f ca="1">TEXT(DATE(YEAR(Invoer!$A$5),1,1)+MOD(ROWS(B$2:B676)-1,DATE(YEAR(Invoer!$A$5),12,31)-DATE(YEAR(Invoer!$A$5),1,1)+1),"jjjjmmdd")</f>
        <v>19431106</v>
      </c>
      <c r="C676" s="18">
        <v>1</v>
      </c>
      <c r="D676" s="23" t="str">
        <f t="shared" ca="1" si="20"/>
        <v>—</v>
      </c>
      <c r="E676" s="24">
        <f t="shared" ca="1" si="21"/>
        <v>7</v>
      </c>
    </row>
    <row r="677" spans="1:5" x14ac:dyDescent="0.25">
      <c r="A677" s="17">
        <f ca="1">INDEX(Stations,INT((ROWS(A$2:A677)-1)/(DATE(YEAR(Invoer!$A$5),12,31)-DATE(YEAR(Invoer!$A$5),1,1)+1))+2,1)</f>
        <v>83</v>
      </c>
      <c r="B677" t="str">
        <f ca="1">TEXT(DATE(YEAR(Invoer!$A$5),1,1)+MOD(ROWS(B$2:B677)-1,DATE(YEAR(Invoer!$A$5),12,31)-DATE(YEAR(Invoer!$A$5),1,1)+1),"jjjjmmdd")</f>
        <v>19431107</v>
      </c>
      <c r="C677" s="18">
        <v>1</v>
      </c>
      <c r="D677" s="23" t="str">
        <f t="shared" ca="1" si="20"/>
        <v>—</v>
      </c>
      <c r="E677" s="24">
        <f t="shared" ca="1" si="21"/>
        <v>7</v>
      </c>
    </row>
    <row r="678" spans="1:5" x14ac:dyDescent="0.25">
      <c r="A678" s="17">
        <f ca="1">INDEX(Stations,INT((ROWS(A$2:A678)-1)/(DATE(YEAR(Invoer!$A$5),12,31)-DATE(YEAR(Invoer!$A$5),1,1)+1))+2,1)</f>
        <v>83</v>
      </c>
      <c r="B678" t="str">
        <f ca="1">TEXT(DATE(YEAR(Invoer!$A$5),1,1)+MOD(ROWS(B$2:B678)-1,DATE(YEAR(Invoer!$A$5),12,31)-DATE(YEAR(Invoer!$A$5),1,1)+1),"jjjjmmdd")</f>
        <v>19431108</v>
      </c>
      <c r="C678" s="18">
        <v>1</v>
      </c>
      <c r="D678" s="23" t="str">
        <f t="shared" ca="1" si="20"/>
        <v>—</v>
      </c>
      <c r="E678" s="24">
        <f t="shared" ca="1" si="21"/>
        <v>7</v>
      </c>
    </row>
    <row r="679" spans="1:5" x14ac:dyDescent="0.25">
      <c r="A679" s="17">
        <f ca="1">INDEX(Stations,INT((ROWS(A$2:A679)-1)/(DATE(YEAR(Invoer!$A$5),12,31)-DATE(YEAR(Invoer!$A$5),1,1)+1))+2,1)</f>
        <v>83</v>
      </c>
      <c r="B679" t="str">
        <f ca="1">TEXT(DATE(YEAR(Invoer!$A$5),1,1)+MOD(ROWS(B$2:B679)-1,DATE(YEAR(Invoer!$A$5),12,31)-DATE(YEAR(Invoer!$A$5),1,1)+1),"jjjjmmdd")</f>
        <v>19431109</v>
      </c>
      <c r="C679" s="18">
        <v>1</v>
      </c>
      <c r="D679" s="23" t="str">
        <f t="shared" ca="1" si="20"/>
        <v>—</v>
      </c>
      <c r="E679" s="24">
        <f t="shared" ca="1" si="21"/>
        <v>7</v>
      </c>
    </row>
    <row r="680" spans="1:5" x14ac:dyDescent="0.25">
      <c r="A680" s="17">
        <f ca="1">INDEX(Stations,INT((ROWS(A$2:A680)-1)/(DATE(YEAR(Invoer!$A$5),12,31)-DATE(YEAR(Invoer!$A$5),1,1)+1))+2,1)</f>
        <v>83</v>
      </c>
      <c r="B680" t="str">
        <f ca="1">TEXT(DATE(YEAR(Invoer!$A$5),1,1)+MOD(ROWS(B$2:B680)-1,DATE(YEAR(Invoer!$A$5),12,31)-DATE(YEAR(Invoer!$A$5),1,1)+1),"jjjjmmdd")</f>
        <v>19431110</v>
      </c>
      <c r="C680" s="18">
        <v>1</v>
      </c>
      <c r="D680" s="23" t="str">
        <f t="shared" ca="1" si="20"/>
        <v>—</v>
      </c>
      <c r="E680" s="24">
        <f t="shared" ca="1" si="21"/>
        <v>7</v>
      </c>
    </row>
    <row r="681" spans="1:5" x14ac:dyDescent="0.25">
      <c r="A681" s="17">
        <f ca="1">INDEX(Stations,INT((ROWS(A$2:A681)-1)/(DATE(YEAR(Invoer!$A$5),12,31)-DATE(YEAR(Invoer!$A$5),1,1)+1))+2,1)</f>
        <v>83</v>
      </c>
      <c r="B681" t="str">
        <f ca="1">TEXT(DATE(YEAR(Invoer!$A$5),1,1)+MOD(ROWS(B$2:B681)-1,DATE(YEAR(Invoer!$A$5),12,31)-DATE(YEAR(Invoer!$A$5),1,1)+1),"jjjjmmdd")</f>
        <v>19431111</v>
      </c>
      <c r="C681" s="18">
        <v>1</v>
      </c>
      <c r="D681" s="23" t="str">
        <f t="shared" ca="1" si="20"/>
        <v>—</v>
      </c>
      <c r="E681" s="24">
        <f t="shared" ca="1" si="21"/>
        <v>7</v>
      </c>
    </row>
    <row r="682" spans="1:5" x14ac:dyDescent="0.25">
      <c r="A682" s="17">
        <f ca="1">INDEX(Stations,INT((ROWS(A$2:A682)-1)/(DATE(YEAR(Invoer!$A$5),12,31)-DATE(YEAR(Invoer!$A$5),1,1)+1))+2,1)</f>
        <v>83</v>
      </c>
      <c r="B682" t="str">
        <f ca="1">TEXT(DATE(YEAR(Invoer!$A$5),1,1)+MOD(ROWS(B$2:B682)-1,DATE(YEAR(Invoer!$A$5),12,31)-DATE(YEAR(Invoer!$A$5),1,1)+1),"jjjjmmdd")</f>
        <v>19431112</v>
      </c>
      <c r="C682" s="18">
        <v>1</v>
      </c>
      <c r="D682" s="23" t="str">
        <f t="shared" ca="1" si="20"/>
        <v>—</v>
      </c>
      <c r="E682" s="24">
        <f t="shared" ca="1" si="21"/>
        <v>7</v>
      </c>
    </row>
    <row r="683" spans="1:5" x14ac:dyDescent="0.25">
      <c r="A683" s="17">
        <f ca="1">INDEX(Stations,INT((ROWS(A$2:A683)-1)/(DATE(YEAR(Invoer!$A$5),12,31)-DATE(YEAR(Invoer!$A$5),1,1)+1))+2,1)</f>
        <v>83</v>
      </c>
      <c r="B683" t="str">
        <f ca="1">TEXT(DATE(YEAR(Invoer!$A$5),1,1)+MOD(ROWS(B$2:B683)-1,DATE(YEAR(Invoer!$A$5),12,31)-DATE(YEAR(Invoer!$A$5),1,1)+1),"jjjjmmdd")</f>
        <v>19431113</v>
      </c>
      <c r="C683" s="18">
        <v>1</v>
      </c>
      <c r="D683" s="23" t="str">
        <f t="shared" ca="1" si="20"/>
        <v>—</v>
      </c>
      <c r="E683" s="24">
        <f t="shared" ca="1" si="21"/>
        <v>7</v>
      </c>
    </row>
    <row r="684" spans="1:5" x14ac:dyDescent="0.25">
      <c r="A684" s="17">
        <f ca="1">INDEX(Stations,INT((ROWS(A$2:A684)-1)/(DATE(YEAR(Invoer!$A$5),12,31)-DATE(YEAR(Invoer!$A$5),1,1)+1))+2,1)</f>
        <v>83</v>
      </c>
      <c r="B684" t="str">
        <f ca="1">TEXT(DATE(YEAR(Invoer!$A$5),1,1)+MOD(ROWS(B$2:B684)-1,DATE(YEAR(Invoer!$A$5),12,31)-DATE(YEAR(Invoer!$A$5),1,1)+1),"jjjjmmdd")</f>
        <v>19431114</v>
      </c>
      <c r="C684" s="18">
        <v>1</v>
      </c>
      <c r="D684" s="23" t="str">
        <f t="shared" ca="1" si="20"/>
        <v>—</v>
      </c>
      <c r="E684" s="24">
        <f t="shared" ca="1" si="21"/>
        <v>7</v>
      </c>
    </row>
    <row r="685" spans="1:5" x14ac:dyDescent="0.25">
      <c r="A685" s="17">
        <f ca="1">INDEX(Stations,INT((ROWS(A$2:A685)-1)/(DATE(YEAR(Invoer!$A$5),12,31)-DATE(YEAR(Invoer!$A$5),1,1)+1))+2,1)</f>
        <v>83</v>
      </c>
      <c r="B685" t="str">
        <f ca="1">TEXT(DATE(YEAR(Invoer!$A$5),1,1)+MOD(ROWS(B$2:B685)-1,DATE(YEAR(Invoer!$A$5),12,31)-DATE(YEAR(Invoer!$A$5),1,1)+1),"jjjjmmdd")</f>
        <v>19431115</v>
      </c>
      <c r="C685" s="18">
        <v>1</v>
      </c>
      <c r="D685" s="23" t="str">
        <f t="shared" ca="1" si="20"/>
        <v>—</v>
      </c>
      <c r="E685" s="24">
        <f t="shared" ca="1" si="21"/>
        <v>7</v>
      </c>
    </row>
    <row r="686" spans="1:5" x14ac:dyDescent="0.25">
      <c r="A686" s="17">
        <f ca="1">INDEX(Stations,INT((ROWS(A$2:A686)-1)/(DATE(YEAR(Invoer!$A$5),12,31)-DATE(YEAR(Invoer!$A$5),1,1)+1))+2,1)</f>
        <v>83</v>
      </c>
      <c r="B686" t="str">
        <f ca="1">TEXT(DATE(YEAR(Invoer!$A$5),1,1)+MOD(ROWS(B$2:B686)-1,DATE(YEAR(Invoer!$A$5),12,31)-DATE(YEAR(Invoer!$A$5),1,1)+1),"jjjjmmdd")</f>
        <v>19431116</v>
      </c>
      <c r="C686" s="18">
        <v>1</v>
      </c>
      <c r="D686" s="23" t="str">
        <f t="shared" ca="1" si="20"/>
        <v>—</v>
      </c>
      <c r="E686" s="24">
        <f t="shared" ca="1" si="21"/>
        <v>7</v>
      </c>
    </row>
    <row r="687" spans="1:5" x14ac:dyDescent="0.25">
      <c r="A687" s="17">
        <f ca="1">INDEX(Stations,INT((ROWS(A$2:A687)-1)/(DATE(YEAR(Invoer!$A$5),12,31)-DATE(YEAR(Invoer!$A$5),1,1)+1))+2,1)</f>
        <v>83</v>
      </c>
      <c r="B687" t="str">
        <f ca="1">TEXT(DATE(YEAR(Invoer!$A$5),1,1)+MOD(ROWS(B$2:B687)-1,DATE(YEAR(Invoer!$A$5),12,31)-DATE(YEAR(Invoer!$A$5),1,1)+1),"jjjjmmdd")</f>
        <v>19431117</v>
      </c>
      <c r="C687" s="18">
        <v>1</v>
      </c>
      <c r="D687" s="23" t="str">
        <f t="shared" ca="1" si="20"/>
        <v>—</v>
      </c>
      <c r="E687" s="24">
        <f t="shared" ca="1" si="21"/>
        <v>7</v>
      </c>
    </row>
    <row r="688" spans="1:5" x14ac:dyDescent="0.25">
      <c r="A688" s="17">
        <f ca="1">INDEX(Stations,INT((ROWS(A$2:A688)-1)/(DATE(YEAR(Invoer!$A$5),12,31)-DATE(YEAR(Invoer!$A$5),1,1)+1))+2,1)</f>
        <v>83</v>
      </c>
      <c r="B688" t="str">
        <f ca="1">TEXT(DATE(YEAR(Invoer!$A$5),1,1)+MOD(ROWS(B$2:B688)-1,DATE(YEAR(Invoer!$A$5),12,31)-DATE(YEAR(Invoer!$A$5),1,1)+1),"jjjjmmdd")</f>
        <v>19431118</v>
      </c>
      <c r="C688" s="18">
        <v>1</v>
      </c>
      <c r="D688" s="23" t="str">
        <f t="shared" ca="1" si="20"/>
        <v>—</v>
      </c>
      <c r="E688" s="24">
        <f t="shared" ca="1" si="21"/>
        <v>7</v>
      </c>
    </row>
    <row r="689" spans="1:5" x14ac:dyDescent="0.25">
      <c r="A689" s="17">
        <f ca="1">INDEX(Stations,INT((ROWS(A$2:A689)-1)/(DATE(YEAR(Invoer!$A$5),12,31)-DATE(YEAR(Invoer!$A$5),1,1)+1))+2,1)</f>
        <v>83</v>
      </c>
      <c r="B689" t="str">
        <f ca="1">TEXT(DATE(YEAR(Invoer!$A$5),1,1)+MOD(ROWS(B$2:B689)-1,DATE(YEAR(Invoer!$A$5),12,31)-DATE(YEAR(Invoer!$A$5),1,1)+1),"jjjjmmdd")</f>
        <v>19431119</v>
      </c>
      <c r="C689" s="18">
        <v>1</v>
      </c>
      <c r="D689" s="23" t="str">
        <f t="shared" ca="1" si="20"/>
        <v>—</v>
      </c>
      <c r="E689" s="24">
        <f t="shared" ca="1" si="21"/>
        <v>7</v>
      </c>
    </row>
    <row r="690" spans="1:5" x14ac:dyDescent="0.25">
      <c r="A690" s="17">
        <f ca="1">INDEX(Stations,INT((ROWS(A$2:A690)-1)/(DATE(YEAR(Invoer!$A$5),12,31)-DATE(YEAR(Invoer!$A$5),1,1)+1))+2,1)</f>
        <v>83</v>
      </c>
      <c r="B690" t="str">
        <f ca="1">TEXT(DATE(YEAR(Invoer!$A$5),1,1)+MOD(ROWS(B$2:B690)-1,DATE(YEAR(Invoer!$A$5),12,31)-DATE(YEAR(Invoer!$A$5),1,1)+1),"jjjjmmdd")</f>
        <v>19431120</v>
      </c>
      <c r="C690" s="18">
        <v>1</v>
      </c>
      <c r="D690" s="23" t="str">
        <f t="shared" ca="1" si="20"/>
        <v>—</v>
      </c>
      <c r="E690" s="24">
        <f t="shared" ca="1" si="21"/>
        <v>7</v>
      </c>
    </row>
    <row r="691" spans="1:5" x14ac:dyDescent="0.25">
      <c r="A691" s="17">
        <f ca="1">INDEX(Stations,INT((ROWS(A$2:A691)-1)/(DATE(YEAR(Invoer!$A$5),12,31)-DATE(YEAR(Invoer!$A$5),1,1)+1))+2,1)</f>
        <v>83</v>
      </c>
      <c r="B691" t="str">
        <f ca="1">TEXT(DATE(YEAR(Invoer!$A$5),1,1)+MOD(ROWS(B$2:B691)-1,DATE(YEAR(Invoer!$A$5),12,31)-DATE(YEAR(Invoer!$A$5),1,1)+1),"jjjjmmdd")</f>
        <v>19431121</v>
      </c>
      <c r="C691" s="18">
        <v>1</v>
      </c>
      <c r="D691" s="23" t="str">
        <f t="shared" ca="1" si="20"/>
        <v>—</v>
      </c>
      <c r="E691" s="24">
        <f t="shared" ca="1" si="21"/>
        <v>7</v>
      </c>
    </row>
    <row r="692" spans="1:5" x14ac:dyDescent="0.25">
      <c r="A692" s="17">
        <f ca="1">INDEX(Stations,INT((ROWS(A$2:A692)-1)/(DATE(YEAR(Invoer!$A$5),12,31)-DATE(YEAR(Invoer!$A$5),1,1)+1))+2,1)</f>
        <v>83</v>
      </c>
      <c r="B692" t="str">
        <f ca="1">TEXT(DATE(YEAR(Invoer!$A$5),1,1)+MOD(ROWS(B$2:B692)-1,DATE(YEAR(Invoer!$A$5),12,31)-DATE(YEAR(Invoer!$A$5),1,1)+1),"jjjjmmdd")</f>
        <v>19431122</v>
      </c>
      <c r="C692" s="18">
        <v>1</v>
      </c>
      <c r="D692" s="23" t="str">
        <f t="shared" ca="1" si="20"/>
        <v>—</v>
      </c>
      <c r="E692" s="24">
        <f t="shared" ca="1" si="21"/>
        <v>7</v>
      </c>
    </row>
    <row r="693" spans="1:5" x14ac:dyDescent="0.25">
      <c r="A693" s="17">
        <f ca="1">INDEX(Stations,INT((ROWS(A$2:A693)-1)/(DATE(YEAR(Invoer!$A$5),12,31)-DATE(YEAR(Invoer!$A$5),1,1)+1))+2,1)</f>
        <v>83</v>
      </c>
      <c r="B693" t="str">
        <f ca="1">TEXT(DATE(YEAR(Invoer!$A$5),1,1)+MOD(ROWS(B$2:B693)-1,DATE(YEAR(Invoer!$A$5),12,31)-DATE(YEAR(Invoer!$A$5),1,1)+1),"jjjjmmdd")</f>
        <v>19431123</v>
      </c>
      <c r="C693" s="18">
        <v>1</v>
      </c>
      <c r="D693" s="23" t="str">
        <f t="shared" ca="1" si="20"/>
        <v>—</v>
      </c>
      <c r="E693" s="24">
        <f t="shared" ca="1" si="21"/>
        <v>7</v>
      </c>
    </row>
    <row r="694" spans="1:5" x14ac:dyDescent="0.25">
      <c r="A694" s="17">
        <f ca="1">INDEX(Stations,INT((ROWS(A$2:A694)-1)/(DATE(YEAR(Invoer!$A$5),12,31)-DATE(YEAR(Invoer!$A$5),1,1)+1))+2,1)</f>
        <v>83</v>
      </c>
      <c r="B694" t="str">
        <f ca="1">TEXT(DATE(YEAR(Invoer!$A$5),1,1)+MOD(ROWS(B$2:B694)-1,DATE(YEAR(Invoer!$A$5),12,31)-DATE(YEAR(Invoer!$A$5),1,1)+1),"jjjjmmdd")</f>
        <v>19431124</v>
      </c>
      <c r="C694" s="18">
        <v>1</v>
      </c>
      <c r="D694" s="23" t="str">
        <f t="shared" ca="1" si="20"/>
        <v>—</v>
      </c>
      <c r="E694" s="24">
        <f t="shared" ca="1" si="21"/>
        <v>7</v>
      </c>
    </row>
    <row r="695" spans="1:5" x14ac:dyDescent="0.25">
      <c r="A695" s="17">
        <f ca="1">INDEX(Stations,INT((ROWS(A$2:A695)-1)/(DATE(YEAR(Invoer!$A$5),12,31)-DATE(YEAR(Invoer!$A$5),1,1)+1))+2,1)</f>
        <v>83</v>
      </c>
      <c r="B695" t="str">
        <f ca="1">TEXT(DATE(YEAR(Invoer!$A$5),1,1)+MOD(ROWS(B$2:B695)-1,DATE(YEAR(Invoer!$A$5),12,31)-DATE(YEAR(Invoer!$A$5),1,1)+1),"jjjjmmdd")</f>
        <v>19431125</v>
      </c>
      <c r="C695" s="18">
        <v>1</v>
      </c>
      <c r="D695" s="23" t="str">
        <f t="shared" ca="1" si="20"/>
        <v>—</v>
      </c>
      <c r="E695" s="24">
        <f t="shared" ca="1" si="21"/>
        <v>7</v>
      </c>
    </row>
    <row r="696" spans="1:5" x14ac:dyDescent="0.25">
      <c r="A696" s="17">
        <f ca="1">INDEX(Stations,INT((ROWS(A$2:A696)-1)/(DATE(YEAR(Invoer!$A$5),12,31)-DATE(YEAR(Invoer!$A$5),1,1)+1))+2,1)</f>
        <v>83</v>
      </c>
      <c r="B696" t="str">
        <f ca="1">TEXT(DATE(YEAR(Invoer!$A$5),1,1)+MOD(ROWS(B$2:B696)-1,DATE(YEAR(Invoer!$A$5),12,31)-DATE(YEAR(Invoer!$A$5),1,1)+1),"jjjjmmdd")</f>
        <v>19431126</v>
      </c>
      <c r="C696" s="18">
        <v>1</v>
      </c>
      <c r="D696" s="23" t="str">
        <f t="shared" ca="1" si="20"/>
        <v>—</v>
      </c>
      <c r="E696" s="24">
        <f t="shared" ca="1" si="21"/>
        <v>7</v>
      </c>
    </row>
    <row r="697" spans="1:5" x14ac:dyDescent="0.25">
      <c r="A697" s="17">
        <f ca="1">INDEX(Stations,INT((ROWS(A$2:A697)-1)/(DATE(YEAR(Invoer!$A$5),12,31)-DATE(YEAR(Invoer!$A$5),1,1)+1))+2,1)</f>
        <v>83</v>
      </c>
      <c r="B697" t="str">
        <f ca="1">TEXT(DATE(YEAR(Invoer!$A$5),1,1)+MOD(ROWS(B$2:B697)-1,DATE(YEAR(Invoer!$A$5),12,31)-DATE(YEAR(Invoer!$A$5),1,1)+1),"jjjjmmdd")</f>
        <v>19431127</v>
      </c>
      <c r="C697" s="18">
        <v>1</v>
      </c>
      <c r="D697" s="23" t="str">
        <f t="shared" ca="1" si="20"/>
        <v>—</v>
      </c>
      <c r="E697" s="24">
        <f t="shared" ca="1" si="21"/>
        <v>7</v>
      </c>
    </row>
    <row r="698" spans="1:5" x14ac:dyDescent="0.25">
      <c r="A698" s="17">
        <f ca="1">INDEX(Stations,INT((ROWS(A$2:A698)-1)/(DATE(YEAR(Invoer!$A$5),12,31)-DATE(YEAR(Invoer!$A$5),1,1)+1))+2,1)</f>
        <v>83</v>
      </c>
      <c r="B698" t="str">
        <f ca="1">TEXT(DATE(YEAR(Invoer!$A$5),1,1)+MOD(ROWS(B$2:B698)-1,DATE(YEAR(Invoer!$A$5),12,31)-DATE(YEAR(Invoer!$A$5),1,1)+1),"jjjjmmdd")</f>
        <v>19431128</v>
      </c>
      <c r="C698" s="18">
        <v>1</v>
      </c>
      <c r="D698" s="23" t="str">
        <f t="shared" ca="1" si="20"/>
        <v>—</v>
      </c>
      <c r="E698" s="24">
        <f t="shared" ca="1" si="21"/>
        <v>7</v>
      </c>
    </row>
    <row r="699" spans="1:5" x14ac:dyDescent="0.25">
      <c r="A699" s="17">
        <f ca="1">INDEX(Stations,INT((ROWS(A$2:A699)-1)/(DATE(YEAR(Invoer!$A$5),12,31)-DATE(YEAR(Invoer!$A$5),1,1)+1))+2,1)</f>
        <v>83</v>
      </c>
      <c r="B699" t="str">
        <f ca="1">TEXT(DATE(YEAR(Invoer!$A$5),1,1)+MOD(ROWS(B$2:B699)-1,DATE(YEAR(Invoer!$A$5),12,31)-DATE(YEAR(Invoer!$A$5),1,1)+1),"jjjjmmdd")</f>
        <v>19431129</v>
      </c>
      <c r="C699" s="18">
        <v>1</v>
      </c>
      <c r="D699" s="23" t="str">
        <f t="shared" ca="1" si="20"/>
        <v>—</v>
      </c>
      <c r="E699" s="24">
        <f t="shared" ca="1" si="21"/>
        <v>7</v>
      </c>
    </row>
    <row r="700" spans="1:5" x14ac:dyDescent="0.25">
      <c r="A700" s="17">
        <f ca="1">INDEX(Stations,INT((ROWS(A$2:A700)-1)/(DATE(YEAR(Invoer!$A$5),12,31)-DATE(YEAR(Invoer!$A$5),1,1)+1))+2,1)</f>
        <v>83</v>
      </c>
      <c r="B700" t="str">
        <f ca="1">TEXT(DATE(YEAR(Invoer!$A$5),1,1)+MOD(ROWS(B$2:B700)-1,DATE(YEAR(Invoer!$A$5),12,31)-DATE(YEAR(Invoer!$A$5),1,1)+1),"jjjjmmdd")</f>
        <v>19431130</v>
      </c>
      <c r="C700" s="18">
        <v>1</v>
      </c>
      <c r="D700" s="23" t="str">
        <f t="shared" ca="1" si="20"/>
        <v>—</v>
      </c>
      <c r="E700" s="24">
        <f t="shared" ca="1" si="21"/>
        <v>7</v>
      </c>
    </row>
    <row r="701" spans="1:5" x14ac:dyDescent="0.25">
      <c r="A701" s="17">
        <f ca="1">INDEX(Stations,INT((ROWS(A$2:A701)-1)/(DATE(YEAR(Invoer!$A$5),12,31)-DATE(YEAR(Invoer!$A$5),1,1)+1))+2,1)</f>
        <v>83</v>
      </c>
      <c r="B701" t="str">
        <f ca="1">TEXT(DATE(YEAR(Invoer!$A$5),1,1)+MOD(ROWS(B$2:B701)-1,DATE(YEAR(Invoer!$A$5),12,31)-DATE(YEAR(Invoer!$A$5),1,1)+1),"jjjjmmdd")</f>
        <v>19431201</v>
      </c>
      <c r="C701" s="18">
        <v>1</v>
      </c>
      <c r="D701" s="23" t="str">
        <f t="shared" ca="1" si="20"/>
        <v>—</v>
      </c>
      <c r="E701" s="24">
        <f t="shared" ca="1" si="21"/>
        <v>7</v>
      </c>
    </row>
    <row r="702" spans="1:5" x14ac:dyDescent="0.25">
      <c r="A702" s="17">
        <f ca="1">INDEX(Stations,INT((ROWS(A$2:A702)-1)/(DATE(YEAR(Invoer!$A$5),12,31)-DATE(YEAR(Invoer!$A$5),1,1)+1))+2,1)</f>
        <v>83</v>
      </c>
      <c r="B702" t="str">
        <f ca="1">TEXT(DATE(YEAR(Invoer!$A$5),1,1)+MOD(ROWS(B$2:B702)-1,DATE(YEAR(Invoer!$A$5),12,31)-DATE(YEAR(Invoer!$A$5),1,1)+1),"jjjjmmdd")</f>
        <v>19431202</v>
      </c>
      <c r="C702" s="18">
        <v>1</v>
      </c>
      <c r="D702" s="23" t="str">
        <f t="shared" ca="1" si="20"/>
        <v>—</v>
      </c>
      <c r="E702" s="24">
        <f t="shared" ca="1" si="21"/>
        <v>7</v>
      </c>
    </row>
    <row r="703" spans="1:5" x14ac:dyDescent="0.25">
      <c r="A703" s="17">
        <f ca="1">INDEX(Stations,INT((ROWS(A$2:A703)-1)/(DATE(YEAR(Invoer!$A$5),12,31)-DATE(YEAR(Invoer!$A$5),1,1)+1))+2,1)</f>
        <v>83</v>
      </c>
      <c r="B703" t="str">
        <f ca="1">TEXT(DATE(YEAR(Invoer!$A$5),1,1)+MOD(ROWS(B$2:B703)-1,DATE(YEAR(Invoer!$A$5),12,31)-DATE(YEAR(Invoer!$A$5),1,1)+1),"jjjjmmdd")</f>
        <v>19431203</v>
      </c>
      <c r="C703" s="18">
        <v>1</v>
      </c>
      <c r="D703" s="23" t="str">
        <f t="shared" ca="1" si="20"/>
        <v>—</v>
      </c>
      <c r="E703" s="24">
        <f t="shared" ca="1" si="21"/>
        <v>7</v>
      </c>
    </row>
    <row r="704" spans="1:5" x14ac:dyDescent="0.25">
      <c r="A704" s="17">
        <f ca="1">INDEX(Stations,INT((ROWS(A$2:A704)-1)/(DATE(YEAR(Invoer!$A$5),12,31)-DATE(YEAR(Invoer!$A$5),1,1)+1))+2,1)</f>
        <v>83</v>
      </c>
      <c r="B704" t="str">
        <f ca="1">TEXT(DATE(YEAR(Invoer!$A$5),1,1)+MOD(ROWS(B$2:B704)-1,DATE(YEAR(Invoer!$A$5),12,31)-DATE(YEAR(Invoer!$A$5),1,1)+1),"jjjjmmdd")</f>
        <v>19431204</v>
      </c>
      <c r="C704" s="18">
        <v>1</v>
      </c>
      <c r="D704" s="23" t="str">
        <f t="shared" ca="1" si="20"/>
        <v>—</v>
      </c>
      <c r="E704" s="24">
        <f t="shared" ca="1" si="21"/>
        <v>7</v>
      </c>
    </row>
    <row r="705" spans="1:5" x14ac:dyDescent="0.25">
      <c r="A705" s="17">
        <f ca="1">INDEX(Stations,INT((ROWS(A$2:A705)-1)/(DATE(YEAR(Invoer!$A$5),12,31)-DATE(YEAR(Invoer!$A$5),1,1)+1))+2,1)</f>
        <v>83</v>
      </c>
      <c r="B705" t="str">
        <f ca="1">TEXT(DATE(YEAR(Invoer!$A$5),1,1)+MOD(ROWS(B$2:B705)-1,DATE(YEAR(Invoer!$A$5),12,31)-DATE(YEAR(Invoer!$A$5),1,1)+1),"jjjjmmdd")</f>
        <v>19431205</v>
      </c>
      <c r="C705" s="18">
        <v>1</v>
      </c>
      <c r="D705" s="23" t="str">
        <f t="shared" ca="1" si="20"/>
        <v>—</v>
      </c>
      <c r="E705" s="24">
        <f t="shared" ca="1" si="21"/>
        <v>7</v>
      </c>
    </row>
    <row r="706" spans="1:5" x14ac:dyDescent="0.25">
      <c r="A706" s="17">
        <f ca="1">INDEX(Stations,INT((ROWS(A$2:A706)-1)/(DATE(YEAR(Invoer!$A$5),12,31)-DATE(YEAR(Invoer!$A$5),1,1)+1))+2,1)</f>
        <v>83</v>
      </c>
      <c r="B706" t="str">
        <f ca="1">TEXT(DATE(YEAR(Invoer!$A$5),1,1)+MOD(ROWS(B$2:B706)-1,DATE(YEAR(Invoer!$A$5),12,31)-DATE(YEAR(Invoer!$A$5),1,1)+1),"jjjjmmdd")</f>
        <v>19431206</v>
      </c>
      <c r="C706" s="18">
        <v>1</v>
      </c>
      <c r="D706" s="23" t="str">
        <f t="shared" ref="D706:D769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—</v>
      </c>
      <c r="E706" s="24">
        <f t="shared" ref="E706:E769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7</v>
      </c>
    </row>
    <row r="707" spans="1:5" x14ac:dyDescent="0.25">
      <c r="A707" s="17">
        <f ca="1">INDEX(Stations,INT((ROWS(A$2:A707)-1)/(DATE(YEAR(Invoer!$A$5),12,31)-DATE(YEAR(Invoer!$A$5),1,1)+1))+2,1)</f>
        <v>83</v>
      </c>
      <c r="B707" t="str">
        <f ca="1">TEXT(DATE(YEAR(Invoer!$A$5),1,1)+MOD(ROWS(B$2:B707)-1,DATE(YEAR(Invoer!$A$5),12,31)-DATE(YEAR(Invoer!$A$5),1,1)+1),"jjjjmmdd")</f>
        <v>19431207</v>
      </c>
      <c r="C707" s="18">
        <v>1</v>
      </c>
      <c r="D707" s="23" t="str">
        <f t="shared" ca="1" si="22"/>
        <v>—</v>
      </c>
      <c r="E707" s="24">
        <f t="shared" ca="1" si="23"/>
        <v>7</v>
      </c>
    </row>
    <row r="708" spans="1:5" x14ac:dyDescent="0.25">
      <c r="A708" s="17">
        <f ca="1">INDEX(Stations,INT((ROWS(A$2:A708)-1)/(DATE(YEAR(Invoer!$A$5),12,31)-DATE(YEAR(Invoer!$A$5),1,1)+1))+2,1)</f>
        <v>83</v>
      </c>
      <c r="B708" t="str">
        <f ca="1">TEXT(DATE(YEAR(Invoer!$A$5),1,1)+MOD(ROWS(B$2:B708)-1,DATE(YEAR(Invoer!$A$5),12,31)-DATE(YEAR(Invoer!$A$5),1,1)+1),"jjjjmmdd")</f>
        <v>19431208</v>
      </c>
      <c r="C708" s="18">
        <v>1</v>
      </c>
      <c r="D708" s="23" t="str">
        <f t="shared" ca="1" si="22"/>
        <v>—</v>
      </c>
      <c r="E708" s="24">
        <f t="shared" ca="1" si="23"/>
        <v>7</v>
      </c>
    </row>
    <row r="709" spans="1:5" x14ac:dyDescent="0.25">
      <c r="A709" s="17">
        <f ca="1">INDEX(Stations,INT((ROWS(A$2:A709)-1)/(DATE(YEAR(Invoer!$A$5),12,31)-DATE(YEAR(Invoer!$A$5),1,1)+1))+2,1)</f>
        <v>83</v>
      </c>
      <c r="B709" t="str">
        <f ca="1">TEXT(DATE(YEAR(Invoer!$A$5),1,1)+MOD(ROWS(B$2:B709)-1,DATE(YEAR(Invoer!$A$5),12,31)-DATE(YEAR(Invoer!$A$5),1,1)+1),"jjjjmmdd")</f>
        <v>19431209</v>
      </c>
      <c r="C709" s="18">
        <v>1</v>
      </c>
      <c r="D709" s="23" t="str">
        <f t="shared" ca="1" si="22"/>
        <v>—</v>
      </c>
      <c r="E709" s="24">
        <f t="shared" ca="1" si="23"/>
        <v>7</v>
      </c>
    </row>
    <row r="710" spans="1:5" x14ac:dyDescent="0.25">
      <c r="A710" s="17">
        <f ca="1">INDEX(Stations,INT((ROWS(A$2:A710)-1)/(DATE(YEAR(Invoer!$A$5),12,31)-DATE(YEAR(Invoer!$A$5),1,1)+1))+2,1)</f>
        <v>83</v>
      </c>
      <c r="B710" t="str">
        <f ca="1">TEXT(DATE(YEAR(Invoer!$A$5),1,1)+MOD(ROWS(B$2:B710)-1,DATE(YEAR(Invoer!$A$5),12,31)-DATE(YEAR(Invoer!$A$5),1,1)+1),"jjjjmmdd")</f>
        <v>19431210</v>
      </c>
      <c r="C710" s="18">
        <v>1</v>
      </c>
      <c r="D710" s="23" t="str">
        <f t="shared" ca="1" si="22"/>
        <v>—</v>
      </c>
      <c r="E710" s="24">
        <f t="shared" ca="1" si="23"/>
        <v>7</v>
      </c>
    </row>
    <row r="711" spans="1:5" x14ac:dyDescent="0.25">
      <c r="A711" s="17">
        <f ca="1">INDEX(Stations,INT((ROWS(A$2:A711)-1)/(DATE(YEAR(Invoer!$A$5),12,31)-DATE(YEAR(Invoer!$A$5),1,1)+1))+2,1)</f>
        <v>83</v>
      </c>
      <c r="B711" t="str">
        <f ca="1">TEXT(DATE(YEAR(Invoer!$A$5),1,1)+MOD(ROWS(B$2:B711)-1,DATE(YEAR(Invoer!$A$5),12,31)-DATE(YEAR(Invoer!$A$5),1,1)+1),"jjjjmmdd")</f>
        <v>19431211</v>
      </c>
      <c r="C711" s="18">
        <v>1</v>
      </c>
      <c r="D711" s="23" t="str">
        <f t="shared" ca="1" si="22"/>
        <v>—</v>
      </c>
      <c r="E711" s="24">
        <f t="shared" ca="1" si="23"/>
        <v>7</v>
      </c>
    </row>
    <row r="712" spans="1:5" x14ac:dyDescent="0.25">
      <c r="A712" s="17">
        <f ca="1">INDEX(Stations,INT((ROWS(A$2:A712)-1)/(DATE(YEAR(Invoer!$A$5),12,31)-DATE(YEAR(Invoer!$A$5),1,1)+1))+2,1)</f>
        <v>83</v>
      </c>
      <c r="B712" t="str">
        <f ca="1">TEXT(DATE(YEAR(Invoer!$A$5),1,1)+MOD(ROWS(B$2:B712)-1,DATE(YEAR(Invoer!$A$5),12,31)-DATE(YEAR(Invoer!$A$5),1,1)+1),"jjjjmmdd")</f>
        <v>19431212</v>
      </c>
      <c r="C712" s="18">
        <v>1</v>
      </c>
      <c r="D712" s="23" t="str">
        <f t="shared" ca="1" si="22"/>
        <v>—</v>
      </c>
      <c r="E712" s="24">
        <f t="shared" ca="1" si="23"/>
        <v>7</v>
      </c>
    </row>
    <row r="713" spans="1:5" x14ac:dyDescent="0.25">
      <c r="A713" s="17">
        <f ca="1">INDEX(Stations,INT((ROWS(A$2:A713)-1)/(DATE(YEAR(Invoer!$A$5),12,31)-DATE(YEAR(Invoer!$A$5),1,1)+1))+2,1)</f>
        <v>83</v>
      </c>
      <c r="B713" t="str">
        <f ca="1">TEXT(DATE(YEAR(Invoer!$A$5),1,1)+MOD(ROWS(B$2:B713)-1,DATE(YEAR(Invoer!$A$5),12,31)-DATE(YEAR(Invoer!$A$5),1,1)+1),"jjjjmmdd")</f>
        <v>19431213</v>
      </c>
      <c r="C713" s="18">
        <v>1</v>
      </c>
      <c r="D713" s="23" t="str">
        <f t="shared" ca="1" si="22"/>
        <v>—</v>
      </c>
      <c r="E713" s="24">
        <f t="shared" ca="1" si="23"/>
        <v>7</v>
      </c>
    </row>
    <row r="714" spans="1:5" x14ac:dyDescent="0.25">
      <c r="A714" s="17">
        <f ca="1">INDEX(Stations,INT((ROWS(A$2:A714)-1)/(DATE(YEAR(Invoer!$A$5),12,31)-DATE(YEAR(Invoer!$A$5),1,1)+1))+2,1)</f>
        <v>83</v>
      </c>
      <c r="B714" t="str">
        <f ca="1">TEXT(DATE(YEAR(Invoer!$A$5),1,1)+MOD(ROWS(B$2:B714)-1,DATE(YEAR(Invoer!$A$5),12,31)-DATE(YEAR(Invoer!$A$5),1,1)+1),"jjjjmmdd")</f>
        <v>19431214</v>
      </c>
      <c r="C714" s="18">
        <v>1</v>
      </c>
      <c r="D714" s="23" t="str">
        <f t="shared" ca="1" si="22"/>
        <v>—</v>
      </c>
      <c r="E714" s="24">
        <f t="shared" ca="1" si="23"/>
        <v>7</v>
      </c>
    </row>
    <row r="715" spans="1:5" x14ac:dyDescent="0.25">
      <c r="A715" s="17">
        <f ca="1">INDEX(Stations,INT((ROWS(A$2:A715)-1)/(DATE(YEAR(Invoer!$A$5),12,31)-DATE(YEAR(Invoer!$A$5),1,1)+1))+2,1)</f>
        <v>83</v>
      </c>
      <c r="B715" t="str">
        <f ca="1">TEXT(DATE(YEAR(Invoer!$A$5),1,1)+MOD(ROWS(B$2:B715)-1,DATE(YEAR(Invoer!$A$5),12,31)-DATE(YEAR(Invoer!$A$5),1,1)+1),"jjjjmmdd")</f>
        <v>19431215</v>
      </c>
      <c r="C715" s="18">
        <v>1</v>
      </c>
      <c r="D715" s="23" t="str">
        <f t="shared" ca="1" si="22"/>
        <v>—</v>
      </c>
      <c r="E715" s="24">
        <f t="shared" ca="1" si="23"/>
        <v>7</v>
      </c>
    </row>
    <row r="716" spans="1:5" x14ac:dyDescent="0.25">
      <c r="A716" s="17">
        <f ca="1">INDEX(Stations,INT((ROWS(A$2:A716)-1)/(DATE(YEAR(Invoer!$A$5),12,31)-DATE(YEAR(Invoer!$A$5),1,1)+1))+2,1)</f>
        <v>83</v>
      </c>
      <c r="B716" t="str">
        <f ca="1">TEXT(DATE(YEAR(Invoer!$A$5),1,1)+MOD(ROWS(B$2:B716)-1,DATE(YEAR(Invoer!$A$5),12,31)-DATE(YEAR(Invoer!$A$5),1,1)+1),"jjjjmmdd")</f>
        <v>19431216</v>
      </c>
      <c r="C716" s="18">
        <v>1</v>
      </c>
      <c r="D716" s="23" t="str">
        <f t="shared" ca="1" si="22"/>
        <v>—</v>
      </c>
      <c r="E716" s="24">
        <f t="shared" ca="1" si="23"/>
        <v>7</v>
      </c>
    </row>
    <row r="717" spans="1:5" x14ac:dyDescent="0.25">
      <c r="A717" s="17">
        <f ca="1">INDEX(Stations,INT((ROWS(A$2:A717)-1)/(DATE(YEAR(Invoer!$A$5),12,31)-DATE(YEAR(Invoer!$A$5),1,1)+1))+2,1)</f>
        <v>83</v>
      </c>
      <c r="B717" t="str">
        <f ca="1">TEXT(DATE(YEAR(Invoer!$A$5),1,1)+MOD(ROWS(B$2:B717)-1,DATE(YEAR(Invoer!$A$5),12,31)-DATE(YEAR(Invoer!$A$5),1,1)+1),"jjjjmmdd")</f>
        <v>19431217</v>
      </c>
      <c r="C717" s="18">
        <v>1</v>
      </c>
      <c r="D717" s="23" t="str">
        <f t="shared" ca="1" si="22"/>
        <v>—</v>
      </c>
      <c r="E717" s="24">
        <f t="shared" ca="1" si="23"/>
        <v>7</v>
      </c>
    </row>
    <row r="718" spans="1:5" x14ac:dyDescent="0.25">
      <c r="A718" s="17">
        <f ca="1">INDEX(Stations,INT((ROWS(A$2:A718)-1)/(DATE(YEAR(Invoer!$A$5),12,31)-DATE(YEAR(Invoer!$A$5),1,1)+1))+2,1)</f>
        <v>83</v>
      </c>
      <c r="B718" t="str">
        <f ca="1">TEXT(DATE(YEAR(Invoer!$A$5),1,1)+MOD(ROWS(B$2:B718)-1,DATE(YEAR(Invoer!$A$5),12,31)-DATE(YEAR(Invoer!$A$5),1,1)+1),"jjjjmmdd")</f>
        <v>19431218</v>
      </c>
      <c r="C718" s="18">
        <v>1</v>
      </c>
      <c r="D718" s="23" t="str">
        <f t="shared" ca="1" si="22"/>
        <v>—</v>
      </c>
      <c r="E718" s="24">
        <f t="shared" ca="1" si="23"/>
        <v>7</v>
      </c>
    </row>
    <row r="719" spans="1:5" x14ac:dyDescent="0.25">
      <c r="A719" s="17">
        <f ca="1">INDEX(Stations,INT((ROWS(A$2:A719)-1)/(DATE(YEAR(Invoer!$A$5),12,31)-DATE(YEAR(Invoer!$A$5),1,1)+1))+2,1)</f>
        <v>83</v>
      </c>
      <c r="B719" t="str">
        <f ca="1">TEXT(DATE(YEAR(Invoer!$A$5),1,1)+MOD(ROWS(B$2:B719)-1,DATE(YEAR(Invoer!$A$5),12,31)-DATE(YEAR(Invoer!$A$5),1,1)+1),"jjjjmmdd")</f>
        <v>19431219</v>
      </c>
      <c r="C719" s="18">
        <v>1</v>
      </c>
      <c r="D719" s="23" t="str">
        <f t="shared" ca="1" si="22"/>
        <v>—</v>
      </c>
      <c r="E719" s="24">
        <f t="shared" ca="1" si="23"/>
        <v>7</v>
      </c>
    </row>
    <row r="720" spans="1:5" x14ac:dyDescent="0.25">
      <c r="A720" s="17">
        <f ca="1">INDEX(Stations,INT((ROWS(A$2:A720)-1)/(DATE(YEAR(Invoer!$A$5),12,31)-DATE(YEAR(Invoer!$A$5),1,1)+1))+2,1)</f>
        <v>83</v>
      </c>
      <c r="B720" t="str">
        <f ca="1">TEXT(DATE(YEAR(Invoer!$A$5),1,1)+MOD(ROWS(B$2:B720)-1,DATE(YEAR(Invoer!$A$5),12,31)-DATE(YEAR(Invoer!$A$5),1,1)+1),"jjjjmmdd")</f>
        <v>19431220</v>
      </c>
      <c r="C720" s="18">
        <v>1</v>
      </c>
      <c r="D720" s="23" t="str">
        <f t="shared" ca="1" si="22"/>
        <v>—</v>
      </c>
      <c r="E720" s="24">
        <f t="shared" ca="1" si="23"/>
        <v>7</v>
      </c>
    </row>
    <row r="721" spans="1:5" x14ac:dyDescent="0.25">
      <c r="A721" s="17">
        <f ca="1">INDEX(Stations,INT((ROWS(A$2:A721)-1)/(DATE(YEAR(Invoer!$A$5),12,31)-DATE(YEAR(Invoer!$A$5),1,1)+1))+2,1)</f>
        <v>83</v>
      </c>
      <c r="B721" t="str">
        <f ca="1">TEXT(DATE(YEAR(Invoer!$A$5),1,1)+MOD(ROWS(B$2:B721)-1,DATE(YEAR(Invoer!$A$5),12,31)-DATE(YEAR(Invoer!$A$5),1,1)+1),"jjjjmmdd")</f>
        <v>19431221</v>
      </c>
      <c r="C721" s="18">
        <v>1</v>
      </c>
      <c r="D721" s="23" t="str">
        <f t="shared" ca="1" si="22"/>
        <v>—</v>
      </c>
      <c r="E721" s="24">
        <f t="shared" ca="1" si="23"/>
        <v>7</v>
      </c>
    </row>
    <row r="722" spans="1:5" x14ac:dyDescent="0.25">
      <c r="A722" s="17">
        <f ca="1">INDEX(Stations,INT((ROWS(A$2:A722)-1)/(DATE(YEAR(Invoer!$A$5),12,31)-DATE(YEAR(Invoer!$A$5),1,1)+1))+2,1)</f>
        <v>83</v>
      </c>
      <c r="B722" t="str">
        <f ca="1">TEXT(DATE(YEAR(Invoer!$A$5),1,1)+MOD(ROWS(B$2:B722)-1,DATE(YEAR(Invoer!$A$5),12,31)-DATE(YEAR(Invoer!$A$5),1,1)+1),"jjjjmmdd")</f>
        <v>19431222</v>
      </c>
      <c r="C722" s="18">
        <v>1</v>
      </c>
      <c r="D722" s="23" t="str">
        <f t="shared" ca="1" si="22"/>
        <v>—</v>
      </c>
      <c r="E722" s="24">
        <f t="shared" ca="1" si="23"/>
        <v>7</v>
      </c>
    </row>
    <row r="723" spans="1:5" x14ac:dyDescent="0.25">
      <c r="A723" s="17">
        <f ca="1">INDEX(Stations,INT((ROWS(A$2:A723)-1)/(DATE(YEAR(Invoer!$A$5),12,31)-DATE(YEAR(Invoer!$A$5),1,1)+1))+2,1)</f>
        <v>83</v>
      </c>
      <c r="B723" t="str">
        <f ca="1">TEXT(DATE(YEAR(Invoer!$A$5),1,1)+MOD(ROWS(B$2:B723)-1,DATE(YEAR(Invoer!$A$5),12,31)-DATE(YEAR(Invoer!$A$5),1,1)+1),"jjjjmmdd")</f>
        <v>19431223</v>
      </c>
      <c r="C723" s="18">
        <v>1</v>
      </c>
      <c r="D723" s="23" t="str">
        <f t="shared" ca="1" si="22"/>
        <v>—</v>
      </c>
      <c r="E723" s="24">
        <f t="shared" ca="1" si="23"/>
        <v>7</v>
      </c>
    </row>
    <row r="724" spans="1:5" x14ac:dyDescent="0.25">
      <c r="A724" s="17">
        <f ca="1">INDEX(Stations,INT((ROWS(A$2:A724)-1)/(DATE(YEAR(Invoer!$A$5),12,31)-DATE(YEAR(Invoer!$A$5),1,1)+1))+2,1)</f>
        <v>83</v>
      </c>
      <c r="B724" t="str">
        <f ca="1">TEXT(DATE(YEAR(Invoer!$A$5),1,1)+MOD(ROWS(B$2:B724)-1,DATE(YEAR(Invoer!$A$5),12,31)-DATE(YEAR(Invoer!$A$5),1,1)+1),"jjjjmmdd")</f>
        <v>19431224</v>
      </c>
      <c r="C724" s="18">
        <v>1</v>
      </c>
      <c r="D724" s="23" t="str">
        <f t="shared" ca="1" si="22"/>
        <v>—</v>
      </c>
      <c r="E724" s="24">
        <f t="shared" ca="1" si="23"/>
        <v>7</v>
      </c>
    </row>
    <row r="725" spans="1:5" x14ac:dyDescent="0.25">
      <c r="A725" s="17">
        <f ca="1">INDEX(Stations,INT((ROWS(A$2:A725)-1)/(DATE(YEAR(Invoer!$A$5),12,31)-DATE(YEAR(Invoer!$A$5),1,1)+1))+2,1)</f>
        <v>83</v>
      </c>
      <c r="B725" t="str">
        <f ca="1">TEXT(DATE(YEAR(Invoer!$A$5),1,1)+MOD(ROWS(B$2:B725)-1,DATE(YEAR(Invoer!$A$5),12,31)-DATE(YEAR(Invoer!$A$5),1,1)+1),"jjjjmmdd")</f>
        <v>19431225</v>
      </c>
      <c r="C725" s="18">
        <v>1</v>
      </c>
      <c r="D725" s="23" t="str">
        <f t="shared" ca="1" si="22"/>
        <v>—</v>
      </c>
      <c r="E725" s="24">
        <f t="shared" ca="1" si="23"/>
        <v>7</v>
      </c>
    </row>
    <row r="726" spans="1:5" x14ac:dyDescent="0.25">
      <c r="A726" s="17">
        <f ca="1">INDEX(Stations,INT((ROWS(A$2:A726)-1)/(DATE(YEAR(Invoer!$A$5),12,31)-DATE(YEAR(Invoer!$A$5),1,1)+1))+2,1)</f>
        <v>83</v>
      </c>
      <c r="B726" t="str">
        <f ca="1">TEXT(DATE(YEAR(Invoer!$A$5),1,1)+MOD(ROWS(B$2:B726)-1,DATE(YEAR(Invoer!$A$5),12,31)-DATE(YEAR(Invoer!$A$5),1,1)+1),"jjjjmmdd")</f>
        <v>19431226</v>
      </c>
      <c r="C726" s="18">
        <v>1</v>
      </c>
      <c r="D726" s="23" t="str">
        <f t="shared" ca="1" si="22"/>
        <v>—</v>
      </c>
      <c r="E726" s="24">
        <f t="shared" ca="1" si="23"/>
        <v>7</v>
      </c>
    </row>
    <row r="727" spans="1:5" x14ac:dyDescent="0.25">
      <c r="A727" s="17">
        <f ca="1">INDEX(Stations,INT((ROWS(A$2:A727)-1)/(DATE(YEAR(Invoer!$A$5),12,31)-DATE(YEAR(Invoer!$A$5),1,1)+1))+2,1)</f>
        <v>83</v>
      </c>
      <c r="B727" t="str">
        <f ca="1">TEXT(DATE(YEAR(Invoer!$A$5),1,1)+MOD(ROWS(B$2:B727)-1,DATE(YEAR(Invoer!$A$5),12,31)-DATE(YEAR(Invoer!$A$5),1,1)+1),"jjjjmmdd")</f>
        <v>19431227</v>
      </c>
      <c r="C727" s="18">
        <v>1</v>
      </c>
      <c r="D727" s="23" t="str">
        <f t="shared" ca="1" si="22"/>
        <v>—</v>
      </c>
      <c r="E727" s="24">
        <f t="shared" ca="1" si="23"/>
        <v>7</v>
      </c>
    </row>
    <row r="728" spans="1:5" x14ac:dyDescent="0.25">
      <c r="A728" s="17">
        <f ca="1">INDEX(Stations,INT((ROWS(A$2:A728)-1)/(DATE(YEAR(Invoer!$A$5),12,31)-DATE(YEAR(Invoer!$A$5),1,1)+1))+2,1)</f>
        <v>83</v>
      </c>
      <c r="B728" t="str">
        <f ca="1">TEXT(DATE(YEAR(Invoer!$A$5),1,1)+MOD(ROWS(B$2:B728)-1,DATE(YEAR(Invoer!$A$5),12,31)-DATE(YEAR(Invoer!$A$5),1,1)+1),"jjjjmmdd")</f>
        <v>19431228</v>
      </c>
      <c r="C728" s="18">
        <v>1</v>
      </c>
      <c r="D728" s="23" t="str">
        <f t="shared" ca="1" si="22"/>
        <v>—</v>
      </c>
      <c r="E728" s="24">
        <f t="shared" ca="1" si="23"/>
        <v>7</v>
      </c>
    </row>
    <row r="729" spans="1:5" x14ac:dyDescent="0.25">
      <c r="A729" s="17">
        <f ca="1">INDEX(Stations,INT((ROWS(A$2:A729)-1)/(DATE(YEAR(Invoer!$A$5),12,31)-DATE(YEAR(Invoer!$A$5),1,1)+1))+2,1)</f>
        <v>83</v>
      </c>
      <c r="B729" t="str">
        <f ca="1">TEXT(DATE(YEAR(Invoer!$A$5),1,1)+MOD(ROWS(B$2:B729)-1,DATE(YEAR(Invoer!$A$5),12,31)-DATE(YEAR(Invoer!$A$5),1,1)+1),"jjjjmmdd")</f>
        <v>19431229</v>
      </c>
      <c r="C729" s="18">
        <v>1</v>
      </c>
      <c r="D729" s="23" t="str">
        <f t="shared" ca="1" si="22"/>
        <v>—</v>
      </c>
      <c r="E729" s="24">
        <f t="shared" ca="1" si="23"/>
        <v>7</v>
      </c>
    </row>
    <row r="730" spans="1:5" x14ac:dyDescent="0.25">
      <c r="A730" s="17">
        <f ca="1">INDEX(Stations,INT((ROWS(A$2:A730)-1)/(DATE(YEAR(Invoer!$A$5),12,31)-DATE(YEAR(Invoer!$A$5),1,1)+1))+2,1)</f>
        <v>83</v>
      </c>
      <c r="B730" t="str">
        <f ca="1">TEXT(DATE(YEAR(Invoer!$A$5),1,1)+MOD(ROWS(B$2:B730)-1,DATE(YEAR(Invoer!$A$5),12,31)-DATE(YEAR(Invoer!$A$5),1,1)+1),"jjjjmmdd")</f>
        <v>19431230</v>
      </c>
      <c r="C730" s="18">
        <v>1</v>
      </c>
      <c r="D730" s="23" t="str">
        <f t="shared" ca="1" si="22"/>
        <v>—</v>
      </c>
      <c r="E730" s="24">
        <f t="shared" ca="1" si="23"/>
        <v>7</v>
      </c>
    </row>
    <row r="731" spans="1:5" x14ac:dyDescent="0.25">
      <c r="A731" s="17">
        <f ca="1">INDEX(Stations,INT((ROWS(A$2:A731)-1)/(DATE(YEAR(Invoer!$A$5),12,31)-DATE(YEAR(Invoer!$A$5),1,1)+1))+2,1)</f>
        <v>83</v>
      </c>
      <c r="B731" t="str">
        <f ca="1">TEXT(DATE(YEAR(Invoer!$A$5),1,1)+MOD(ROWS(B$2:B731)-1,DATE(YEAR(Invoer!$A$5),12,31)-DATE(YEAR(Invoer!$A$5),1,1)+1),"jjjjmmdd")</f>
        <v>19431231</v>
      </c>
      <c r="C731" s="18">
        <v>1</v>
      </c>
      <c r="D731" s="23" t="str">
        <f t="shared" ca="1" si="22"/>
        <v>—</v>
      </c>
      <c r="E731" s="24">
        <f t="shared" ca="1" si="23"/>
        <v>7</v>
      </c>
    </row>
    <row r="732" spans="1:5" x14ac:dyDescent="0.25">
      <c r="A732" s="17">
        <f ca="1">INDEX(Stations,INT((ROWS(A$2:A732)-1)/(DATE(YEAR(Invoer!$A$5),12,31)-DATE(YEAR(Invoer!$A$5),1,1)+1))+2,1)</f>
        <v>82</v>
      </c>
      <c r="B732" t="str">
        <f ca="1">TEXT(DATE(YEAR(Invoer!$A$5),1,1)+MOD(ROWS(B$2:B732)-1,DATE(YEAR(Invoer!$A$5),12,31)-DATE(YEAR(Invoer!$A$5),1,1)+1),"jjjjmmdd")</f>
        <v>19430101</v>
      </c>
      <c r="C732" s="18">
        <v>1</v>
      </c>
      <c r="D732" s="23" t="str">
        <f t="shared" ca="1" si="22"/>
        <v>—</v>
      </c>
      <c r="E732" s="24">
        <f t="shared" ca="1" si="23"/>
        <v>7</v>
      </c>
    </row>
    <row r="733" spans="1:5" x14ac:dyDescent="0.25">
      <c r="A733" s="17">
        <f ca="1">INDEX(Stations,INT((ROWS(A$2:A733)-1)/(DATE(YEAR(Invoer!$A$5),12,31)-DATE(YEAR(Invoer!$A$5),1,1)+1))+2,1)</f>
        <v>82</v>
      </c>
      <c r="B733" t="str">
        <f ca="1">TEXT(DATE(YEAR(Invoer!$A$5),1,1)+MOD(ROWS(B$2:B733)-1,DATE(YEAR(Invoer!$A$5),12,31)-DATE(YEAR(Invoer!$A$5),1,1)+1),"jjjjmmdd")</f>
        <v>19430102</v>
      </c>
      <c r="C733" s="18">
        <v>1</v>
      </c>
      <c r="D733" s="23" t="str">
        <f t="shared" ca="1" si="22"/>
        <v>—</v>
      </c>
      <c r="E733" s="24">
        <f t="shared" ca="1" si="23"/>
        <v>7</v>
      </c>
    </row>
    <row r="734" spans="1:5" x14ac:dyDescent="0.25">
      <c r="A734" s="17">
        <f ca="1">INDEX(Stations,INT((ROWS(A$2:A734)-1)/(DATE(YEAR(Invoer!$A$5),12,31)-DATE(YEAR(Invoer!$A$5),1,1)+1))+2,1)</f>
        <v>82</v>
      </c>
      <c r="B734" t="str">
        <f ca="1">TEXT(DATE(YEAR(Invoer!$A$5),1,1)+MOD(ROWS(B$2:B734)-1,DATE(YEAR(Invoer!$A$5),12,31)-DATE(YEAR(Invoer!$A$5),1,1)+1),"jjjjmmdd")</f>
        <v>19430103</v>
      </c>
      <c r="C734" s="18">
        <v>1</v>
      </c>
      <c r="D734" s="23" t="str">
        <f t="shared" ca="1" si="22"/>
        <v>—</v>
      </c>
      <c r="E734" s="24">
        <f t="shared" ca="1" si="23"/>
        <v>7</v>
      </c>
    </row>
    <row r="735" spans="1:5" x14ac:dyDescent="0.25">
      <c r="A735" s="17">
        <f ca="1">INDEX(Stations,INT((ROWS(A$2:A735)-1)/(DATE(YEAR(Invoer!$A$5),12,31)-DATE(YEAR(Invoer!$A$5),1,1)+1))+2,1)</f>
        <v>82</v>
      </c>
      <c r="B735" t="str">
        <f ca="1">TEXT(DATE(YEAR(Invoer!$A$5),1,1)+MOD(ROWS(B$2:B735)-1,DATE(YEAR(Invoer!$A$5),12,31)-DATE(YEAR(Invoer!$A$5),1,1)+1),"jjjjmmdd")</f>
        <v>19430104</v>
      </c>
      <c r="C735" s="18">
        <v>1</v>
      </c>
      <c r="D735" s="23" t="str">
        <f t="shared" ca="1" si="22"/>
        <v>—</v>
      </c>
      <c r="E735" s="24">
        <f t="shared" ca="1" si="23"/>
        <v>7</v>
      </c>
    </row>
    <row r="736" spans="1:5" x14ac:dyDescent="0.25">
      <c r="A736" s="17">
        <f ca="1">INDEX(Stations,INT((ROWS(A$2:A736)-1)/(DATE(YEAR(Invoer!$A$5),12,31)-DATE(YEAR(Invoer!$A$5),1,1)+1))+2,1)</f>
        <v>82</v>
      </c>
      <c r="B736" t="str">
        <f ca="1">TEXT(DATE(YEAR(Invoer!$A$5),1,1)+MOD(ROWS(B$2:B736)-1,DATE(YEAR(Invoer!$A$5),12,31)-DATE(YEAR(Invoer!$A$5),1,1)+1),"jjjjmmdd")</f>
        <v>19430105</v>
      </c>
      <c r="C736" s="18">
        <v>1</v>
      </c>
      <c r="D736" s="23" t="str">
        <f t="shared" ca="1" si="22"/>
        <v>—</v>
      </c>
      <c r="E736" s="24">
        <f t="shared" ca="1" si="23"/>
        <v>7</v>
      </c>
    </row>
    <row r="737" spans="1:5" x14ac:dyDescent="0.25">
      <c r="A737" s="17">
        <f ca="1">INDEX(Stations,INT((ROWS(A$2:A737)-1)/(DATE(YEAR(Invoer!$A$5),12,31)-DATE(YEAR(Invoer!$A$5),1,1)+1))+2,1)</f>
        <v>82</v>
      </c>
      <c r="B737" t="str">
        <f ca="1">TEXT(DATE(YEAR(Invoer!$A$5),1,1)+MOD(ROWS(B$2:B737)-1,DATE(YEAR(Invoer!$A$5),12,31)-DATE(YEAR(Invoer!$A$5),1,1)+1),"jjjjmmdd")</f>
        <v>19430106</v>
      </c>
      <c r="C737" s="18">
        <v>1</v>
      </c>
      <c r="D737" s="23" t="str">
        <f t="shared" ca="1" si="22"/>
        <v>—</v>
      </c>
      <c r="E737" s="24">
        <f t="shared" ca="1" si="23"/>
        <v>7</v>
      </c>
    </row>
    <row r="738" spans="1:5" x14ac:dyDescent="0.25">
      <c r="A738" s="17">
        <f ca="1">INDEX(Stations,INT((ROWS(A$2:A738)-1)/(DATE(YEAR(Invoer!$A$5),12,31)-DATE(YEAR(Invoer!$A$5),1,1)+1))+2,1)</f>
        <v>82</v>
      </c>
      <c r="B738" t="str">
        <f ca="1">TEXT(DATE(YEAR(Invoer!$A$5),1,1)+MOD(ROWS(B$2:B738)-1,DATE(YEAR(Invoer!$A$5),12,31)-DATE(YEAR(Invoer!$A$5),1,1)+1),"jjjjmmdd")</f>
        <v>19430107</v>
      </c>
      <c r="C738" s="18">
        <v>1</v>
      </c>
      <c r="D738" s="23" t="str">
        <f t="shared" ca="1" si="22"/>
        <v>—</v>
      </c>
      <c r="E738" s="24">
        <f t="shared" ca="1" si="23"/>
        <v>7</v>
      </c>
    </row>
    <row r="739" spans="1:5" x14ac:dyDescent="0.25">
      <c r="A739" s="17">
        <f ca="1">INDEX(Stations,INT((ROWS(A$2:A739)-1)/(DATE(YEAR(Invoer!$A$5),12,31)-DATE(YEAR(Invoer!$A$5),1,1)+1))+2,1)</f>
        <v>82</v>
      </c>
      <c r="B739" t="str">
        <f ca="1">TEXT(DATE(YEAR(Invoer!$A$5),1,1)+MOD(ROWS(B$2:B739)-1,DATE(YEAR(Invoer!$A$5),12,31)-DATE(YEAR(Invoer!$A$5),1,1)+1),"jjjjmmdd")</f>
        <v>19430108</v>
      </c>
      <c r="C739" s="18">
        <v>1</v>
      </c>
      <c r="D739" s="23" t="str">
        <f t="shared" ca="1" si="22"/>
        <v>—</v>
      </c>
      <c r="E739" s="24">
        <f t="shared" ca="1" si="23"/>
        <v>7</v>
      </c>
    </row>
    <row r="740" spans="1:5" x14ac:dyDescent="0.25">
      <c r="A740" s="17">
        <f ca="1">INDEX(Stations,INT((ROWS(A$2:A740)-1)/(DATE(YEAR(Invoer!$A$5),12,31)-DATE(YEAR(Invoer!$A$5),1,1)+1))+2,1)</f>
        <v>82</v>
      </c>
      <c r="B740" t="str">
        <f ca="1">TEXT(DATE(YEAR(Invoer!$A$5),1,1)+MOD(ROWS(B$2:B740)-1,DATE(YEAR(Invoer!$A$5),12,31)-DATE(YEAR(Invoer!$A$5),1,1)+1),"jjjjmmdd")</f>
        <v>19430109</v>
      </c>
      <c r="C740" s="18">
        <v>1</v>
      </c>
      <c r="D740" s="23" t="str">
        <f t="shared" ca="1" si="22"/>
        <v>—</v>
      </c>
      <c r="E740" s="24">
        <f t="shared" ca="1" si="23"/>
        <v>7</v>
      </c>
    </row>
    <row r="741" spans="1:5" x14ac:dyDescent="0.25">
      <c r="A741" s="17">
        <f ca="1">INDEX(Stations,INT((ROWS(A$2:A741)-1)/(DATE(YEAR(Invoer!$A$5),12,31)-DATE(YEAR(Invoer!$A$5),1,1)+1))+2,1)</f>
        <v>82</v>
      </c>
      <c r="B741" t="str">
        <f ca="1">TEXT(DATE(YEAR(Invoer!$A$5),1,1)+MOD(ROWS(B$2:B741)-1,DATE(YEAR(Invoer!$A$5),12,31)-DATE(YEAR(Invoer!$A$5),1,1)+1),"jjjjmmdd")</f>
        <v>19430110</v>
      </c>
      <c r="C741" s="18">
        <v>1</v>
      </c>
      <c r="D741" s="23" t="str">
        <f t="shared" ca="1" si="22"/>
        <v>—</v>
      </c>
      <c r="E741" s="24">
        <f t="shared" ca="1" si="23"/>
        <v>7</v>
      </c>
    </row>
    <row r="742" spans="1:5" x14ac:dyDescent="0.25">
      <c r="A742" s="17">
        <f ca="1">INDEX(Stations,INT((ROWS(A$2:A742)-1)/(DATE(YEAR(Invoer!$A$5),12,31)-DATE(YEAR(Invoer!$A$5),1,1)+1))+2,1)</f>
        <v>82</v>
      </c>
      <c r="B742" t="str">
        <f ca="1">TEXT(DATE(YEAR(Invoer!$A$5),1,1)+MOD(ROWS(B$2:B742)-1,DATE(YEAR(Invoer!$A$5),12,31)-DATE(YEAR(Invoer!$A$5),1,1)+1),"jjjjmmdd")</f>
        <v>19430111</v>
      </c>
      <c r="C742" s="18">
        <v>1</v>
      </c>
      <c r="D742" s="23" t="str">
        <f t="shared" ca="1" si="22"/>
        <v>—</v>
      </c>
      <c r="E742" s="24">
        <f t="shared" ca="1" si="23"/>
        <v>7</v>
      </c>
    </row>
    <row r="743" spans="1:5" x14ac:dyDescent="0.25">
      <c r="A743" s="17">
        <f ca="1">INDEX(Stations,INT((ROWS(A$2:A743)-1)/(DATE(YEAR(Invoer!$A$5),12,31)-DATE(YEAR(Invoer!$A$5),1,1)+1))+2,1)</f>
        <v>82</v>
      </c>
      <c r="B743" t="str">
        <f ca="1">TEXT(DATE(YEAR(Invoer!$A$5),1,1)+MOD(ROWS(B$2:B743)-1,DATE(YEAR(Invoer!$A$5),12,31)-DATE(YEAR(Invoer!$A$5),1,1)+1),"jjjjmmdd")</f>
        <v>19430112</v>
      </c>
      <c r="C743" s="18">
        <v>1</v>
      </c>
      <c r="D743" s="23" t="str">
        <f t="shared" ca="1" si="22"/>
        <v>—</v>
      </c>
      <c r="E743" s="24">
        <f t="shared" ca="1" si="23"/>
        <v>7</v>
      </c>
    </row>
    <row r="744" spans="1:5" x14ac:dyDescent="0.25">
      <c r="A744" s="17">
        <f ca="1">INDEX(Stations,INT((ROWS(A$2:A744)-1)/(DATE(YEAR(Invoer!$A$5),12,31)-DATE(YEAR(Invoer!$A$5),1,1)+1))+2,1)</f>
        <v>82</v>
      </c>
      <c r="B744" t="str">
        <f ca="1">TEXT(DATE(YEAR(Invoer!$A$5),1,1)+MOD(ROWS(B$2:B744)-1,DATE(YEAR(Invoer!$A$5),12,31)-DATE(YEAR(Invoer!$A$5),1,1)+1),"jjjjmmdd")</f>
        <v>19430113</v>
      </c>
      <c r="C744" s="18">
        <v>1</v>
      </c>
      <c r="D744" s="23" t="str">
        <f t="shared" ca="1" si="22"/>
        <v>—</v>
      </c>
      <c r="E744" s="24">
        <f t="shared" ca="1" si="23"/>
        <v>7</v>
      </c>
    </row>
    <row r="745" spans="1:5" x14ac:dyDescent="0.25">
      <c r="A745" s="17">
        <f ca="1">INDEX(Stations,INT((ROWS(A$2:A745)-1)/(DATE(YEAR(Invoer!$A$5),12,31)-DATE(YEAR(Invoer!$A$5),1,1)+1))+2,1)</f>
        <v>82</v>
      </c>
      <c r="B745" t="str">
        <f ca="1">TEXT(DATE(YEAR(Invoer!$A$5),1,1)+MOD(ROWS(B$2:B745)-1,DATE(YEAR(Invoer!$A$5),12,31)-DATE(YEAR(Invoer!$A$5),1,1)+1),"jjjjmmdd")</f>
        <v>19430114</v>
      </c>
      <c r="C745" s="18">
        <v>1</v>
      </c>
      <c r="D745" s="23" t="str">
        <f t="shared" ca="1" si="22"/>
        <v>—</v>
      </c>
      <c r="E745" s="24">
        <f t="shared" ca="1" si="23"/>
        <v>7</v>
      </c>
    </row>
    <row r="746" spans="1:5" x14ac:dyDescent="0.25">
      <c r="A746" s="17">
        <f ca="1">INDEX(Stations,INT((ROWS(A$2:A746)-1)/(DATE(YEAR(Invoer!$A$5),12,31)-DATE(YEAR(Invoer!$A$5),1,1)+1))+2,1)</f>
        <v>82</v>
      </c>
      <c r="B746" t="str">
        <f ca="1">TEXT(DATE(YEAR(Invoer!$A$5),1,1)+MOD(ROWS(B$2:B746)-1,DATE(YEAR(Invoer!$A$5),12,31)-DATE(YEAR(Invoer!$A$5),1,1)+1),"jjjjmmdd")</f>
        <v>19430115</v>
      </c>
      <c r="C746" s="18">
        <v>1</v>
      </c>
      <c r="D746" s="23" t="str">
        <f t="shared" ca="1" si="22"/>
        <v>—</v>
      </c>
      <c r="E746" s="24">
        <f t="shared" ca="1" si="23"/>
        <v>7</v>
      </c>
    </row>
    <row r="747" spans="1:5" x14ac:dyDescent="0.25">
      <c r="A747" s="17">
        <f ca="1">INDEX(Stations,INT((ROWS(A$2:A747)-1)/(DATE(YEAR(Invoer!$A$5),12,31)-DATE(YEAR(Invoer!$A$5),1,1)+1))+2,1)</f>
        <v>82</v>
      </c>
      <c r="B747" t="str">
        <f ca="1">TEXT(DATE(YEAR(Invoer!$A$5),1,1)+MOD(ROWS(B$2:B747)-1,DATE(YEAR(Invoer!$A$5),12,31)-DATE(YEAR(Invoer!$A$5),1,1)+1),"jjjjmmdd")</f>
        <v>19430116</v>
      </c>
      <c r="C747" s="18">
        <v>1</v>
      </c>
      <c r="D747" s="23" t="str">
        <f t="shared" ca="1" si="22"/>
        <v>—</v>
      </c>
      <c r="E747" s="24">
        <f t="shared" ca="1" si="23"/>
        <v>7</v>
      </c>
    </row>
    <row r="748" spans="1:5" x14ac:dyDescent="0.25">
      <c r="A748" s="17">
        <f ca="1">INDEX(Stations,INT((ROWS(A$2:A748)-1)/(DATE(YEAR(Invoer!$A$5),12,31)-DATE(YEAR(Invoer!$A$5),1,1)+1))+2,1)</f>
        <v>82</v>
      </c>
      <c r="B748" t="str">
        <f ca="1">TEXT(DATE(YEAR(Invoer!$A$5),1,1)+MOD(ROWS(B$2:B748)-1,DATE(YEAR(Invoer!$A$5),12,31)-DATE(YEAR(Invoer!$A$5),1,1)+1),"jjjjmmdd")</f>
        <v>19430117</v>
      </c>
      <c r="C748" s="18">
        <v>1</v>
      </c>
      <c r="D748" s="23" t="str">
        <f t="shared" ca="1" si="22"/>
        <v>—</v>
      </c>
      <c r="E748" s="24">
        <f t="shared" ca="1" si="23"/>
        <v>7</v>
      </c>
    </row>
    <row r="749" spans="1:5" x14ac:dyDescent="0.25">
      <c r="A749" s="17">
        <f ca="1">INDEX(Stations,INT((ROWS(A$2:A749)-1)/(DATE(YEAR(Invoer!$A$5),12,31)-DATE(YEAR(Invoer!$A$5),1,1)+1))+2,1)</f>
        <v>82</v>
      </c>
      <c r="B749" t="str">
        <f ca="1">TEXT(DATE(YEAR(Invoer!$A$5),1,1)+MOD(ROWS(B$2:B749)-1,DATE(YEAR(Invoer!$A$5),12,31)-DATE(YEAR(Invoer!$A$5),1,1)+1),"jjjjmmdd")</f>
        <v>19430118</v>
      </c>
      <c r="C749" s="18">
        <v>1</v>
      </c>
      <c r="D749" s="23" t="str">
        <f t="shared" ca="1" si="22"/>
        <v>—</v>
      </c>
      <c r="E749" s="24">
        <f t="shared" ca="1" si="23"/>
        <v>7</v>
      </c>
    </row>
    <row r="750" spans="1:5" x14ac:dyDescent="0.25">
      <c r="A750" s="17">
        <f ca="1">INDEX(Stations,INT((ROWS(A$2:A750)-1)/(DATE(YEAR(Invoer!$A$5),12,31)-DATE(YEAR(Invoer!$A$5),1,1)+1))+2,1)</f>
        <v>82</v>
      </c>
      <c r="B750" t="str">
        <f ca="1">TEXT(DATE(YEAR(Invoer!$A$5),1,1)+MOD(ROWS(B$2:B750)-1,DATE(YEAR(Invoer!$A$5),12,31)-DATE(YEAR(Invoer!$A$5),1,1)+1),"jjjjmmdd")</f>
        <v>19430119</v>
      </c>
      <c r="C750" s="18">
        <v>1</v>
      </c>
      <c r="D750" s="23" t="str">
        <f t="shared" ca="1" si="22"/>
        <v>—</v>
      </c>
      <c r="E750" s="24">
        <f t="shared" ca="1" si="23"/>
        <v>7</v>
      </c>
    </row>
    <row r="751" spans="1:5" x14ac:dyDescent="0.25">
      <c r="A751" s="17">
        <f ca="1">INDEX(Stations,INT((ROWS(A$2:A751)-1)/(DATE(YEAR(Invoer!$A$5),12,31)-DATE(YEAR(Invoer!$A$5),1,1)+1))+2,1)</f>
        <v>82</v>
      </c>
      <c r="B751" t="str">
        <f ca="1">TEXT(DATE(YEAR(Invoer!$A$5),1,1)+MOD(ROWS(B$2:B751)-1,DATE(YEAR(Invoer!$A$5),12,31)-DATE(YEAR(Invoer!$A$5),1,1)+1),"jjjjmmdd")</f>
        <v>19430120</v>
      </c>
      <c r="C751" s="18">
        <v>1</v>
      </c>
      <c r="D751" s="23" t="str">
        <f t="shared" ca="1" si="22"/>
        <v>—</v>
      </c>
      <c r="E751" s="24">
        <f t="shared" ca="1" si="23"/>
        <v>7</v>
      </c>
    </row>
    <row r="752" spans="1:5" x14ac:dyDescent="0.25">
      <c r="A752" s="17">
        <f ca="1">INDEX(Stations,INT((ROWS(A$2:A752)-1)/(DATE(YEAR(Invoer!$A$5),12,31)-DATE(YEAR(Invoer!$A$5),1,1)+1))+2,1)</f>
        <v>82</v>
      </c>
      <c r="B752" t="str">
        <f ca="1">TEXT(DATE(YEAR(Invoer!$A$5),1,1)+MOD(ROWS(B$2:B752)-1,DATE(YEAR(Invoer!$A$5),12,31)-DATE(YEAR(Invoer!$A$5),1,1)+1),"jjjjmmdd")</f>
        <v>19430121</v>
      </c>
      <c r="C752" s="18">
        <v>1</v>
      </c>
      <c r="D752" s="23" t="str">
        <f t="shared" ca="1" si="22"/>
        <v>—</v>
      </c>
      <c r="E752" s="24">
        <f t="shared" ca="1" si="23"/>
        <v>7</v>
      </c>
    </row>
    <row r="753" spans="1:5" x14ac:dyDescent="0.25">
      <c r="A753" s="17">
        <f ca="1">INDEX(Stations,INT((ROWS(A$2:A753)-1)/(DATE(YEAR(Invoer!$A$5),12,31)-DATE(YEAR(Invoer!$A$5),1,1)+1))+2,1)</f>
        <v>82</v>
      </c>
      <c r="B753" t="str">
        <f ca="1">TEXT(DATE(YEAR(Invoer!$A$5),1,1)+MOD(ROWS(B$2:B753)-1,DATE(YEAR(Invoer!$A$5),12,31)-DATE(YEAR(Invoer!$A$5),1,1)+1),"jjjjmmdd")</f>
        <v>19430122</v>
      </c>
      <c r="C753" s="18">
        <v>1</v>
      </c>
      <c r="D753" s="23" t="str">
        <f t="shared" ca="1" si="22"/>
        <v>—</v>
      </c>
      <c r="E753" s="24">
        <f t="shared" ca="1" si="23"/>
        <v>7</v>
      </c>
    </row>
    <row r="754" spans="1:5" x14ac:dyDescent="0.25">
      <c r="A754" s="17">
        <f ca="1">INDEX(Stations,INT((ROWS(A$2:A754)-1)/(DATE(YEAR(Invoer!$A$5),12,31)-DATE(YEAR(Invoer!$A$5),1,1)+1))+2,1)</f>
        <v>82</v>
      </c>
      <c r="B754" t="str">
        <f ca="1">TEXT(DATE(YEAR(Invoer!$A$5),1,1)+MOD(ROWS(B$2:B754)-1,DATE(YEAR(Invoer!$A$5),12,31)-DATE(YEAR(Invoer!$A$5),1,1)+1),"jjjjmmdd")</f>
        <v>19430123</v>
      </c>
      <c r="C754" s="18">
        <v>1</v>
      </c>
      <c r="D754" s="23" t="str">
        <f t="shared" ca="1" si="22"/>
        <v>—</v>
      </c>
      <c r="E754" s="24">
        <f t="shared" ca="1" si="23"/>
        <v>7</v>
      </c>
    </row>
    <row r="755" spans="1:5" x14ac:dyDescent="0.25">
      <c r="A755" s="17">
        <f ca="1">INDEX(Stations,INT((ROWS(A$2:A755)-1)/(DATE(YEAR(Invoer!$A$5),12,31)-DATE(YEAR(Invoer!$A$5),1,1)+1))+2,1)</f>
        <v>82</v>
      </c>
      <c r="B755" t="str">
        <f ca="1">TEXT(DATE(YEAR(Invoer!$A$5),1,1)+MOD(ROWS(B$2:B755)-1,DATE(YEAR(Invoer!$A$5),12,31)-DATE(YEAR(Invoer!$A$5),1,1)+1),"jjjjmmdd")</f>
        <v>19430124</v>
      </c>
      <c r="C755" s="18">
        <v>1</v>
      </c>
      <c r="D755" s="23" t="str">
        <f t="shared" ca="1" si="22"/>
        <v>—</v>
      </c>
      <c r="E755" s="24">
        <f t="shared" ca="1" si="23"/>
        <v>7</v>
      </c>
    </row>
    <row r="756" spans="1:5" x14ac:dyDescent="0.25">
      <c r="A756" s="17">
        <f ca="1">INDEX(Stations,INT((ROWS(A$2:A756)-1)/(DATE(YEAR(Invoer!$A$5),12,31)-DATE(YEAR(Invoer!$A$5),1,1)+1))+2,1)</f>
        <v>82</v>
      </c>
      <c r="B756" t="str">
        <f ca="1">TEXT(DATE(YEAR(Invoer!$A$5),1,1)+MOD(ROWS(B$2:B756)-1,DATE(YEAR(Invoer!$A$5),12,31)-DATE(YEAR(Invoer!$A$5),1,1)+1),"jjjjmmdd")</f>
        <v>19430125</v>
      </c>
      <c r="C756" s="18">
        <v>1</v>
      </c>
      <c r="D756" s="23" t="str">
        <f t="shared" ca="1" si="22"/>
        <v>—</v>
      </c>
      <c r="E756" s="24">
        <f t="shared" ca="1" si="23"/>
        <v>7</v>
      </c>
    </row>
    <row r="757" spans="1:5" x14ac:dyDescent="0.25">
      <c r="A757" s="17">
        <f ca="1">INDEX(Stations,INT((ROWS(A$2:A757)-1)/(DATE(YEAR(Invoer!$A$5),12,31)-DATE(YEAR(Invoer!$A$5),1,1)+1))+2,1)</f>
        <v>82</v>
      </c>
      <c r="B757" t="str">
        <f ca="1">TEXT(DATE(YEAR(Invoer!$A$5),1,1)+MOD(ROWS(B$2:B757)-1,DATE(YEAR(Invoer!$A$5),12,31)-DATE(YEAR(Invoer!$A$5),1,1)+1),"jjjjmmdd")</f>
        <v>19430126</v>
      </c>
      <c r="C757" s="18">
        <v>1</v>
      </c>
      <c r="D757" s="23" t="str">
        <f t="shared" ca="1" si="22"/>
        <v>—</v>
      </c>
      <c r="E757" s="24">
        <f t="shared" ca="1" si="23"/>
        <v>7</v>
      </c>
    </row>
    <row r="758" spans="1:5" x14ac:dyDescent="0.25">
      <c r="A758" s="17">
        <f ca="1">INDEX(Stations,INT((ROWS(A$2:A758)-1)/(DATE(YEAR(Invoer!$A$5),12,31)-DATE(YEAR(Invoer!$A$5),1,1)+1))+2,1)</f>
        <v>82</v>
      </c>
      <c r="B758" t="str">
        <f ca="1">TEXT(DATE(YEAR(Invoer!$A$5),1,1)+MOD(ROWS(B$2:B758)-1,DATE(YEAR(Invoer!$A$5),12,31)-DATE(YEAR(Invoer!$A$5),1,1)+1),"jjjjmmdd")</f>
        <v>19430127</v>
      </c>
      <c r="C758" s="18">
        <v>1</v>
      </c>
      <c r="D758" s="23" t="str">
        <f t="shared" ca="1" si="22"/>
        <v>—</v>
      </c>
      <c r="E758" s="24">
        <f t="shared" ca="1" si="23"/>
        <v>7</v>
      </c>
    </row>
    <row r="759" spans="1:5" x14ac:dyDescent="0.25">
      <c r="A759" s="17">
        <f ca="1">INDEX(Stations,INT((ROWS(A$2:A759)-1)/(DATE(YEAR(Invoer!$A$5),12,31)-DATE(YEAR(Invoer!$A$5),1,1)+1))+2,1)</f>
        <v>82</v>
      </c>
      <c r="B759" t="str">
        <f ca="1">TEXT(DATE(YEAR(Invoer!$A$5),1,1)+MOD(ROWS(B$2:B759)-1,DATE(YEAR(Invoer!$A$5),12,31)-DATE(YEAR(Invoer!$A$5),1,1)+1),"jjjjmmdd")</f>
        <v>19430128</v>
      </c>
      <c r="C759" s="18">
        <v>1</v>
      </c>
      <c r="D759" s="23" t="str">
        <f t="shared" ca="1" si="22"/>
        <v>—</v>
      </c>
      <c r="E759" s="24">
        <f t="shared" ca="1" si="23"/>
        <v>7</v>
      </c>
    </row>
    <row r="760" spans="1:5" x14ac:dyDescent="0.25">
      <c r="A760" s="17">
        <f ca="1">INDEX(Stations,INT((ROWS(A$2:A760)-1)/(DATE(YEAR(Invoer!$A$5),12,31)-DATE(YEAR(Invoer!$A$5),1,1)+1))+2,1)</f>
        <v>82</v>
      </c>
      <c r="B760" t="str">
        <f ca="1">TEXT(DATE(YEAR(Invoer!$A$5),1,1)+MOD(ROWS(B$2:B760)-1,DATE(YEAR(Invoer!$A$5),12,31)-DATE(YEAR(Invoer!$A$5),1,1)+1),"jjjjmmdd")</f>
        <v>19430129</v>
      </c>
      <c r="C760" s="18">
        <v>1</v>
      </c>
      <c r="D760" s="23" t="str">
        <f t="shared" ca="1" si="22"/>
        <v>—</v>
      </c>
      <c r="E760" s="24">
        <f t="shared" ca="1" si="23"/>
        <v>7</v>
      </c>
    </row>
    <row r="761" spans="1:5" x14ac:dyDescent="0.25">
      <c r="A761" s="17">
        <f ca="1">INDEX(Stations,INT((ROWS(A$2:A761)-1)/(DATE(YEAR(Invoer!$A$5),12,31)-DATE(YEAR(Invoer!$A$5),1,1)+1))+2,1)</f>
        <v>82</v>
      </c>
      <c r="B761" t="str">
        <f ca="1">TEXT(DATE(YEAR(Invoer!$A$5),1,1)+MOD(ROWS(B$2:B761)-1,DATE(YEAR(Invoer!$A$5),12,31)-DATE(YEAR(Invoer!$A$5),1,1)+1),"jjjjmmdd")</f>
        <v>19430130</v>
      </c>
      <c r="C761" s="18">
        <v>1</v>
      </c>
      <c r="D761" s="23" t="str">
        <f t="shared" ca="1" si="22"/>
        <v>—</v>
      </c>
      <c r="E761" s="24">
        <f t="shared" ca="1" si="23"/>
        <v>7</v>
      </c>
    </row>
    <row r="762" spans="1:5" x14ac:dyDescent="0.25">
      <c r="A762" s="17">
        <f ca="1">INDEX(Stations,INT((ROWS(A$2:A762)-1)/(DATE(YEAR(Invoer!$A$5),12,31)-DATE(YEAR(Invoer!$A$5),1,1)+1))+2,1)</f>
        <v>82</v>
      </c>
      <c r="B762" t="str">
        <f ca="1">TEXT(DATE(YEAR(Invoer!$A$5),1,1)+MOD(ROWS(B$2:B762)-1,DATE(YEAR(Invoer!$A$5),12,31)-DATE(YEAR(Invoer!$A$5),1,1)+1),"jjjjmmdd")</f>
        <v>19430131</v>
      </c>
      <c r="C762" s="18">
        <v>1</v>
      </c>
      <c r="D762" s="23" t="str">
        <f t="shared" ca="1" si="22"/>
        <v>—</v>
      </c>
      <c r="E762" s="24">
        <f t="shared" ca="1" si="23"/>
        <v>7</v>
      </c>
    </row>
    <row r="763" spans="1:5" x14ac:dyDescent="0.25">
      <c r="A763" s="17">
        <f ca="1">INDEX(Stations,INT((ROWS(A$2:A763)-1)/(DATE(YEAR(Invoer!$A$5),12,31)-DATE(YEAR(Invoer!$A$5),1,1)+1))+2,1)</f>
        <v>82</v>
      </c>
      <c r="B763" t="str">
        <f ca="1">TEXT(DATE(YEAR(Invoer!$A$5),1,1)+MOD(ROWS(B$2:B763)-1,DATE(YEAR(Invoer!$A$5),12,31)-DATE(YEAR(Invoer!$A$5),1,1)+1),"jjjjmmdd")</f>
        <v>19430201</v>
      </c>
      <c r="C763" s="18">
        <v>1</v>
      </c>
      <c r="D763" s="23" t="str">
        <f t="shared" ca="1" si="22"/>
        <v>—</v>
      </c>
      <c r="E763" s="24">
        <f t="shared" ca="1" si="23"/>
        <v>7</v>
      </c>
    </row>
    <row r="764" spans="1:5" x14ac:dyDescent="0.25">
      <c r="A764" s="17">
        <f ca="1">INDEX(Stations,INT((ROWS(A$2:A764)-1)/(DATE(YEAR(Invoer!$A$5),12,31)-DATE(YEAR(Invoer!$A$5),1,1)+1))+2,1)</f>
        <v>82</v>
      </c>
      <c r="B764" t="str">
        <f ca="1">TEXT(DATE(YEAR(Invoer!$A$5),1,1)+MOD(ROWS(B$2:B764)-1,DATE(YEAR(Invoer!$A$5),12,31)-DATE(YEAR(Invoer!$A$5),1,1)+1),"jjjjmmdd")</f>
        <v>19430202</v>
      </c>
      <c r="C764" s="18">
        <v>1</v>
      </c>
      <c r="D764" s="23" t="str">
        <f t="shared" ca="1" si="22"/>
        <v>—</v>
      </c>
      <c r="E764" s="24">
        <f t="shared" ca="1" si="23"/>
        <v>7</v>
      </c>
    </row>
    <row r="765" spans="1:5" x14ac:dyDescent="0.25">
      <c r="A765" s="17">
        <f ca="1">INDEX(Stations,INT((ROWS(A$2:A765)-1)/(DATE(YEAR(Invoer!$A$5),12,31)-DATE(YEAR(Invoer!$A$5),1,1)+1))+2,1)</f>
        <v>82</v>
      </c>
      <c r="B765" t="str">
        <f ca="1">TEXT(DATE(YEAR(Invoer!$A$5),1,1)+MOD(ROWS(B$2:B765)-1,DATE(YEAR(Invoer!$A$5),12,31)-DATE(YEAR(Invoer!$A$5),1,1)+1),"jjjjmmdd")</f>
        <v>19430203</v>
      </c>
      <c r="C765" s="18">
        <v>1</v>
      </c>
      <c r="D765" s="23" t="str">
        <f t="shared" ca="1" si="22"/>
        <v>—</v>
      </c>
      <c r="E765" s="24">
        <f t="shared" ca="1" si="23"/>
        <v>7</v>
      </c>
    </row>
    <row r="766" spans="1:5" x14ac:dyDescent="0.25">
      <c r="A766" s="17">
        <f ca="1">INDEX(Stations,INT((ROWS(A$2:A766)-1)/(DATE(YEAR(Invoer!$A$5),12,31)-DATE(YEAR(Invoer!$A$5),1,1)+1))+2,1)</f>
        <v>82</v>
      </c>
      <c r="B766" t="str">
        <f ca="1">TEXT(DATE(YEAR(Invoer!$A$5),1,1)+MOD(ROWS(B$2:B766)-1,DATE(YEAR(Invoer!$A$5),12,31)-DATE(YEAR(Invoer!$A$5),1,1)+1),"jjjjmmdd")</f>
        <v>19430204</v>
      </c>
      <c r="C766" s="18">
        <v>1</v>
      </c>
      <c r="D766" s="23" t="str">
        <f t="shared" ca="1" si="22"/>
        <v>—</v>
      </c>
      <c r="E766" s="24">
        <f t="shared" ca="1" si="23"/>
        <v>7</v>
      </c>
    </row>
    <row r="767" spans="1:5" x14ac:dyDescent="0.25">
      <c r="A767" s="17">
        <f ca="1">INDEX(Stations,INT((ROWS(A$2:A767)-1)/(DATE(YEAR(Invoer!$A$5),12,31)-DATE(YEAR(Invoer!$A$5),1,1)+1))+2,1)</f>
        <v>82</v>
      </c>
      <c r="B767" t="str">
        <f ca="1">TEXT(DATE(YEAR(Invoer!$A$5),1,1)+MOD(ROWS(B$2:B767)-1,DATE(YEAR(Invoer!$A$5),12,31)-DATE(YEAR(Invoer!$A$5),1,1)+1),"jjjjmmdd")</f>
        <v>19430205</v>
      </c>
      <c r="C767" s="18">
        <v>1</v>
      </c>
      <c r="D767" s="23" t="str">
        <f t="shared" ca="1" si="22"/>
        <v>—</v>
      </c>
      <c r="E767" s="24">
        <f t="shared" ca="1" si="23"/>
        <v>7</v>
      </c>
    </row>
    <row r="768" spans="1:5" x14ac:dyDescent="0.25">
      <c r="A768" s="17">
        <f ca="1">INDEX(Stations,INT((ROWS(A$2:A768)-1)/(DATE(YEAR(Invoer!$A$5),12,31)-DATE(YEAR(Invoer!$A$5),1,1)+1))+2,1)</f>
        <v>82</v>
      </c>
      <c r="B768" t="str">
        <f ca="1">TEXT(DATE(YEAR(Invoer!$A$5),1,1)+MOD(ROWS(B$2:B768)-1,DATE(YEAR(Invoer!$A$5),12,31)-DATE(YEAR(Invoer!$A$5),1,1)+1),"jjjjmmdd")</f>
        <v>19430206</v>
      </c>
      <c r="C768" s="18">
        <v>1</v>
      </c>
      <c r="D768" s="23" t="str">
        <f t="shared" ca="1" si="22"/>
        <v>—</v>
      </c>
      <c r="E768" s="24">
        <f t="shared" ca="1" si="23"/>
        <v>7</v>
      </c>
    </row>
    <row r="769" spans="1:5" x14ac:dyDescent="0.25">
      <c r="A769" s="17">
        <f ca="1">INDEX(Stations,INT((ROWS(A$2:A769)-1)/(DATE(YEAR(Invoer!$A$5),12,31)-DATE(YEAR(Invoer!$A$5),1,1)+1))+2,1)</f>
        <v>82</v>
      </c>
      <c r="B769" t="str">
        <f ca="1">TEXT(DATE(YEAR(Invoer!$A$5),1,1)+MOD(ROWS(B$2:B769)-1,DATE(YEAR(Invoer!$A$5),12,31)-DATE(YEAR(Invoer!$A$5),1,1)+1),"jjjjmmdd")</f>
        <v>19430207</v>
      </c>
      <c r="C769" s="18">
        <v>1</v>
      </c>
      <c r="D769" s="23" t="str">
        <f t="shared" ca="1" si="22"/>
        <v>—</v>
      </c>
      <c r="E769" s="24">
        <f t="shared" ca="1" si="23"/>
        <v>7</v>
      </c>
    </row>
    <row r="770" spans="1:5" x14ac:dyDescent="0.25">
      <c r="A770" s="17">
        <f ca="1">INDEX(Stations,INT((ROWS(A$2:A770)-1)/(DATE(YEAR(Invoer!$A$5),12,31)-DATE(YEAR(Invoer!$A$5),1,1)+1))+2,1)</f>
        <v>82</v>
      </c>
      <c r="B770" t="str">
        <f ca="1">TEXT(DATE(YEAR(Invoer!$A$5),1,1)+MOD(ROWS(B$2:B770)-1,DATE(YEAR(Invoer!$A$5),12,31)-DATE(YEAR(Invoer!$A$5),1,1)+1),"jjjjmmdd")</f>
        <v>19430208</v>
      </c>
      <c r="C770" s="18">
        <v>1</v>
      </c>
      <c r="D770" s="23" t="str">
        <f t="shared" ref="D770:D833" ca="1" si="24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"—",VLOOKUP(DATEVALUE(LEFT(B770,4)&amp;"-"&amp;MID(B770,5,2)&amp;"-"&amp;RIGHT(B770,2)),Data,MATCH(VLOOKUP(A770,Stations,2,FALSE()),OFFSET(Data,1,0,1),0),FALSE()))</f>
        <v>—</v>
      </c>
      <c r="E770" s="24">
        <f t="shared" ref="E770:E833" ca="1" si="25">IF(OR(ISBLANK(VLOOKUP(DATEVALUE(LEFT(B770,4)&amp;"-"&amp;MID(B770,5,2)&amp;"-"&amp;RIGHT(B770,2)),Data,MATCH(VLOOKUP(A770,Stations,2,FALSE()),OFFSET(Data,1,0,1),0),FALSE())),ISTEXT(VLOOKUP(DATEVALUE(LEFT(B770,4)&amp;"-"&amp;MID(B770,5,2)&amp;"-"&amp;RIGHT(B770,2)),Data,MATCH(VLOOKUP(A770,Stations,2,FALSE()),OFFSET(Data,1,0,1),0),FALSE()))),Lacking,IF(ISNA(MATCH(DATEVALUE(LEFT(B770,4)&amp;"-"&amp;MID(B770,5,2)&amp;"-"&amp;RIGHT(B770,2)),OFFSET(Catalogus,0,0,,1),0)),Ok,VLOOKUP(DATEVALUE(LEFT(B770,4)&amp;"-"&amp;MID(B770,5,2)&amp;"-"&amp;RIGHT(B770,2)),Catalogus,MATCH(VLOOKUP(A770,Stations,2,FALSE()),OFFSET(Catalogus,1,0,1),0),FALSE())))</f>
        <v>7</v>
      </c>
    </row>
    <row r="771" spans="1:5" x14ac:dyDescent="0.25">
      <c r="A771" s="17">
        <f ca="1">INDEX(Stations,INT((ROWS(A$2:A771)-1)/(DATE(YEAR(Invoer!$A$5),12,31)-DATE(YEAR(Invoer!$A$5),1,1)+1))+2,1)</f>
        <v>82</v>
      </c>
      <c r="B771" t="str">
        <f ca="1">TEXT(DATE(YEAR(Invoer!$A$5),1,1)+MOD(ROWS(B$2:B771)-1,DATE(YEAR(Invoer!$A$5),12,31)-DATE(YEAR(Invoer!$A$5),1,1)+1),"jjjjmmdd")</f>
        <v>19430209</v>
      </c>
      <c r="C771" s="18">
        <v>1</v>
      </c>
      <c r="D771" s="23" t="str">
        <f t="shared" ca="1" si="24"/>
        <v>—</v>
      </c>
      <c r="E771" s="24">
        <f t="shared" ca="1" si="25"/>
        <v>7</v>
      </c>
    </row>
    <row r="772" spans="1:5" x14ac:dyDescent="0.25">
      <c r="A772" s="17">
        <f ca="1">INDEX(Stations,INT((ROWS(A$2:A772)-1)/(DATE(YEAR(Invoer!$A$5),12,31)-DATE(YEAR(Invoer!$A$5),1,1)+1))+2,1)</f>
        <v>82</v>
      </c>
      <c r="B772" t="str">
        <f ca="1">TEXT(DATE(YEAR(Invoer!$A$5),1,1)+MOD(ROWS(B$2:B772)-1,DATE(YEAR(Invoer!$A$5),12,31)-DATE(YEAR(Invoer!$A$5),1,1)+1),"jjjjmmdd")</f>
        <v>19430210</v>
      </c>
      <c r="C772" s="18">
        <v>1</v>
      </c>
      <c r="D772" s="23" t="str">
        <f t="shared" ca="1" si="24"/>
        <v>—</v>
      </c>
      <c r="E772" s="24">
        <f t="shared" ca="1" si="25"/>
        <v>7</v>
      </c>
    </row>
    <row r="773" spans="1:5" x14ac:dyDescent="0.25">
      <c r="A773" s="17">
        <f ca="1">INDEX(Stations,INT((ROWS(A$2:A773)-1)/(DATE(YEAR(Invoer!$A$5),12,31)-DATE(YEAR(Invoer!$A$5),1,1)+1))+2,1)</f>
        <v>82</v>
      </c>
      <c r="B773" t="str">
        <f ca="1">TEXT(DATE(YEAR(Invoer!$A$5),1,1)+MOD(ROWS(B$2:B773)-1,DATE(YEAR(Invoer!$A$5),12,31)-DATE(YEAR(Invoer!$A$5),1,1)+1),"jjjjmmdd")</f>
        <v>19430211</v>
      </c>
      <c r="C773" s="18">
        <v>1</v>
      </c>
      <c r="D773" s="23" t="str">
        <f t="shared" ca="1" si="24"/>
        <v>—</v>
      </c>
      <c r="E773" s="24">
        <f t="shared" ca="1" si="25"/>
        <v>7</v>
      </c>
    </row>
    <row r="774" spans="1:5" x14ac:dyDescent="0.25">
      <c r="A774" s="17">
        <f ca="1">INDEX(Stations,INT((ROWS(A$2:A774)-1)/(DATE(YEAR(Invoer!$A$5),12,31)-DATE(YEAR(Invoer!$A$5),1,1)+1))+2,1)</f>
        <v>82</v>
      </c>
      <c r="B774" t="str">
        <f ca="1">TEXT(DATE(YEAR(Invoer!$A$5),1,1)+MOD(ROWS(B$2:B774)-1,DATE(YEAR(Invoer!$A$5),12,31)-DATE(YEAR(Invoer!$A$5),1,1)+1),"jjjjmmdd")</f>
        <v>19430212</v>
      </c>
      <c r="C774" s="18">
        <v>1</v>
      </c>
      <c r="D774" s="23" t="str">
        <f t="shared" ca="1" si="24"/>
        <v>—</v>
      </c>
      <c r="E774" s="24">
        <f t="shared" ca="1" si="25"/>
        <v>7</v>
      </c>
    </row>
    <row r="775" spans="1:5" x14ac:dyDescent="0.25">
      <c r="A775" s="17">
        <f ca="1">INDEX(Stations,INT((ROWS(A$2:A775)-1)/(DATE(YEAR(Invoer!$A$5),12,31)-DATE(YEAR(Invoer!$A$5),1,1)+1))+2,1)</f>
        <v>82</v>
      </c>
      <c r="B775" t="str">
        <f ca="1">TEXT(DATE(YEAR(Invoer!$A$5),1,1)+MOD(ROWS(B$2:B775)-1,DATE(YEAR(Invoer!$A$5),12,31)-DATE(YEAR(Invoer!$A$5),1,1)+1),"jjjjmmdd")</f>
        <v>19430213</v>
      </c>
      <c r="C775" s="18">
        <v>1</v>
      </c>
      <c r="D775" s="23" t="str">
        <f t="shared" ca="1" si="24"/>
        <v>—</v>
      </c>
      <c r="E775" s="24">
        <f t="shared" ca="1" si="25"/>
        <v>7</v>
      </c>
    </row>
    <row r="776" spans="1:5" x14ac:dyDescent="0.25">
      <c r="A776" s="17">
        <f ca="1">INDEX(Stations,INT((ROWS(A$2:A776)-1)/(DATE(YEAR(Invoer!$A$5),12,31)-DATE(YEAR(Invoer!$A$5),1,1)+1))+2,1)</f>
        <v>82</v>
      </c>
      <c r="B776" t="str">
        <f ca="1">TEXT(DATE(YEAR(Invoer!$A$5),1,1)+MOD(ROWS(B$2:B776)-1,DATE(YEAR(Invoer!$A$5),12,31)-DATE(YEAR(Invoer!$A$5),1,1)+1),"jjjjmmdd")</f>
        <v>19430214</v>
      </c>
      <c r="C776" s="18">
        <v>1</v>
      </c>
      <c r="D776" s="23" t="str">
        <f t="shared" ca="1" si="24"/>
        <v>—</v>
      </c>
      <c r="E776" s="24">
        <f t="shared" ca="1" si="25"/>
        <v>7</v>
      </c>
    </row>
    <row r="777" spans="1:5" x14ac:dyDescent="0.25">
      <c r="A777" s="17">
        <f ca="1">INDEX(Stations,INT((ROWS(A$2:A777)-1)/(DATE(YEAR(Invoer!$A$5),12,31)-DATE(YEAR(Invoer!$A$5),1,1)+1))+2,1)</f>
        <v>82</v>
      </c>
      <c r="B777" t="str">
        <f ca="1">TEXT(DATE(YEAR(Invoer!$A$5),1,1)+MOD(ROWS(B$2:B777)-1,DATE(YEAR(Invoer!$A$5),12,31)-DATE(YEAR(Invoer!$A$5),1,1)+1),"jjjjmmdd")</f>
        <v>19430215</v>
      </c>
      <c r="C777" s="18">
        <v>1</v>
      </c>
      <c r="D777" s="23" t="str">
        <f t="shared" ca="1" si="24"/>
        <v>—</v>
      </c>
      <c r="E777" s="24">
        <f t="shared" ca="1" si="25"/>
        <v>7</v>
      </c>
    </row>
    <row r="778" spans="1:5" x14ac:dyDescent="0.25">
      <c r="A778" s="17">
        <f ca="1">INDEX(Stations,INT((ROWS(A$2:A778)-1)/(DATE(YEAR(Invoer!$A$5),12,31)-DATE(YEAR(Invoer!$A$5),1,1)+1))+2,1)</f>
        <v>82</v>
      </c>
      <c r="B778" t="str">
        <f ca="1">TEXT(DATE(YEAR(Invoer!$A$5),1,1)+MOD(ROWS(B$2:B778)-1,DATE(YEAR(Invoer!$A$5),12,31)-DATE(YEAR(Invoer!$A$5),1,1)+1),"jjjjmmdd")</f>
        <v>19430216</v>
      </c>
      <c r="C778" s="18">
        <v>1</v>
      </c>
      <c r="D778" s="23" t="str">
        <f t="shared" ca="1" si="24"/>
        <v>—</v>
      </c>
      <c r="E778" s="24">
        <f t="shared" ca="1" si="25"/>
        <v>7</v>
      </c>
    </row>
    <row r="779" spans="1:5" x14ac:dyDescent="0.25">
      <c r="A779" s="17">
        <f ca="1">INDEX(Stations,INT((ROWS(A$2:A779)-1)/(DATE(YEAR(Invoer!$A$5),12,31)-DATE(YEAR(Invoer!$A$5),1,1)+1))+2,1)</f>
        <v>82</v>
      </c>
      <c r="B779" t="str">
        <f ca="1">TEXT(DATE(YEAR(Invoer!$A$5),1,1)+MOD(ROWS(B$2:B779)-1,DATE(YEAR(Invoer!$A$5),12,31)-DATE(YEAR(Invoer!$A$5),1,1)+1),"jjjjmmdd")</f>
        <v>19430217</v>
      </c>
      <c r="C779" s="18">
        <v>1</v>
      </c>
      <c r="D779" s="23" t="str">
        <f t="shared" ca="1" si="24"/>
        <v>—</v>
      </c>
      <c r="E779" s="24">
        <f t="shared" ca="1" si="25"/>
        <v>7</v>
      </c>
    </row>
    <row r="780" spans="1:5" x14ac:dyDescent="0.25">
      <c r="A780" s="17">
        <f ca="1">INDEX(Stations,INT((ROWS(A$2:A780)-1)/(DATE(YEAR(Invoer!$A$5),12,31)-DATE(YEAR(Invoer!$A$5),1,1)+1))+2,1)</f>
        <v>82</v>
      </c>
      <c r="B780" t="str">
        <f ca="1">TEXT(DATE(YEAR(Invoer!$A$5),1,1)+MOD(ROWS(B$2:B780)-1,DATE(YEAR(Invoer!$A$5),12,31)-DATE(YEAR(Invoer!$A$5),1,1)+1),"jjjjmmdd")</f>
        <v>19430218</v>
      </c>
      <c r="C780" s="18">
        <v>1</v>
      </c>
      <c r="D780" s="23" t="str">
        <f t="shared" ca="1" si="24"/>
        <v>—</v>
      </c>
      <c r="E780" s="24">
        <f t="shared" ca="1" si="25"/>
        <v>7</v>
      </c>
    </row>
    <row r="781" spans="1:5" x14ac:dyDescent="0.25">
      <c r="A781" s="17">
        <f ca="1">INDEX(Stations,INT((ROWS(A$2:A781)-1)/(DATE(YEAR(Invoer!$A$5),12,31)-DATE(YEAR(Invoer!$A$5),1,1)+1))+2,1)</f>
        <v>82</v>
      </c>
      <c r="B781" t="str">
        <f ca="1">TEXT(DATE(YEAR(Invoer!$A$5),1,1)+MOD(ROWS(B$2:B781)-1,DATE(YEAR(Invoer!$A$5),12,31)-DATE(YEAR(Invoer!$A$5),1,1)+1),"jjjjmmdd")</f>
        <v>19430219</v>
      </c>
      <c r="C781" s="18">
        <v>1</v>
      </c>
      <c r="D781" s="23" t="str">
        <f t="shared" ca="1" si="24"/>
        <v>—</v>
      </c>
      <c r="E781" s="24">
        <f t="shared" ca="1" si="25"/>
        <v>7</v>
      </c>
    </row>
    <row r="782" spans="1:5" x14ac:dyDescent="0.25">
      <c r="A782" s="17">
        <f ca="1">INDEX(Stations,INT((ROWS(A$2:A782)-1)/(DATE(YEAR(Invoer!$A$5),12,31)-DATE(YEAR(Invoer!$A$5),1,1)+1))+2,1)</f>
        <v>82</v>
      </c>
      <c r="B782" t="str">
        <f ca="1">TEXT(DATE(YEAR(Invoer!$A$5),1,1)+MOD(ROWS(B$2:B782)-1,DATE(YEAR(Invoer!$A$5),12,31)-DATE(YEAR(Invoer!$A$5),1,1)+1),"jjjjmmdd")</f>
        <v>19430220</v>
      </c>
      <c r="C782" s="18">
        <v>1</v>
      </c>
      <c r="D782" s="23" t="str">
        <f t="shared" ca="1" si="24"/>
        <v>—</v>
      </c>
      <c r="E782" s="24">
        <f t="shared" ca="1" si="25"/>
        <v>7</v>
      </c>
    </row>
    <row r="783" spans="1:5" x14ac:dyDescent="0.25">
      <c r="A783" s="17">
        <f ca="1">INDEX(Stations,INT((ROWS(A$2:A783)-1)/(DATE(YEAR(Invoer!$A$5),12,31)-DATE(YEAR(Invoer!$A$5),1,1)+1))+2,1)</f>
        <v>82</v>
      </c>
      <c r="B783" t="str">
        <f ca="1">TEXT(DATE(YEAR(Invoer!$A$5),1,1)+MOD(ROWS(B$2:B783)-1,DATE(YEAR(Invoer!$A$5),12,31)-DATE(YEAR(Invoer!$A$5),1,1)+1),"jjjjmmdd")</f>
        <v>19430221</v>
      </c>
      <c r="C783" s="18">
        <v>1</v>
      </c>
      <c r="D783" s="23" t="str">
        <f t="shared" ca="1" si="24"/>
        <v>—</v>
      </c>
      <c r="E783" s="24">
        <f t="shared" ca="1" si="25"/>
        <v>7</v>
      </c>
    </row>
    <row r="784" spans="1:5" x14ac:dyDescent="0.25">
      <c r="A784" s="17">
        <f ca="1">INDEX(Stations,INT((ROWS(A$2:A784)-1)/(DATE(YEAR(Invoer!$A$5),12,31)-DATE(YEAR(Invoer!$A$5),1,1)+1))+2,1)</f>
        <v>82</v>
      </c>
      <c r="B784" t="str">
        <f ca="1">TEXT(DATE(YEAR(Invoer!$A$5),1,1)+MOD(ROWS(B$2:B784)-1,DATE(YEAR(Invoer!$A$5),12,31)-DATE(YEAR(Invoer!$A$5),1,1)+1),"jjjjmmdd")</f>
        <v>19430222</v>
      </c>
      <c r="C784" s="18">
        <v>1</v>
      </c>
      <c r="D784" s="23" t="str">
        <f t="shared" ca="1" si="24"/>
        <v>—</v>
      </c>
      <c r="E784" s="24">
        <f t="shared" ca="1" si="25"/>
        <v>7</v>
      </c>
    </row>
    <row r="785" spans="1:5" x14ac:dyDescent="0.25">
      <c r="A785" s="17">
        <f ca="1">INDEX(Stations,INT((ROWS(A$2:A785)-1)/(DATE(YEAR(Invoer!$A$5),12,31)-DATE(YEAR(Invoer!$A$5),1,1)+1))+2,1)</f>
        <v>82</v>
      </c>
      <c r="B785" t="str">
        <f ca="1">TEXT(DATE(YEAR(Invoer!$A$5),1,1)+MOD(ROWS(B$2:B785)-1,DATE(YEAR(Invoer!$A$5),12,31)-DATE(YEAR(Invoer!$A$5),1,1)+1),"jjjjmmdd")</f>
        <v>19430223</v>
      </c>
      <c r="C785" s="18">
        <v>1</v>
      </c>
      <c r="D785" s="23" t="str">
        <f t="shared" ca="1" si="24"/>
        <v>—</v>
      </c>
      <c r="E785" s="24">
        <f t="shared" ca="1" si="25"/>
        <v>7</v>
      </c>
    </row>
    <row r="786" spans="1:5" x14ac:dyDescent="0.25">
      <c r="A786" s="17">
        <f ca="1">INDEX(Stations,INT((ROWS(A$2:A786)-1)/(DATE(YEAR(Invoer!$A$5),12,31)-DATE(YEAR(Invoer!$A$5),1,1)+1))+2,1)</f>
        <v>82</v>
      </c>
      <c r="B786" t="str">
        <f ca="1">TEXT(DATE(YEAR(Invoer!$A$5),1,1)+MOD(ROWS(B$2:B786)-1,DATE(YEAR(Invoer!$A$5),12,31)-DATE(YEAR(Invoer!$A$5),1,1)+1),"jjjjmmdd")</f>
        <v>19430224</v>
      </c>
      <c r="C786" s="18">
        <v>1</v>
      </c>
      <c r="D786" s="23" t="str">
        <f t="shared" ca="1" si="24"/>
        <v>—</v>
      </c>
      <c r="E786" s="24">
        <f t="shared" ca="1" si="25"/>
        <v>7</v>
      </c>
    </row>
    <row r="787" spans="1:5" x14ac:dyDescent="0.25">
      <c r="A787" s="17">
        <f ca="1">INDEX(Stations,INT((ROWS(A$2:A787)-1)/(DATE(YEAR(Invoer!$A$5),12,31)-DATE(YEAR(Invoer!$A$5),1,1)+1))+2,1)</f>
        <v>82</v>
      </c>
      <c r="B787" t="str">
        <f ca="1">TEXT(DATE(YEAR(Invoer!$A$5),1,1)+MOD(ROWS(B$2:B787)-1,DATE(YEAR(Invoer!$A$5),12,31)-DATE(YEAR(Invoer!$A$5),1,1)+1),"jjjjmmdd")</f>
        <v>19430225</v>
      </c>
      <c r="C787" s="18">
        <v>1</v>
      </c>
      <c r="D787" s="23" t="str">
        <f t="shared" ca="1" si="24"/>
        <v>—</v>
      </c>
      <c r="E787" s="24">
        <f t="shared" ca="1" si="25"/>
        <v>7</v>
      </c>
    </row>
    <row r="788" spans="1:5" x14ac:dyDescent="0.25">
      <c r="A788" s="17">
        <f ca="1">INDEX(Stations,INT((ROWS(A$2:A788)-1)/(DATE(YEAR(Invoer!$A$5),12,31)-DATE(YEAR(Invoer!$A$5),1,1)+1))+2,1)</f>
        <v>82</v>
      </c>
      <c r="B788" t="str">
        <f ca="1">TEXT(DATE(YEAR(Invoer!$A$5),1,1)+MOD(ROWS(B$2:B788)-1,DATE(YEAR(Invoer!$A$5),12,31)-DATE(YEAR(Invoer!$A$5),1,1)+1),"jjjjmmdd")</f>
        <v>19430226</v>
      </c>
      <c r="C788" s="18">
        <v>1</v>
      </c>
      <c r="D788" s="23" t="str">
        <f t="shared" ca="1" si="24"/>
        <v>—</v>
      </c>
      <c r="E788" s="24">
        <f t="shared" ca="1" si="25"/>
        <v>7</v>
      </c>
    </row>
    <row r="789" spans="1:5" x14ac:dyDescent="0.25">
      <c r="A789" s="17">
        <f ca="1">INDEX(Stations,INT((ROWS(A$2:A789)-1)/(DATE(YEAR(Invoer!$A$5),12,31)-DATE(YEAR(Invoer!$A$5),1,1)+1))+2,1)</f>
        <v>82</v>
      </c>
      <c r="B789" t="str">
        <f ca="1">TEXT(DATE(YEAR(Invoer!$A$5),1,1)+MOD(ROWS(B$2:B789)-1,DATE(YEAR(Invoer!$A$5),12,31)-DATE(YEAR(Invoer!$A$5),1,1)+1),"jjjjmmdd")</f>
        <v>19430227</v>
      </c>
      <c r="C789" s="18">
        <v>1</v>
      </c>
      <c r="D789" s="23" t="str">
        <f t="shared" ca="1" si="24"/>
        <v>—</v>
      </c>
      <c r="E789" s="24">
        <f t="shared" ca="1" si="25"/>
        <v>7</v>
      </c>
    </row>
    <row r="790" spans="1:5" x14ac:dyDescent="0.25">
      <c r="A790" s="17">
        <f ca="1">INDEX(Stations,INT((ROWS(A$2:A790)-1)/(DATE(YEAR(Invoer!$A$5),12,31)-DATE(YEAR(Invoer!$A$5),1,1)+1))+2,1)</f>
        <v>82</v>
      </c>
      <c r="B790" t="str">
        <f ca="1">TEXT(DATE(YEAR(Invoer!$A$5),1,1)+MOD(ROWS(B$2:B790)-1,DATE(YEAR(Invoer!$A$5),12,31)-DATE(YEAR(Invoer!$A$5),1,1)+1),"jjjjmmdd")</f>
        <v>19430228</v>
      </c>
      <c r="C790" s="18">
        <v>1</v>
      </c>
      <c r="D790" s="23" t="str">
        <f t="shared" ca="1" si="24"/>
        <v>—</v>
      </c>
      <c r="E790" s="24">
        <f t="shared" ca="1" si="25"/>
        <v>7</v>
      </c>
    </row>
    <row r="791" spans="1:5" x14ac:dyDescent="0.25">
      <c r="A791" s="17">
        <f ca="1">INDEX(Stations,INT((ROWS(A$2:A791)-1)/(DATE(YEAR(Invoer!$A$5),12,31)-DATE(YEAR(Invoer!$A$5),1,1)+1))+2,1)</f>
        <v>82</v>
      </c>
      <c r="B791" t="str">
        <f ca="1">TEXT(DATE(YEAR(Invoer!$A$5),1,1)+MOD(ROWS(B$2:B791)-1,DATE(YEAR(Invoer!$A$5),12,31)-DATE(YEAR(Invoer!$A$5),1,1)+1),"jjjjmmdd")</f>
        <v>19430301</v>
      </c>
      <c r="C791" s="18">
        <v>1</v>
      </c>
      <c r="D791" s="23" t="str">
        <f t="shared" ca="1" si="24"/>
        <v>—</v>
      </c>
      <c r="E791" s="24">
        <f t="shared" ca="1" si="25"/>
        <v>7</v>
      </c>
    </row>
    <row r="792" spans="1:5" x14ac:dyDescent="0.25">
      <c r="A792" s="17">
        <f ca="1">INDEX(Stations,INT((ROWS(A$2:A792)-1)/(DATE(YEAR(Invoer!$A$5),12,31)-DATE(YEAR(Invoer!$A$5),1,1)+1))+2,1)</f>
        <v>82</v>
      </c>
      <c r="B792" t="str">
        <f ca="1">TEXT(DATE(YEAR(Invoer!$A$5),1,1)+MOD(ROWS(B$2:B792)-1,DATE(YEAR(Invoer!$A$5),12,31)-DATE(YEAR(Invoer!$A$5),1,1)+1),"jjjjmmdd")</f>
        <v>19430302</v>
      </c>
      <c r="C792" s="18">
        <v>1</v>
      </c>
      <c r="D792" s="23" t="str">
        <f t="shared" ca="1" si="24"/>
        <v>—</v>
      </c>
      <c r="E792" s="24">
        <f t="shared" ca="1" si="25"/>
        <v>7</v>
      </c>
    </row>
    <row r="793" spans="1:5" x14ac:dyDescent="0.25">
      <c r="A793" s="17">
        <f ca="1">INDEX(Stations,INT((ROWS(A$2:A793)-1)/(DATE(YEAR(Invoer!$A$5),12,31)-DATE(YEAR(Invoer!$A$5),1,1)+1))+2,1)</f>
        <v>82</v>
      </c>
      <c r="B793" t="str">
        <f ca="1">TEXT(DATE(YEAR(Invoer!$A$5),1,1)+MOD(ROWS(B$2:B793)-1,DATE(YEAR(Invoer!$A$5),12,31)-DATE(YEAR(Invoer!$A$5),1,1)+1),"jjjjmmdd")</f>
        <v>19430303</v>
      </c>
      <c r="C793" s="18">
        <v>1</v>
      </c>
      <c r="D793" s="23" t="str">
        <f t="shared" ca="1" si="24"/>
        <v>—</v>
      </c>
      <c r="E793" s="24">
        <f t="shared" ca="1" si="25"/>
        <v>7</v>
      </c>
    </row>
    <row r="794" spans="1:5" x14ac:dyDescent="0.25">
      <c r="A794" s="17">
        <f ca="1">INDEX(Stations,INT((ROWS(A$2:A794)-1)/(DATE(YEAR(Invoer!$A$5),12,31)-DATE(YEAR(Invoer!$A$5),1,1)+1))+2,1)</f>
        <v>82</v>
      </c>
      <c r="B794" t="str">
        <f ca="1">TEXT(DATE(YEAR(Invoer!$A$5),1,1)+MOD(ROWS(B$2:B794)-1,DATE(YEAR(Invoer!$A$5),12,31)-DATE(YEAR(Invoer!$A$5),1,1)+1),"jjjjmmdd")</f>
        <v>19430304</v>
      </c>
      <c r="C794" s="18">
        <v>1</v>
      </c>
      <c r="D794" s="23" t="str">
        <f t="shared" ca="1" si="24"/>
        <v>—</v>
      </c>
      <c r="E794" s="24">
        <f t="shared" ca="1" si="25"/>
        <v>7</v>
      </c>
    </row>
    <row r="795" spans="1:5" x14ac:dyDescent="0.25">
      <c r="A795" s="17">
        <f ca="1">INDEX(Stations,INT((ROWS(A$2:A795)-1)/(DATE(YEAR(Invoer!$A$5),12,31)-DATE(YEAR(Invoer!$A$5),1,1)+1))+2,1)</f>
        <v>82</v>
      </c>
      <c r="B795" t="str">
        <f ca="1">TEXT(DATE(YEAR(Invoer!$A$5),1,1)+MOD(ROWS(B$2:B795)-1,DATE(YEAR(Invoer!$A$5),12,31)-DATE(YEAR(Invoer!$A$5),1,1)+1),"jjjjmmdd")</f>
        <v>19430305</v>
      </c>
      <c r="C795" s="18">
        <v>1</v>
      </c>
      <c r="D795" s="23" t="str">
        <f t="shared" ca="1" si="24"/>
        <v>—</v>
      </c>
      <c r="E795" s="24">
        <f t="shared" ca="1" si="25"/>
        <v>7</v>
      </c>
    </row>
    <row r="796" spans="1:5" x14ac:dyDescent="0.25">
      <c r="A796" s="17">
        <f ca="1">INDEX(Stations,INT((ROWS(A$2:A796)-1)/(DATE(YEAR(Invoer!$A$5),12,31)-DATE(YEAR(Invoer!$A$5),1,1)+1))+2,1)</f>
        <v>82</v>
      </c>
      <c r="B796" t="str">
        <f ca="1">TEXT(DATE(YEAR(Invoer!$A$5),1,1)+MOD(ROWS(B$2:B796)-1,DATE(YEAR(Invoer!$A$5),12,31)-DATE(YEAR(Invoer!$A$5),1,1)+1),"jjjjmmdd")</f>
        <v>19430306</v>
      </c>
      <c r="C796" s="18">
        <v>1</v>
      </c>
      <c r="D796" s="23" t="str">
        <f t="shared" ca="1" si="24"/>
        <v>—</v>
      </c>
      <c r="E796" s="24">
        <f t="shared" ca="1" si="25"/>
        <v>7</v>
      </c>
    </row>
    <row r="797" spans="1:5" x14ac:dyDescent="0.25">
      <c r="A797" s="17">
        <f ca="1">INDEX(Stations,INT((ROWS(A$2:A797)-1)/(DATE(YEAR(Invoer!$A$5),12,31)-DATE(YEAR(Invoer!$A$5),1,1)+1))+2,1)</f>
        <v>82</v>
      </c>
      <c r="B797" t="str">
        <f ca="1">TEXT(DATE(YEAR(Invoer!$A$5),1,1)+MOD(ROWS(B$2:B797)-1,DATE(YEAR(Invoer!$A$5),12,31)-DATE(YEAR(Invoer!$A$5),1,1)+1),"jjjjmmdd")</f>
        <v>19430307</v>
      </c>
      <c r="C797" s="18">
        <v>1</v>
      </c>
      <c r="D797" s="23" t="str">
        <f t="shared" ca="1" si="24"/>
        <v>—</v>
      </c>
      <c r="E797" s="24">
        <f t="shared" ca="1" si="25"/>
        <v>7</v>
      </c>
    </row>
    <row r="798" spans="1:5" x14ac:dyDescent="0.25">
      <c r="A798" s="17">
        <f ca="1">INDEX(Stations,INT((ROWS(A$2:A798)-1)/(DATE(YEAR(Invoer!$A$5),12,31)-DATE(YEAR(Invoer!$A$5),1,1)+1))+2,1)</f>
        <v>82</v>
      </c>
      <c r="B798" t="str">
        <f ca="1">TEXT(DATE(YEAR(Invoer!$A$5),1,1)+MOD(ROWS(B$2:B798)-1,DATE(YEAR(Invoer!$A$5),12,31)-DATE(YEAR(Invoer!$A$5),1,1)+1),"jjjjmmdd")</f>
        <v>19430308</v>
      </c>
      <c r="C798" s="18">
        <v>1</v>
      </c>
      <c r="D798" s="23" t="str">
        <f t="shared" ca="1" si="24"/>
        <v>—</v>
      </c>
      <c r="E798" s="24">
        <f t="shared" ca="1" si="25"/>
        <v>7</v>
      </c>
    </row>
    <row r="799" spans="1:5" x14ac:dyDescent="0.25">
      <c r="A799" s="17">
        <f ca="1">INDEX(Stations,INT((ROWS(A$2:A799)-1)/(DATE(YEAR(Invoer!$A$5),12,31)-DATE(YEAR(Invoer!$A$5),1,1)+1))+2,1)</f>
        <v>82</v>
      </c>
      <c r="B799" t="str">
        <f ca="1">TEXT(DATE(YEAR(Invoer!$A$5),1,1)+MOD(ROWS(B$2:B799)-1,DATE(YEAR(Invoer!$A$5),12,31)-DATE(YEAR(Invoer!$A$5),1,1)+1),"jjjjmmdd")</f>
        <v>19430309</v>
      </c>
      <c r="C799" s="18">
        <v>1</v>
      </c>
      <c r="D799" s="23" t="str">
        <f t="shared" ca="1" si="24"/>
        <v>—</v>
      </c>
      <c r="E799" s="24">
        <f t="shared" ca="1" si="25"/>
        <v>7</v>
      </c>
    </row>
    <row r="800" spans="1:5" x14ac:dyDescent="0.25">
      <c r="A800" s="17">
        <f ca="1">INDEX(Stations,INT((ROWS(A$2:A800)-1)/(DATE(YEAR(Invoer!$A$5),12,31)-DATE(YEAR(Invoer!$A$5),1,1)+1))+2,1)</f>
        <v>82</v>
      </c>
      <c r="B800" t="str">
        <f ca="1">TEXT(DATE(YEAR(Invoer!$A$5),1,1)+MOD(ROWS(B$2:B800)-1,DATE(YEAR(Invoer!$A$5),12,31)-DATE(YEAR(Invoer!$A$5),1,1)+1),"jjjjmmdd")</f>
        <v>19430310</v>
      </c>
      <c r="C800" s="18">
        <v>1</v>
      </c>
      <c r="D800" s="23" t="str">
        <f t="shared" ca="1" si="24"/>
        <v>—</v>
      </c>
      <c r="E800" s="24">
        <f t="shared" ca="1" si="25"/>
        <v>7</v>
      </c>
    </row>
    <row r="801" spans="1:5" x14ac:dyDescent="0.25">
      <c r="A801" s="17">
        <f ca="1">INDEX(Stations,INT((ROWS(A$2:A801)-1)/(DATE(YEAR(Invoer!$A$5),12,31)-DATE(YEAR(Invoer!$A$5),1,1)+1))+2,1)</f>
        <v>82</v>
      </c>
      <c r="B801" t="str">
        <f ca="1">TEXT(DATE(YEAR(Invoer!$A$5),1,1)+MOD(ROWS(B$2:B801)-1,DATE(YEAR(Invoer!$A$5),12,31)-DATE(YEAR(Invoer!$A$5),1,1)+1),"jjjjmmdd")</f>
        <v>19430311</v>
      </c>
      <c r="C801" s="18">
        <v>1</v>
      </c>
      <c r="D801" s="23" t="str">
        <f t="shared" ca="1" si="24"/>
        <v>—</v>
      </c>
      <c r="E801" s="24">
        <f t="shared" ca="1" si="25"/>
        <v>7</v>
      </c>
    </row>
    <row r="802" spans="1:5" x14ac:dyDescent="0.25">
      <c r="A802" s="17">
        <f ca="1">INDEX(Stations,INT((ROWS(A$2:A802)-1)/(DATE(YEAR(Invoer!$A$5),12,31)-DATE(YEAR(Invoer!$A$5),1,1)+1))+2,1)</f>
        <v>82</v>
      </c>
      <c r="B802" t="str">
        <f ca="1">TEXT(DATE(YEAR(Invoer!$A$5),1,1)+MOD(ROWS(B$2:B802)-1,DATE(YEAR(Invoer!$A$5),12,31)-DATE(YEAR(Invoer!$A$5),1,1)+1),"jjjjmmdd")</f>
        <v>19430312</v>
      </c>
      <c r="C802" s="18">
        <v>1</v>
      </c>
      <c r="D802" s="23" t="str">
        <f t="shared" ca="1" si="24"/>
        <v>—</v>
      </c>
      <c r="E802" s="24">
        <f t="shared" ca="1" si="25"/>
        <v>7</v>
      </c>
    </row>
    <row r="803" spans="1:5" x14ac:dyDescent="0.25">
      <c r="A803" s="17">
        <f ca="1">INDEX(Stations,INT((ROWS(A$2:A803)-1)/(DATE(YEAR(Invoer!$A$5),12,31)-DATE(YEAR(Invoer!$A$5),1,1)+1))+2,1)</f>
        <v>82</v>
      </c>
      <c r="B803" t="str">
        <f ca="1">TEXT(DATE(YEAR(Invoer!$A$5),1,1)+MOD(ROWS(B$2:B803)-1,DATE(YEAR(Invoer!$A$5),12,31)-DATE(YEAR(Invoer!$A$5),1,1)+1),"jjjjmmdd")</f>
        <v>19430313</v>
      </c>
      <c r="C803" s="18">
        <v>1</v>
      </c>
      <c r="D803" s="23" t="str">
        <f t="shared" ca="1" si="24"/>
        <v>—</v>
      </c>
      <c r="E803" s="24">
        <f t="shared" ca="1" si="25"/>
        <v>7</v>
      </c>
    </row>
    <row r="804" spans="1:5" x14ac:dyDescent="0.25">
      <c r="A804" s="17">
        <f ca="1">INDEX(Stations,INT((ROWS(A$2:A804)-1)/(DATE(YEAR(Invoer!$A$5),12,31)-DATE(YEAR(Invoer!$A$5),1,1)+1))+2,1)</f>
        <v>82</v>
      </c>
      <c r="B804" t="str">
        <f ca="1">TEXT(DATE(YEAR(Invoer!$A$5),1,1)+MOD(ROWS(B$2:B804)-1,DATE(YEAR(Invoer!$A$5),12,31)-DATE(YEAR(Invoer!$A$5),1,1)+1),"jjjjmmdd")</f>
        <v>19430314</v>
      </c>
      <c r="C804" s="18">
        <v>1</v>
      </c>
      <c r="D804" s="23" t="str">
        <f t="shared" ca="1" si="24"/>
        <v>—</v>
      </c>
      <c r="E804" s="24">
        <f t="shared" ca="1" si="25"/>
        <v>7</v>
      </c>
    </row>
    <row r="805" spans="1:5" x14ac:dyDescent="0.25">
      <c r="A805" s="17">
        <f ca="1">INDEX(Stations,INT((ROWS(A$2:A805)-1)/(DATE(YEAR(Invoer!$A$5),12,31)-DATE(YEAR(Invoer!$A$5),1,1)+1))+2,1)</f>
        <v>82</v>
      </c>
      <c r="B805" t="str">
        <f ca="1">TEXT(DATE(YEAR(Invoer!$A$5),1,1)+MOD(ROWS(B$2:B805)-1,DATE(YEAR(Invoer!$A$5),12,31)-DATE(YEAR(Invoer!$A$5),1,1)+1),"jjjjmmdd")</f>
        <v>19430315</v>
      </c>
      <c r="C805" s="18">
        <v>1</v>
      </c>
      <c r="D805" s="23" t="str">
        <f t="shared" ca="1" si="24"/>
        <v>—</v>
      </c>
      <c r="E805" s="24">
        <f t="shared" ca="1" si="25"/>
        <v>7</v>
      </c>
    </row>
    <row r="806" spans="1:5" x14ac:dyDescent="0.25">
      <c r="A806" s="17">
        <f ca="1">INDEX(Stations,INT((ROWS(A$2:A806)-1)/(DATE(YEAR(Invoer!$A$5),12,31)-DATE(YEAR(Invoer!$A$5),1,1)+1))+2,1)</f>
        <v>82</v>
      </c>
      <c r="B806" t="str">
        <f ca="1">TEXT(DATE(YEAR(Invoer!$A$5),1,1)+MOD(ROWS(B$2:B806)-1,DATE(YEAR(Invoer!$A$5),12,31)-DATE(YEAR(Invoer!$A$5),1,1)+1),"jjjjmmdd")</f>
        <v>19430316</v>
      </c>
      <c r="C806" s="18">
        <v>1</v>
      </c>
      <c r="D806" s="23" t="str">
        <f t="shared" ca="1" si="24"/>
        <v>—</v>
      </c>
      <c r="E806" s="24">
        <f t="shared" ca="1" si="25"/>
        <v>7</v>
      </c>
    </row>
    <row r="807" spans="1:5" x14ac:dyDescent="0.25">
      <c r="A807" s="17">
        <f ca="1">INDEX(Stations,INT((ROWS(A$2:A807)-1)/(DATE(YEAR(Invoer!$A$5),12,31)-DATE(YEAR(Invoer!$A$5),1,1)+1))+2,1)</f>
        <v>82</v>
      </c>
      <c r="B807" t="str">
        <f ca="1">TEXT(DATE(YEAR(Invoer!$A$5),1,1)+MOD(ROWS(B$2:B807)-1,DATE(YEAR(Invoer!$A$5),12,31)-DATE(YEAR(Invoer!$A$5),1,1)+1),"jjjjmmdd")</f>
        <v>19430317</v>
      </c>
      <c r="C807" s="18">
        <v>1</v>
      </c>
      <c r="D807" s="23" t="str">
        <f t="shared" ca="1" si="24"/>
        <v>—</v>
      </c>
      <c r="E807" s="24">
        <f t="shared" ca="1" si="25"/>
        <v>7</v>
      </c>
    </row>
    <row r="808" spans="1:5" x14ac:dyDescent="0.25">
      <c r="A808" s="17">
        <f ca="1">INDEX(Stations,INT((ROWS(A$2:A808)-1)/(DATE(YEAR(Invoer!$A$5),12,31)-DATE(YEAR(Invoer!$A$5),1,1)+1))+2,1)</f>
        <v>82</v>
      </c>
      <c r="B808" t="str">
        <f ca="1">TEXT(DATE(YEAR(Invoer!$A$5),1,1)+MOD(ROWS(B$2:B808)-1,DATE(YEAR(Invoer!$A$5),12,31)-DATE(YEAR(Invoer!$A$5),1,1)+1),"jjjjmmdd")</f>
        <v>19430318</v>
      </c>
      <c r="C808" s="18">
        <v>1</v>
      </c>
      <c r="D808" s="23" t="str">
        <f t="shared" ca="1" si="24"/>
        <v>—</v>
      </c>
      <c r="E808" s="24">
        <f t="shared" ca="1" si="25"/>
        <v>7</v>
      </c>
    </row>
    <row r="809" spans="1:5" x14ac:dyDescent="0.25">
      <c r="A809" s="17">
        <f ca="1">INDEX(Stations,INT((ROWS(A$2:A809)-1)/(DATE(YEAR(Invoer!$A$5),12,31)-DATE(YEAR(Invoer!$A$5),1,1)+1))+2,1)</f>
        <v>82</v>
      </c>
      <c r="B809" t="str">
        <f ca="1">TEXT(DATE(YEAR(Invoer!$A$5),1,1)+MOD(ROWS(B$2:B809)-1,DATE(YEAR(Invoer!$A$5),12,31)-DATE(YEAR(Invoer!$A$5),1,1)+1),"jjjjmmdd")</f>
        <v>19430319</v>
      </c>
      <c r="C809" s="18">
        <v>1</v>
      </c>
      <c r="D809" s="23" t="str">
        <f t="shared" ca="1" si="24"/>
        <v>—</v>
      </c>
      <c r="E809" s="24">
        <f t="shared" ca="1" si="25"/>
        <v>7</v>
      </c>
    </row>
    <row r="810" spans="1:5" x14ac:dyDescent="0.25">
      <c r="A810" s="17">
        <f ca="1">INDEX(Stations,INT((ROWS(A$2:A810)-1)/(DATE(YEAR(Invoer!$A$5),12,31)-DATE(YEAR(Invoer!$A$5),1,1)+1))+2,1)</f>
        <v>82</v>
      </c>
      <c r="B810" t="str">
        <f ca="1">TEXT(DATE(YEAR(Invoer!$A$5),1,1)+MOD(ROWS(B$2:B810)-1,DATE(YEAR(Invoer!$A$5),12,31)-DATE(YEAR(Invoer!$A$5),1,1)+1),"jjjjmmdd")</f>
        <v>19430320</v>
      </c>
      <c r="C810" s="18">
        <v>1</v>
      </c>
      <c r="D810" s="23" t="str">
        <f t="shared" ca="1" si="24"/>
        <v>—</v>
      </c>
      <c r="E810" s="24">
        <f t="shared" ca="1" si="25"/>
        <v>7</v>
      </c>
    </row>
    <row r="811" spans="1:5" x14ac:dyDescent="0.25">
      <c r="A811" s="17">
        <f ca="1">INDEX(Stations,INT((ROWS(A$2:A811)-1)/(DATE(YEAR(Invoer!$A$5),12,31)-DATE(YEAR(Invoer!$A$5),1,1)+1))+2,1)</f>
        <v>82</v>
      </c>
      <c r="B811" t="str">
        <f ca="1">TEXT(DATE(YEAR(Invoer!$A$5),1,1)+MOD(ROWS(B$2:B811)-1,DATE(YEAR(Invoer!$A$5),12,31)-DATE(YEAR(Invoer!$A$5),1,1)+1),"jjjjmmdd")</f>
        <v>19430321</v>
      </c>
      <c r="C811" s="18">
        <v>1</v>
      </c>
      <c r="D811" s="23" t="str">
        <f t="shared" ca="1" si="24"/>
        <v>—</v>
      </c>
      <c r="E811" s="24">
        <f t="shared" ca="1" si="25"/>
        <v>7</v>
      </c>
    </row>
    <row r="812" spans="1:5" x14ac:dyDescent="0.25">
      <c r="A812" s="17">
        <f ca="1">INDEX(Stations,INT((ROWS(A$2:A812)-1)/(DATE(YEAR(Invoer!$A$5),12,31)-DATE(YEAR(Invoer!$A$5),1,1)+1))+2,1)</f>
        <v>82</v>
      </c>
      <c r="B812" t="str">
        <f ca="1">TEXT(DATE(YEAR(Invoer!$A$5),1,1)+MOD(ROWS(B$2:B812)-1,DATE(YEAR(Invoer!$A$5),12,31)-DATE(YEAR(Invoer!$A$5),1,1)+1),"jjjjmmdd")</f>
        <v>19430322</v>
      </c>
      <c r="C812" s="18">
        <v>1</v>
      </c>
      <c r="D812" s="23" t="str">
        <f t="shared" ca="1" si="24"/>
        <v>—</v>
      </c>
      <c r="E812" s="24">
        <f t="shared" ca="1" si="25"/>
        <v>7</v>
      </c>
    </row>
    <row r="813" spans="1:5" x14ac:dyDescent="0.25">
      <c r="A813" s="17">
        <f ca="1">INDEX(Stations,INT((ROWS(A$2:A813)-1)/(DATE(YEAR(Invoer!$A$5),12,31)-DATE(YEAR(Invoer!$A$5),1,1)+1))+2,1)</f>
        <v>82</v>
      </c>
      <c r="B813" t="str">
        <f ca="1">TEXT(DATE(YEAR(Invoer!$A$5),1,1)+MOD(ROWS(B$2:B813)-1,DATE(YEAR(Invoer!$A$5),12,31)-DATE(YEAR(Invoer!$A$5),1,1)+1),"jjjjmmdd")</f>
        <v>19430323</v>
      </c>
      <c r="C813" s="18">
        <v>1</v>
      </c>
      <c r="D813" s="23" t="str">
        <f t="shared" ca="1" si="24"/>
        <v>—</v>
      </c>
      <c r="E813" s="24">
        <f t="shared" ca="1" si="25"/>
        <v>7</v>
      </c>
    </row>
    <row r="814" spans="1:5" x14ac:dyDescent="0.25">
      <c r="A814" s="17">
        <f ca="1">INDEX(Stations,INT((ROWS(A$2:A814)-1)/(DATE(YEAR(Invoer!$A$5),12,31)-DATE(YEAR(Invoer!$A$5),1,1)+1))+2,1)</f>
        <v>82</v>
      </c>
      <c r="B814" t="str">
        <f ca="1">TEXT(DATE(YEAR(Invoer!$A$5),1,1)+MOD(ROWS(B$2:B814)-1,DATE(YEAR(Invoer!$A$5),12,31)-DATE(YEAR(Invoer!$A$5),1,1)+1),"jjjjmmdd")</f>
        <v>19430324</v>
      </c>
      <c r="C814" s="18">
        <v>1</v>
      </c>
      <c r="D814" s="23" t="str">
        <f t="shared" ca="1" si="24"/>
        <v>—</v>
      </c>
      <c r="E814" s="24">
        <f t="shared" ca="1" si="25"/>
        <v>7</v>
      </c>
    </row>
    <row r="815" spans="1:5" x14ac:dyDescent="0.25">
      <c r="A815" s="17">
        <f ca="1">INDEX(Stations,INT((ROWS(A$2:A815)-1)/(DATE(YEAR(Invoer!$A$5),12,31)-DATE(YEAR(Invoer!$A$5),1,1)+1))+2,1)</f>
        <v>82</v>
      </c>
      <c r="B815" t="str">
        <f ca="1">TEXT(DATE(YEAR(Invoer!$A$5),1,1)+MOD(ROWS(B$2:B815)-1,DATE(YEAR(Invoer!$A$5),12,31)-DATE(YEAR(Invoer!$A$5),1,1)+1),"jjjjmmdd")</f>
        <v>19430325</v>
      </c>
      <c r="C815" s="18">
        <v>1</v>
      </c>
      <c r="D815" s="23" t="str">
        <f t="shared" ca="1" si="24"/>
        <v>—</v>
      </c>
      <c r="E815" s="24">
        <f t="shared" ca="1" si="25"/>
        <v>7</v>
      </c>
    </row>
    <row r="816" spans="1:5" x14ac:dyDescent="0.25">
      <c r="A816" s="17">
        <f ca="1">INDEX(Stations,INT((ROWS(A$2:A816)-1)/(DATE(YEAR(Invoer!$A$5),12,31)-DATE(YEAR(Invoer!$A$5),1,1)+1))+2,1)</f>
        <v>82</v>
      </c>
      <c r="B816" t="str">
        <f ca="1">TEXT(DATE(YEAR(Invoer!$A$5),1,1)+MOD(ROWS(B$2:B816)-1,DATE(YEAR(Invoer!$A$5),12,31)-DATE(YEAR(Invoer!$A$5),1,1)+1),"jjjjmmdd")</f>
        <v>19430326</v>
      </c>
      <c r="C816" s="18">
        <v>1</v>
      </c>
      <c r="D816" s="23" t="str">
        <f t="shared" ca="1" si="24"/>
        <v>—</v>
      </c>
      <c r="E816" s="24">
        <f t="shared" ca="1" si="25"/>
        <v>7</v>
      </c>
    </row>
    <row r="817" spans="1:5" x14ac:dyDescent="0.25">
      <c r="A817" s="17">
        <f ca="1">INDEX(Stations,INT((ROWS(A$2:A817)-1)/(DATE(YEAR(Invoer!$A$5),12,31)-DATE(YEAR(Invoer!$A$5),1,1)+1))+2,1)</f>
        <v>82</v>
      </c>
      <c r="B817" t="str">
        <f ca="1">TEXT(DATE(YEAR(Invoer!$A$5),1,1)+MOD(ROWS(B$2:B817)-1,DATE(YEAR(Invoer!$A$5),12,31)-DATE(YEAR(Invoer!$A$5),1,1)+1),"jjjjmmdd")</f>
        <v>19430327</v>
      </c>
      <c r="C817" s="18">
        <v>1</v>
      </c>
      <c r="D817" s="23" t="str">
        <f t="shared" ca="1" si="24"/>
        <v>—</v>
      </c>
      <c r="E817" s="24">
        <f t="shared" ca="1" si="25"/>
        <v>7</v>
      </c>
    </row>
    <row r="818" spans="1:5" x14ac:dyDescent="0.25">
      <c r="A818" s="17">
        <f ca="1">INDEX(Stations,INT((ROWS(A$2:A818)-1)/(DATE(YEAR(Invoer!$A$5),12,31)-DATE(YEAR(Invoer!$A$5),1,1)+1))+2,1)</f>
        <v>82</v>
      </c>
      <c r="B818" t="str">
        <f ca="1">TEXT(DATE(YEAR(Invoer!$A$5),1,1)+MOD(ROWS(B$2:B818)-1,DATE(YEAR(Invoer!$A$5),12,31)-DATE(YEAR(Invoer!$A$5),1,1)+1),"jjjjmmdd")</f>
        <v>19430328</v>
      </c>
      <c r="C818" s="18">
        <v>1</v>
      </c>
      <c r="D818" s="23" t="str">
        <f t="shared" ca="1" si="24"/>
        <v>—</v>
      </c>
      <c r="E818" s="24">
        <f t="shared" ca="1" si="25"/>
        <v>7</v>
      </c>
    </row>
    <row r="819" spans="1:5" x14ac:dyDescent="0.25">
      <c r="A819" s="17">
        <f ca="1">INDEX(Stations,INT((ROWS(A$2:A819)-1)/(DATE(YEAR(Invoer!$A$5),12,31)-DATE(YEAR(Invoer!$A$5),1,1)+1))+2,1)</f>
        <v>82</v>
      </c>
      <c r="B819" t="str">
        <f ca="1">TEXT(DATE(YEAR(Invoer!$A$5),1,1)+MOD(ROWS(B$2:B819)-1,DATE(YEAR(Invoer!$A$5),12,31)-DATE(YEAR(Invoer!$A$5),1,1)+1),"jjjjmmdd")</f>
        <v>19430329</v>
      </c>
      <c r="C819" s="18">
        <v>1</v>
      </c>
      <c r="D819" s="23" t="str">
        <f t="shared" ca="1" si="24"/>
        <v>—</v>
      </c>
      <c r="E819" s="24">
        <f t="shared" ca="1" si="25"/>
        <v>7</v>
      </c>
    </row>
    <row r="820" spans="1:5" x14ac:dyDescent="0.25">
      <c r="A820" s="17">
        <f ca="1">INDEX(Stations,INT((ROWS(A$2:A820)-1)/(DATE(YEAR(Invoer!$A$5),12,31)-DATE(YEAR(Invoer!$A$5),1,1)+1))+2,1)</f>
        <v>82</v>
      </c>
      <c r="B820" t="str">
        <f ca="1">TEXT(DATE(YEAR(Invoer!$A$5),1,1)+MOD(ROWS(B$2:B820)-1,DATE(YEAR(Invoer!$A$5),12,31)-DATE(YEAR(Invoer!$A$5),1,1)+1),"jjjjmmdd")</f>
        <v>19430330</v>
      </c>
      <c r="C820" s="18">
        <v>1</v>
      </c>
      <c r="D820" s="23" t="str">
        <f t="shared" ca="1" si="24"/>
        <v>—</v>
      </c>
      <c r="E820" s="24">
        <f t="shared" ca="1" si="25"/>
        <v>7</v>
      </c>
    </row>
    <row r="821" spans="1:5" x14ac:dyDescent="0.25">
      <c r="A821" s="17">
        <f ca="1">INDEX(Stations,INT((ROWS(A$2:A821)-1)/(DATE(YEAR(Invoer!$A$5),12,31)-DATE(YEAR(Invoer!$A$5),1,1)+1))+2,1)</f>
        <v>82</v>
      </c>
      <c r="B821" t="str">
        <f ca="1">TEXT(DATE(YEAR(Invoer!$A$5),1,1)+MOD(ROWS(B$2:B821)-1,DATE(YEAR(Invoer!$A$5),12,31)-DATE(YEAR(Invoer!$A$5),1,1)+1),"jjjjmmdd")</f>
        <v>19430331</v>
      </c>
      <c r="C821" s="18">
        <v>1</v>
      </c>
      <c r="D821" s="23" t="str">
        <f t="shared" ca="1" si="24"/>
        <v>—</v>
      </c>
      <c r="E821" s="24">
        <f t="shared" ca="1" si="25"/>
        <v>7</v>
      </c>
    </row>
    <row r="822" spans="1:5" x14ac:dyDescent="0.25">
      <c r="A822" s="17">
        <f ca="1">INDEX(Stations,INT((ROWS(A$2:A822)-1)/(DATE(YEAR(Invoer!$A$5),12,31)-DATE(YEAR(Invoer!$A$5),1,1)+1))+2,1)</f>
        <v>82</v>
      </c>
      <c r="B822" t="str">
        <f ca="1">TEXT(DATE(YEAR(Invoer!$A$5),1,1)+MOD(ROWS(B$2:B822)-1,DATE(YEAR(Invoer!$A$5),12,31)-DATE(YEAR(Invoer!$A$5),1,1)+1),"jjjjmmdd")</f>
        <v>19430401</v>
      </c>
      <c r="C822" s="18">
        <v>1</v>
      </c>
      <c r="D822" s="23">
        <f t="shared" ca="1" si="24"/>
        <v>0</v>
      </c>
      <c r="E822" s="24">
        <f t="shared" ca="1" si="25"/>
        <v>0</v>
      </c>
    </row>
    <row r="823" spans="1:5" x14ac:dyDescent="0.25">
      <c r="A823" s="17">
        <f ca="1">INDEX(Stations,INT((ROWS(A$2:A823)-1)/(DATE(YEAR(Invoer!$A$5),12,31)-DATE(YEAR(Invoer!$A$5),1,1)+1))+2,1)</f>
        <v>82</v>
      </c>
      <c r="B823" t="str">
        <f ca="1">TEXT(DATE(YEAR(Invoer!$A$5),1,1)+MOD(ROWS(B$2:B823)-1,DATE(YEAR(Invoer!$A$5),12,31)-DATE(YEAR(Invoer!$A$5),1,1)+1),"jjjjmmdd")</f>
        <v>19430402</v>
      </c>
      <c r="C823" s="18">
        <v>1</v>
      </c>
      <c r="D823" s="23">
        <f t="shared" ca="1" si="24"/>
        <v>0</v>
      </c>
      <c r="E823" s="24">
        <f t="shared" ca="1" si="25"/>
        <v>0</v>
      </c>
    </row>
    <row r="824" spans="1:5" x14ac:dyDescent="0.25">
      <c r="A824" s="17">
        <f ca="1">INDEX(Stations,INT((ROWS(A$2:A824)-1)/(DATE(YEAR(Invoer!$A$5),12,31)-DATE(YEAR(Invoer!$A$5),1,1)+1))+2,1)</f>
        <v>82</v>
      </c>
      <c r="B824" t="str">
        <f ca="1">TEXT(DATE(YEAR(Invoer!$A$5),1,1)+MOD(ROWS(B$2:B824)-1,DATE(YEAR(Invoer!$A$5),12,31)-DATE(YEAR(Invoer!$A$5),1,1)+1),"jjjjmmdd")</f>
        <v>19430403</v>
      </c>
      <c r="C824" s="18">
        <v>1</v>
      </c>
      <c r="D824" s="23">
        <f t="shared" ca="1" si="24"/>
        <v>0</v>
      </c>
      <c r="E824" s="24">
        <f t="shared" ca="1" si="25"/>
        <v>0</v>
      </c>
    </row>
    <row r="825" spans="1:5" x14ac:dyDescent="0.25">
      <c r="A825" s="17">
        <f ca="1">INDEX(Stations,INT((ROWS(A$2:A825)-1)/(DATE(YEAR(Invoer!$A$5),12,31)-DATE(YEAR(Invoer!$A$5),1,1)+1))+2,1)</f>
        <v>82</v>
      </c>
      <c r="B825" t="str">
        <f ca="1">TEXT(DATE(YEAR(Invoer!$A$5),1,1)+MOD(ROWS(B$2:B825)-1,DATE(YEAR(Invoer!$A$5),12,31)-DATE(YEAR(Invoer!$A$5),1,1)+1),"jjjjmmdd")</f>
        <v>19430404</v>
      </c>
      <c r="C825" s="18">
        <v>1</v>
      </c>
      <c r="D825" s="23">
        <f t="shared" ca="1" si="24"/>
        <v>0</v>
      </c>
      <c r="E825" s="24">
        <f t="shared" ca="1" si="25"/>
        <v>0</v>
      </c>
    </row>
    <row r="826" spans="1:5" x14ac:dyDescent="0.25">
      <c r="A826" s="17">
        <f ca="1">INDEX(Stations,INT((ROWS(A$2:A826)-1)/(DATE(YEAR(Invoer!$A$5),12,31)-DATE(YEAR(Invoer!$A$5),1,1)+1))+2,1)</f>
        <v>82</v>
      </c>
      <c r="B826" t="str">
        <f ca="1">TEXT(DATE(YEAR(Invoer!$A$5),1,1)+MOD(ROWS(B$2:B826)-1,DATE(YEAR(Invoer!$A$5),12,31)-DATE(YEAR(Invoer!$A$5),1,1)+1),"jjjjmmdd")</f>
        <v>19430405</v>
      </c>
      <c r="C826" s="18">
        <v>1</v>
      </c>
      <c r="D826" s="23">
        <f t="shared" ca="1" si="24"/>
        <v>0</v>
      </c>
      <c r="E826" s="24">
        <f t="shared" ca="1" si="25"/>
        <v>0</v>
      </c>
    </row>
    <row r="827" spans="1:5" x14ac:dyDescent="0.25">
      <c r="A827" s="17">
        <f ca="1">INDEX(Stations,INT((ROWS(A$2:A827)-1)/(DATE(YEAR(Invoer!$A$5),12,31)-DATE(YEAR(Invoer!$A$5),1,1)+1))+2,1)</f>
        <v>82</v>
      </c>
      <c r="B827" t="str">
        <f ca="1">TEXT(DATE(YEAR(Invoer!$A$5),1,1)+MOD(ROWS(B$2:B827)-1,DATE(YEAR(Invoer!$A$5),12,31)-DATE(YEAR(Invoer!$A$5),1,1)+1),"jjjjmmdd")</f>
        <v>19430406</v>
      </c>
      <c r="C827" s="18">
        <v>1</v>
      </c>
      <c r="D827" s="23">
        <f t="shared" ca="1" si="24"/>
        <v>0</v>
      </c>
      <c r="E827" s="24">
        <f t="shared" ca="1" si="25"/>
        <v>0</v>
      </c>
    </row>
    <row r="828" spans="1:5" x14ac:dyDescent="0.25">
      <c r="A828" s="17">
        <f ca="1">INDEX(Stations,INT((ROWS(A$2:A828)-1)/(DATE(YEAR(Invoer!$A$5),12,31)-DATE(YEAR(Invoer!$A$5),1,1)+1))+2,1)</f>
        <v>82</v>
      </c>
      <c r="B828" t="str">
        <f ca="1">TEXT(DATE(YEAR(Invoer!$A$5),1,1)+MOD(ROWS(B$2:B828)-1,DATE(YEAR(Invoer!$A$5),12,31)-DATE(YEAR(Invoer!$A$5),1,1)+1),"jjjjmmdd")</f>
        <v>19430407</v>
      </c>
      <c r="C828" s="18">
        <v>1</v>
      </c>
      <c r="D828" s="23">
        <f t="shared" ca="1" si="24"/>
        <v>0</v>
      </c>
      <c r="E828" s="24">
        <f t="shared" ca="1" si="25"/>
        <v>0</v>
      </c>
    </row>
    <row r="829" spans="1:5" x14ac:dyDescent="0.25">
      <c r="A829" s="17">
        <f ca="1">INDEX(Stations,INT((ROWS(A$2:A829)-1)/(DATE(YEAR(Invoer!$A$5),12,31)-DATE(YEAR(Invoer!$A$5),1,1)+1))+2,1)</f>
        <v>82</v>
      </c>
      <c r="B829" t="str">
        <f ca="1">TEXT(DATE(YEAR(Invoer!$A$5),1,1)+MOD(ROWS(B$2:B829)-1,DATE(YEAR(Invoer!$A$5),12,31)-DATE(YEAR(Invoer!$A$5),1,1)+1),"jjjjmmdd")</f>
        <v>19430408</v>
      </c>
      <c r="C829" s="18">
        <v>1</v>
      </c>
      <c r="D829" s="23">
        <f t="shared" ca="1" si="24"/>
        <v>0</v>
      </c>
      <c r="E829" s="24">
        <f t="shared" ca="1" si="25"/>
        <v>0</v>
      </c>
    </row>
    <row r="830" spans="1:5" x14ac:dyDescent="0.25">
      <c r="A830" s="17">
        <f ca="1">INDEX(Stations,INT((ROWS(A$2:A830)-1)/(DATE(YEAR(Invoer!$A$5),12,31)-DATE(YEAR(Invoer!$A$5),1,1)+1))+2,1)</f>
        <v>82</v>
      </c>
      <c r="B830" t="str">
        <f ca="1">TEXT(DATE(YEAR(Invoer!$A$5),1,1)+MOD(ROWS(B$2:B830)-1,DATE(YEAR(Invoer!$A$5),12,31)-DATE(YEAR(Invoer!$A$5),1,1)+1),"jjjjmmdd")</f>
        <v>19430409</v>
      </c>
      <c r="C830" s="18">
        <v>1</v>
      </c>
      <c r="D830" s="23">
        <f t="shared" ca="1" si="24"/>
        <v>0</v>
      </c>
      <c r="E830" s="24">
        <f t="shared" ca="1" si="25"/>
        <v>0</v>
      </c>
    </row>
    <row r="831" spans="1:5" x14ac:dyDescent="0.25">
      <c r="A831" s="17">
        <f ca="1">INDEX(Stations,INT((ROWS(A$2:A831)-1)/(DATE(YEAR(Invoer!$A$5),12,31)-DATE(YEAR(Invoer!$A$5),1,1)+1))+2,1)</f>
        <v>82</v>
      </c>
      <c r="B831" t="str">
        <f ca="1">TEXT(DATE(YEAR(Invoer!$A$5),1,1)+MOD(ROWS(B$2:B831)-1,DATE(YEAR(Invoer!$A$5),12,31)-DATE(YEAR(Invoer!$A$5),1,1)+1),"jjjjmmdd")</f>
        <v>19430410</v>
      </c>
      <c r="C831" s="18">
        <v>1</v>
      </c>
      <c r="D831" s="23">
        <f t="shared" ca="1" si="24"/>
        <v>0</v>
      </c>
      <c r="E831" s="24">
        <f t="shared" ca="1" si="25"/>
        <v>0</v>
      </c>
    </row>
    <row r="832" spans="1:5" x14ac:dyDescent="0.25">
      <c r="A832" s="17">
        <f ca="1">INDEX(Stations,INT((ROWS(A$2:A832)-1)/(DATE(YEAR(Invoer!$A$5),12,31)-DATE(YEAR(Invoer!$A$5),1,1)+1))+2,1)</f>
        <v>82</v>
      </c>
      <c r="B832" t="str">
        <f ca="1">TEXT(DATE(YEAR(Invoer!$A$5),1,1)+MOD(ROWS(B$2:B832)-1,DATE(YEAR(Invoer!$A$5),12,31)-DATE(YEAR(Invoer!$A$5),1,1)+1),"jjjjmmdd")</f>
        <v>19430411</v>
      </c>
      <c r="C832" s="18">
        <v>1</v>
      </c>
      <c r="D832" s="23">
        <f t="shared" ca="1" si="24"/>
        <v>0</v>
      </c>
      <c r="E832" s="24">
        <f t="shared" ca="1" si="25"/>
        <v>0</v>
      </c>
    </row>
    <row r="833" spans="1:5" x14ac:dyDescent="0.25">
      <c r="A833" s="17">
        <f ca="1">INDEX(Stations,INT((ROWS(A$2:A833)-1)/(DATE(YEAR(Invoer!$A$5),12,31)-DATE(YEAR(Invoer!$A$5),1,1)+1))+2,1)</f>
        <v>82</v>
      </c>
      <c r="B833" t="str">
        <f ca="1">TEXT(DATE(YEAR(Invoer!$A$5),1,1)+MOD(ROWS(B$2:B833)-1,DATE(YEAR(Invoer!$A$5),12,31)-DATE(YEAR(Invoer!$A$5),1,1)+1),"jjjjmmdd")</f>
        <v>19430412</v>
      </c>
      <c r="C833" s="18">
        <v>1</v>
      </c>
      <c r="D833" s="23">
        <f t="shared" ca="1" si="24"/>
        <v>225</v>
      </c>
      <c r="E833" s="24">
        <f t="shared" ca="1" si="25"/>
        <v>0</v>
      </c>
    </row>
    <row r="834" spans="1:5" x14ac:dyDescent="0.25">
      <c r="A834" s="17">
        <f ca="1">INDEX(Stations,INT((ROWS(A$2:A834)-1)/(DATE(YEAR(Invoer!$A$5),12,31)-DATE(YEAR(Invoer!$A$5),1,1)+1))+2,1)</f>
        <v>82</v>
      </c>
      <c r="B834" t="str">
        <f ca="1">TEXT(DATE(YEAR(Invoer!$A$5),1,1)+MOD(ROWS(B$2:B834)-1,DATE(YEAR(Invoer!$A$5),12,31)-DATE(YEAR(Invoer!$A$5),1,1)+1),"jjjjmmdd")</f>
        <v>19430413</v>
      </c>
      <c r="C834" s="18">
        <v>1</v>
      </c>
      <c r="D834" s="23">
        <f t="shared" ref="D834:D897" ca="1" si="26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"—",VLOOKUP(DATEVALUE(LEFT(B834,4)&amp;"-"&amp;MID(B834,5,2)&amp;"-"&amp;RIGHT(B834,2)),Data,MATCH(VLOOKUP(A834,Stations,2,FALSE()),OFFSET(Data,1,0,1),0),FALSE()))</f>
        <v>0</v>
      </c>
      <c r="E834" s="24">
        <f t="shared" ref="E834:E897" ca="1" si="27">IF(OR(ISBLANK(VLOOKUP(DATEVALUE(LEFT(B834,4)&amp;"-"&amp;MID(B834,5,2)&amp;"-"&amp;RIGHT(B834,2)),Data,MATCH(VLOOKUP(A834,Stations,2,FALSE()),OFFSET(Data,1,0,1),0),FALSE())),ISTEXT(VLOOKUP(DATEVALUE(LEFT(B834,4)&amp;"-"&amp;MID(B834,5,2)&amp;"-"&amp;RIGHT(B834,2)),Data,MATCH(VLOOKUP(A834,Stations,2,FALSE()),OFFSET(Data,1,0,1),0),FALSE()))),Lacking,IF(ISNA(MATCH(DATEVALUE(LEFT(B834,4)&amp;"-"&amp;MID(B834,5,2)&amp;"-"&amp;RIGHT(B834,2)),OFFSET(Catalogus,0,0,,1),0)),Ok,VLOOKUP(DATEVALUE(LEFT(B834,4)&amp;"-"&amp;MID(B834,5,2)&amp;"-"&amp;RIGHT(B834,2)),Catalogus,MATCH(VLOOKUP(A834,Stations,2,FALSE()),OFFSET(Catalogus,1,0,1),0),FALSE())))</f>
        <v>0</v>
      </c>
    </row>
    <row r="835" spans="1:5" x14ac:dyDescent="0.25">
      <c r="A835" s="17">
        <f ca="1">INDEX(Stations,INT((ROWS(A$2:A835)-1)/(DATE(YEAR(Invoer!$A$5),12,31)-DATE(YEAR(Invoer!$A$5),1,1)+1))+2,1)</f>
        <v>82</v>
      </c>
      <c r="B835" t="str">
        <f ca="1">TEXT(DATE(YEAR(Invoer!$A$5),1,1)+MOD(ROWS(B$2:B835)-1,DATE(YEAR(Invoer!$A$5),12,31)-DATE(YEAR(Invoer!$A$5),1,1)+1),"jjjjmmdd")</f>
        <v>19430414</v>
      </c>
      <c r="C835" s="18">
        <v>1</v>
      </c>
      <c r="D835" s="23">
        <f t="shared" ca="1" si="26"/>
        <v>0</v>
      </c>
      <c r="E835" s="24">
        <f t="shared" ca="1" si="27"/>
        <v>0</v>
      </c>
    </row>
    <row r="836" spans="1:5" x14ac:dyDescent="0.25">
      <c r="A836" s="17">
        <f ca="1">INDEX(Stations,INT((ROWS(A$2:A836)-1)/(DATE(YEAR(Invoer!$A$5),12,31)-DATE(YEAR(Invoer!$A$5),1,1)+1))+2,1)</f>
        <v>82</v>
      </c>
      <c r="B836" t="str">
        <f ca="1">TEXT(DATE(YEAR(Invoer!$A$5),1,1)+MOD(ROWS(B$2:B836)-1,DATE(YEAR(Invoer!$A$5),12,31)-DATE(YEAR(Invoer!$A$5),1,1)+1),"jjjjmmdd")</f>
        <v>19430415</v>
      </c>
      <c r="C836" s="18">
        <v>1</v>
      </c>
      <c r="D836" s="23">
        <f t="shared" ca="1" si="26"/>
        <v>0</v>
      </c>
      <c r="E836" s="24">
        <f t="shared" ca="1" si="27"/>
        <v>0</v>
      </c>
    </row>
    <row r="837" spans="1:5" x14ac:dyDescent="0.25">
      <c r="A837" s="17">
        <f ca="1">INDEX(Stations,INT((ROWS(A$2:A837)-1)/(DATE(YEAR(Invoer!$A$5),12,31)-DATE(YEAR(Invoer!$A$5),1,1)+1))+2,1)</f>
        <v>82</v>
      </c>
      <c r="B837" t="str">
        <f ca="1">TEXT(DATE(YEAR(Invoer!$A$5),1,1)+MOD(ROWS(B$2:B837)-1,DATE(YEAR(Invoer!$A$5),12,31)-DATE(YEAR(Invoer!$A$5),1,1)+1),"jjjjmmdd")</f>
        <v>19430416</v>
      </c>
      <c r="C837" s="18">
        <v>1</v>
      </c>
      <c r="D837" s="23">
        <f t="shared" ca="1" si="26"/>
        <v>0</v>
      </c>
      <c r="E837" s="24">
        <f t="shared" ca="1" si="27"/>
        <v>0</v>
      </c>
    </row>
    <row r="838" spans="1:5" x14ac:dyDescent="0.25">
      <c r="A838" s="17">
        <f ca="1">INDEX(Stations,INT((ROWS(A$2:A838)-1)/(DATE(YEAR(Invoer!$A$5),12,31)-DATE(YEAR(Invoer!$A$5),1,1)+1))+2,1)</f>
        <v>82</v>
      </c>
      <c r="B838" t="str">
        <f ca="1">TEXT(DATE(YEAR(Invoer!$A$5),1,1)+MOD(ROWS(B$2:B838)-1,DATE(YEAR(Invoer!$A$5),12,31)-DATE(YEAR(Invoer!$A$5),1,1)+1),"jjjjmmdd")</f>
        <v>19430417</v>
      </c>
      <c r="C838" s="18">
        <v>1</v>
      </c>
      <c r="D838" s="23">
        <f t="shared" ca="1" si="26"/>
        <v>0</v>
      </c>
      <c r="E838" s="24">
        <f t="shared" ca="1" si="27"/>
        <v>0</v>
      </c>
    </row>
    <row r="839" spans="1:5" x14ac:dyDescent="0.25">
      <c r="A839" s="17">
        <f ca="1">INDEX(Stations,INT((ROWS(A$2:A839)-1)/(DATE(YEAR(Invoer!$A$5),12,31)-DATE(YEAR(Invoer!$A$5),1,1)+1))+2,1)</f>
        <v>82</v>
      </c>
      <c r="B839" t="str">
        <f ca="1">TEXT(DATE(YEAR(Invoer!$A$5),1,1)+MOD(ROWS(B$2:B839)-1,DATE(YEAR(Invoer!$A$5),12,31)-DATE(YEAR(Invoer!$A$5),1,1)+1),"jjjjmmdd")</f>
        <v>19430418</v>
      </c>
      <c r="C839" s="18">
        <v>1</v>
      </c>
      <c r="D839" s="23">
        <f t="shared" ca="1" si="26"/>
        <v>0</v>
      </c>
      <c r="E839" s="24">
        <f t="shared" ca="1" si="27"/>
        <v>0</v>
      </c>
    </row>
    <row r="840" spans="1:5" x14ac:dyDescent="0.25">
      <c r="A840" s="17">
        <f ca="1">INDEX(Stations,INT((ROWS(A$2:A840)-1)/(DATE(YEAR(Invoer!$A$5),12,31)-DATE(YEAR(Invoer!$A$5),1,1)+1))+2,1)</f>
        <v>82</v>
      </c>
      <c r="B840" t="str">
        <f ca="1">TEXT(DATE(YEAR(Invoer!$A$5),1,1)+MOD(ROWS(B$2:B840)-1,DATE(YEAR(Invoer!$A$5),12,31)-DATE(YEAR(Invoer!$A$5),1,1)+1),"jjjjmmdd")</f>
        <v>19430419</v>
      </c>
      <c r="C840" s="18">
        <v>1</v>
      </c>
      <c r="D840" s="23">
        <f t="shared" ca="1" si="26"/>
        <v>160</v>
      </c>
      <c r="E840" s="24">
        <f t="shared" ca="1" si="27"/>
        <v>0</v>
      </c>
    </row>
    <row r="841" spans="1:5" x14ac:dyDescent="0.25">
      <c r="A841" s="17">
        <f ca="1">INDEX(Stations,INT((ROWS(A$2:A841)-1)/(DATE(YEAR(Invoer!$A$5),12,31)-DATE(YEAR(Invoer!$A$5),1,1)+1))+2,1)</f>
        <v>82</v>
      </c>
      <c r="B841" t="str">
        <f ca="1">TEXT(DATE(YEAR(Invoer!$A$5),1,1)+MOD(ROWS(B$2:B841)-1,DATE(YEAR(Invoer!$A$5),12,31)-DATE(YEAR(Invoer!$A$5),1,1)+1),"jjjjmmdd")</f>
        <v>19430420</v>
      </c>
      <c r="C841" s="18">
        <v>1</v>
      </c>
      <c r="D841" s="23">
        <f t="shared" ca="1" si="26"/>
        <v>0</v>
      </c>
      <c r="E841" s="24">
        <f t="shared" ca="1" si="27"/>
        <v>0</v>
      </c>
    </row>
    <row r="842" spans="1:5" x14ac:dyDescent="0.25">
      <c r="A842" s="17">
        <f ca="1">INDEX(Stations,INT((ROWS(A$2:A842)-1)/(DATE(YEAR(Invoer!$A$5),12,31)-DATE(YEAR(Invoer!$A$5),1,1)+1))+2,1)</f>
        <v>82</v>
      </c>
      <c r="B842" t="str">
        <f ca="1">TEXT(DATE(YEAR(Invoer!$A$5),1,1)+MOD(ROWS(B$2:B842)-1,DATE(YEAR(Invoer!$A$5),12,31)-DATE(YEAR(Invoer!$A$5),1,1)+1),"jjjjmmdd")</f>
        <v>19430421</v>
      </c>
      <c r="C842" s="18">
        <v>1</v>
      </c>
      <c r="D842" s="23">
        <f t="shared" ca="1" si="26"/>
        <v>0</v>
      </c>
      <c r="E842" s="24">
        <f t="shared" ca="1" si="27"/>
        <v>0</v>
      </c>
    </row>
    <row r="843" spans="1:5" x14ac:dyDescent="0.25">
      <c r="A843" s="17">
        <f ca="1">INDEX(Stations,INT((ROWS(A$2:A843)-1)/(DATE(YEAR(Invoer!$A$5),12,31)-DATE(YEAR(Invoer!$A$5),1,1)+1))+2,1)</f>
        <v>82</v>
      </c>
      <c r="B843" t="str">
        <f ca="1">TEXT(DATE(YEAR(Invoer!$A$5),1,1)+MOD(ROWS(B$2:B843)-1,DATE(YEAR(Invoer!$A$5),12,31)-DATE(YEAR(Invoer!$A$5),1,1)+1),"jjjjmmdd")</f>
        <v>19430422</v>
      </c>
      <c r="C843" s="18">
        <v>1</v>
      </c>
      <c r="D843" s="23">
        <f t="shared" ca="1" si="26"/>
        <v>0</v>
      </c>
      <c r="E843" s="24">
        <f t="shared" ca="1" si="27"/>
        <v>0</v>
      </c>
    </row>
    <row r="844" spans="1:5" x14ac:dyDescent="0.25">
      <c r="A844" s="17">
        <f ca="1">INDEX(Stations,INT((ROWS(A$2:A844)-1)/(DATE(YEAR(Invoer!$A$5),12,31)-DATE(YEAR(Invoer!$A$5),1,1)+1))+2,1)</f>
        <v>82</v>
      </c>
      <c r="B844" t="str">
        <f ca="1">TEXT(DATE(YEAR(Invoer!$A$5),1,1)+MOD(ROWS(B$2:B844)-1,DATE(YEAR(Invoer!$A$5),12,31)-DATE(YEAR(Invoer!$A$5),1,1)+1),"jjjjmmdd")</f>
        <v>19430423</v>
      </c>
      <c r="C844" s="18">
        <v>1</v>
      </c>
      <c r="D844" s="23">
        <f t="shared" ca="1" si="26"/>
        <v>0</v>
      </c>
      <c r="E844" s="24">
        <f t="shared" ca="1" si="27"/>
        <v>0</v>
      </c>
    </row>
    <row r="845" spans="1:5" x14ac:dyDescent="0.25">
      <c r="A845" s="17">
        <f ca="1">INDEX(Stations,INT((ROWS(A$2:A845)-1)/(DATE(YEAR(Invoer!$A$5),12,31)-DATE(YEAR(Invoer!$A$5),1,1)+1))+2,1)</f>
        <v>82</v>
      </c>
      <c r="B845" t="str">
        <f ca="1">TEXT(DATE(YEAR(Invoer!$A$5),1,1)+MOD(ROWS(B$2:B845)-1,DATE(YEAR(Invoer!$A$5),12,31)-DATE(YEAR(Invoer!$A$5),1,1)+1),"jjjjmmdd")</f>
        <v>19430424</v>
      </c>
      <c r="C845" s="18">
        <v>1</v>
      </c>
      <c r="D845" s="23">
        <f t="shared" ca="1" si="26"/>
        <v>0</v>
      </c>
      <c r="E845" s="24">
        <f t="shared" ca="1" si="27"/>
        <v>0</v>
      </c>
    </row>
    <row r="846" spans="1:5" x14ac:dyDescent="0.25">
      <c r="A846" s="17">
        <f ca="1">INDEX(Stations,INT((ROWS(A$2:A846)-1)/(DATE(YEAR(Invoer!$A$5),12,31)-DATE(YEAR(Invoer!$A$5),1,1)+1))+2,1)</f>
        <v>82</v>
      </c>
      <c r="B846" t="str">
        <f ca="1">TEXT(DATE(YEAR(Invoer!$A$5),1,1)+MOD(ROWS(B$2:B846)-1,DATE(YEAR(Invoer!$A$5),12,31)-DATE(YEAR(Invoer!$A$5),1,1)+1),"jjjjmmdd")</f>
        <v>19430425</v>
      </c>
      <c r="C846" s="18">
        <v>1</v>
      </c>
      <c r="D846" s="23">
        <f t="shared" ca="1" si="26"/>
        <v>0</v>
      </c>
      <c r="E846" s="24">
        <f t="shared" ca="1" si="27"/>
        <v>0</v>
      </c>
    </row>
    <row r="847" spans="1:5" x14ac:dyDescent="0.25">
      <c r="A847" s="17">
        <f ca="1">INDEX(Stations,INT((ROWS(A$2:A847)-1)/(DATE(YEAR(Invoer!$A$5),12,31)-DATE(YEAR(Invoer!$A$5),1,1)+1))+2,1)</f>
        <v>82</v>
      </c>
      <c r="B847" t="str">
        <f ca="1">TEXT(DATE(YEAR(Invoer!$A$5),1,1)+MOD(ROWS(B$2:B847)-1,DATE(YEAR(Invoer!$A$5),12,31)-DATE(YEAR(Invoer!$A$5),1,1)+1),"jjjjmmdd")</f>
        <v>19430426</v>
      </c>
      <c r="C847" s="18">
        <v>1</v>
      </c>
      <c r="D847" s="23">
        <f t="shared" ca="1" si="26"/>
        <v>0</v>
      </c>
      <c r="E847" s="24">
        <f t="shared" ca="1" si="27"/>
        <v>0</v>
      </c>
    </row>
    <row r="848" spans="1:5" x14ac:dyDescent="0.25">
      <c r="A848" s="17">
        <f ca="1">INDEX(Stations,INT((ROWS(A$2:A848)-1)/(DATE(YEAR(Invoer!$A$5),12,31)-DATE(YEAR(Invoer!$A$5),1,1)+1))+2,1)</f>
        <v>82</v>
      </c>
      <c r="B848" t="str">
        <f ca="1">TEXT(DATE(YEAR(Invoer!$A$5),1,1)+MOD(ROWS(B$2:B848)-1,DATE(YEAR(Invoer!$A$5),12,31)-DATE(YEAR(Invoer!$A$5),1,1)+1),"jjjjmmdd")</f>
        <v>19430427</v>
      </c>
      <c r="C848" s="18">
        <v>1</v>
      </c>
      <c r="D848" s="23">
        <f t="shared" ca="1" si="26"/>
        <v>0</v>
      </c>
      <c r="E848" s="24">
        <f t="shared" ca="1" si="27"/>
        <v>0</v>
      </c>
    </row>
    <row r="849" spans="1:5" x14ac:dyDescent="0.25">
      <c r="A849" s="17">
        <f ca="1">INDEX(Stations,INT((ROWS(A$2:A849)-1)/(DATE(YEAR(Invoer!$A$5),12,31)-DATE(YEAR(Invoer!$A$5),1,1)+1))+2,1)</f>
        <v>82</v>
      </c>
      <c r="B849" t="str">
        <f ca="1">TEXT(DATE(YEAR(Invoer!$A$5),1,1)+MOD(ROWS(B$2:B849)-1,DATE(YEAR(Invoer!$A$5),12,31)-DATE(YEAR(Invoer!$A$5),1,1)+1),"jjjjmmdd")</f>
        <v>19430428</v>
      </c>
      <c r="C849" s="18">
        <v>1</v>
      </c>
      <c r="D849" s="23">
        <f t="shared" ca="1" si="26"/>
        <v>0</v>
      </c>
      <c r="E849" s="24">
        <f t="shared" ca="1" si="27"/>
        <v>0</v>
      </c>
    </row>
    <row r="850" spans="1:5" x14ac:dyDescent="0.25">
      <c r="A850" s="17">
        <f ca="1">INDEX(Stations,INT((ROWS(A$2:A850)-1)/(DATE(YEAR(Invoer!$A$5),12,31)-DATE(YEAR(Invoer!$A$5),1,1)+1))+2,1)</f>
        <v>82</v>
      </c>
      <c r="B850" t="str">
        <f ca="1">TEXT(DATE(YEAR(Invoer!$A$5),1,1)+MOD(ROWS(B$2:B850)-1,DATE(YEAR(Invoer!$A$5),12,31)-DATE(YEAR(Invoer!$A$5),1,1)+1),"jjjjmmdd")</f>
        <v>19430429</v>
      </c>
      <c r="C850" s="18">
        <v>1</v>
      </c>
      <c r="D850" s="23">
        <f t="shared" ca="1" si="26"/>
        <v>0</v>
      </c>
      <c r="E850" s="24">
        <f t="shared" ca="1" si="27"/>
        <v>0</v>
      </c>
    </row>
    <row r="851" spans="1:5" x14ac:dyDescent="0.25">
      <c r="A851" s="17">
        <f ca="1">INDEX(Stations,INT((ROWS(A$2:A851)-1)/(DATE(YEAR(Invoer!$A$5),12,31)-DATE(YEAR(Invoer!$A$5),1,1)+1))+2,1)</f>
        <v>82</v>
      </c>
      <c r="B851" t="str">
        <f ca="1">TEXT(DATE(YEAR(Invoer!$A$5),1,1)+MOD(ROWS(B$2:B851)-1,DATE(YEAR(Invoer!$A$5),12,31)-DATE(YEAR(Invoer!$A$5),1,1)+1),"jjjjmmdd")</f>
        <v>19430430</v>
      </c>
      <c r="C851" s="18">
        <v>1</v>
      </c>
      <c r="D851" s="23">
        <f t="shared" ca="1" si="26"/>
        <v>0</v>
      </c>
      <c r="E851" s="24">
        <f t="shared" ca="1" si="27"/>
        <v>0</v>
      </c>
    </row>
    <row r="852" spans="1:5" x14ac:dyDescent="0.25">
      <c r="A852" s="17">
        <f ca="1">INDEX(Stations,INT((ROWS(A$2:A852)-1)/(DATE(YEAR(Invoer!$A$5),12,31)-DATE(YEAR(Invoer!$A$5),1,1)+1))+2,1)</f>
        <v>82</v>
      </c>
      <c r="B852" t="str">
        <f ca="1">TEXT(DATE(YEAR(Invoer!$A$5),1,1)+MOD(ROWS(B$2:B852)-1,DATE(YEAR(Invoer!$A$5),12,31)-DATE(YEAR(Invoer!$A$5),1,1)+1),"jjjjmmdd")</f>
        <v>19430501</v>
      </c>
      <c r="C852" s="18">
        <v>1</v>
      </c>
      <c r="D852" s="23" t="str">
        <f t="shared" ca="1" si="26"/>
        <v>—</v>
      </c>
      <c r="E852" s="24">
        <f t="shared" ca="1" si="27"/>
        <v>7</v>
      </c>
    </row>
    <row r="853" spans="1:5" x14ac:dyDescent="0.25">
      <c r="A853" s="17">
        <f ca="1">INDEX(Stations,INT((ROWS(A$2:A853)-1)/(DATE(YEAR(Invoer!$A$5),12,31)-DATE(YEAR(Invoer!$A$5),1,1)+1))+2,1)</f>
        <v>82</v>
      </c>
      <c r="B853" t="str">
        <f ca="1">TEXT(DATE(YEAR(Invoer!$A$5),1,1)+MOD(ROWS(B$2:B853)-1,DATE(YEAR(Invoer!$A$5),12,31)-DATE(YEAR(Invoer!$A$5),1,1)+1),"jjjjmmdd")</f>
        <v>19430502</v>
      </c>
      <c r="C853" s="18">
        <v>1</v>
      </c>
      <c r="D853" s="23" t="str">
        <f t="shared" ca="1" si="26"/>
        <v>—</v>
      </c>
      <c r="E853" s="24">
        <f t="shared" ca="1" si="27"/>
        <v>7</v>
      </c>
    </row>
    <row r="854" spans="1:5" x14ac:dyDescent="0.25">
      <c r="A854" s="17">
        <f ca="1">INDEX(Stations,INT((ROWS(A$2:A854)-1)/(DATE(YEAR(Invoer!$A$5),12,31)-DATE(YEAR(Invoer!$A$5),1,1)+1))+2,1)</f>
        <v>82</v>
      </c>
      <c r="B854" t="str">
        <f ca="1">TEXT(DATE(YEAR(Invoer!$A$5),1,1)+MOD(ROWS(B$2:B854)-1,DATE(YEAR(Invoer!$A$5),12,31)-DATE(YEAR(Invoer!$A$5),1,1)+1),"jjjjmmdd")</f>
        <v>19430503</v>
      </c>
      <c r="C854" s="18">
        <v>1</v>
      </c>
      <c r="D854" s="23" t="str">
        <f t="shared" ca="1" si="26"/>
        <v>—</v>
      </c>
      <c r="E854" s="24">
        <f t="shared" ca="1" si="27"/>
        <v>7</v>
      </c>
    </row>
    <row r="855" spans="1:5" x14ac:dyDescent="0.25">
      <c r="A855" s="17">
        <f ca="1">INDEX(Stations,INT((ROWS(A$2:A855)-1)/(DATE(YEAR(Invoer!$A$5),12,31)-DATE(YEAR(Invoer!$A$5),1,1)+1))+2,1)</f>
        <v>82</v>
      </c>
      <c r="B855" t="str">
        <f ca="1">TEXT(DATE(YEAR(Invoer!$A$5),1,1)+MOD(ROWS(B$2:B855)-1,DATE(YEAR(Invoer!$A$5),12,31)-DATE(YEAR(Invoer!$A$5),1,1)+1),"jjjjmmdd")</f>
        <v>19430504</v>
      </c>
      <c r="C855" s="18">
        <v>1</v>
      </c>
      <c r="D855" s="23" t="str">
        <f t="shared" ca="1" si="26"/>
        <v>—</v>
      </c>
      <c r="E855" s="24">
        <f t="shared" ca="1" si="27"/>
        <v>7</v>
      </c>
    </row>
    <row r="856" spans="1:5" x14ac:dyDescent="0.25">
      <c r="A856" s="17">
        <f ca="1">INDEX(Stations,INT((ROWS(A$2:A856)-1)/(DATE(YEAR(Invoer!$A$5),12,31)-DATE(YEAR(Invoer!$A$5),1,1)+1))+2,1)</f>
        <v>82</v>
      </c>
      <c r="B856" t="str">
        <f ca="1">TEXT(DATE(YEAR(Invoer!$A$5),1,1)+MOD(ROWS(B$2:B856)-1,DATE(YEAR(Invoer!$A$5),12,31)-DATE(YEAR(Invoer!$A$5),1,1)+1),"jjjjmmdd")</f>
        <v>19430505</v>
      </c>
      <c r="C856" s="18">
        <v>1</v>
      </c>
      <c r="D856" s="23" t="str">
        <f t="shared" ca="1" si="26"/>
        <v>—</v>
      </c>
      <c r="E856" s="24">
        <f t="shared" ca="1" si="27"/>
        <v>7</v>
      </c>
    </row>
    <row r="857" spans="1:5" x14ac:dyDescent="0.25">
      <c r="A857" s="17">
        <f ca="1">INDEX(Stations,INT((ROWS(A$2:A857)-1)/(DATE(YEAR(Invoer!$A$5),12,31)-DATE(YEAR(Invoer!$A$5),1,1)+1))+2,1)</f>
        <v>82</v>
      </c>
      <c r="B857" t="str">
        <f ca="1">TEXT(DATE(YEAR(Invoer!$A$5),1,1)+MOD(ROWS(B$2:B857)-1,DATE(YEAR(Invoer!$A$5),12,31)-DATE(YEAR(Invoer!$A$5),1,1)+1),"jjjjmmdd")</f>
        <v>19430506</v>
      </c>
      <c r="C857" s="18">
        <v>1</v>
      </c>
      <c r="D857" s="23" t="str">
        <f t="shared" ca="1" si="26"/>
        <v>—</v>
      </c>
      <c r="E857" s="24">
        <f t="shared" ca="1" si="27"/>
        <v>7</v>
      </c>
    </row>
    <row r="858" spans="1:5" x14ac:dyDescent="0.25">
      <c r="A858" s="17">
        <f ca="1">INDEX(Stations,INT((ROWS(A$2:A858)-1)/(DATE(YEAR(Invoer!$A$5),12,31)-DATE(YEAR(Invoer!$A$5),1,1)+1))+2,1)</f>
        <v>82</v>
      </c>
      <c r="B858" t="str">
        <f ca="1">TEXT(DATE(YEAR(Invoer!$A$5),1,1)+MOD(ROWS(B$2:B858)-1,DATE(YEAR(Invoer!$A$5),12,31)-DATE(YEAR(Invoer!$A$5),1,1)+1),"jjjjmmdd")</f>
        <v>19430507</v>
      </c>
      <c r="C858" s="18">
        <v>1</v>
      </c>
      <c r="D858" s="23" t="str">
        <f t="shared" ca="1" si="26"/>
        <v>—</v>
      </c>
      <c r="E858" s="24">
        <f t="shared" ca="1" si="27"/>
        <v>7</v>
      </c>
    </row>
    <row r="859" spans="1:5" x14ac:dyDescent="0.25">
      <c r="A859" s="17">
        <f ca="1">INDEX(Stations,INT((ROWS(A$2:A859)-1)/(DATE(YEAR(Invoer!$A$5),12,31)-DATE(YEAR(Invoer!$A$5),1,1)+1))+2,1)</f>
        <v>82</v>
      </c>
      <c r="B859" t="str">
        <f ca="1">TEXT(DATE(YEAR(Invoer!$A$5),1,1)+MOD(ROWS(B$2:B859)-1,DATE(YEAR(Invoer!$A$5),12,31)-DATE(YEAR(Invoer!$A$5),1,1)+1),"jjjjmmdd")</f>
        <v>19430508</v>
      </c>
      <c r="C859" s="18">
        <v>1</v>
      </c>
      <c r="D859" s="23" t="str">
        <f t="shared" ca="1" si="26"/>
        <v>—</v>
      </c>
      <c r="E859" s="24">
        <f t="shared" ca="1" si="27"/>
        <v>7</v>
      </c>
    </row>
    <row r="860" spans="1:5" x14ac:dyDescent="0.25">
      <c r="A860" s="17">
        <f ca="1">INDEX(Stations,INT((ROWS(A$2:A860)-1)/(DATE(YEAR(Invoer!$A$5),12,31)-DATE(YEAR(Invoer!$A$5),1,1)+1))+2,1)</f>
        <v>82</v>
      </c>
      <c r="B860" t="str">
        <f ca="1">TEXT(DATE(YEAR(Invoer!$A$5),1,1)+MOD(ROWS(B$2:B860)-1,DATE(YEAR(Invoer!$A$5),12,31)-DATE(YEAR(Invoer!$A$5),1,1)+1),"jjjjmmdd")</f>
        <v>19430509</v>
      </c>
      <c r="C860" s="18">
        <v>1</v>
      </c>
      <c r="D860" s="23" t="str">
        <f t="shared" ca="1" si="26"/>
        <v>—</v>
      </c>
      <c r="E860" s="24">
        <f t="shared" ca="1" si="27"/>
        <v>7</v>
      </c>
    </row>
    <row r="861" spans="1:5" x14ac:dyDescent="0.25">
      <c r="A861" s="17">
        <f ca="1">INDEX(Stations,INT((ROWS(A$2:A861)-1)/(DATE(YEAR(Invoer!$A$5),12,31)-DATE(YEAR(Invoer!$A$5),1,1)+1))+2,1)</f>
        <v>82</v>
      </c>
      <c r="B861" t="str">
        <f ca="1">TEXT(DATE(YEAR(Invoer!$A$5),1,1)+MOD(ROWS(B$2:B861)-1,DATE(YEAR(Invoer!$A$5),12,31)-DATE(YEAR(Invoer!$A$5),1,1)+1),"jjjjmmdd")</f>
        <v>19430510</v>
      </c>
      <c r="C861" s="18">
        <v>1</v>
      </c>
      <c r="D861" s="23" t="str">
        <f t="shared" ca="1" si="26"/>
        <v>—</v>
      </c>
      <c r="E861" s="24">
        <f t="shared" ca="1" si="27"/>
        <v>7</v>
      </c>
    </row>
    <row r="862" spans="1:5" x14ac:dyDescent="0.25">
      <c r="A862" s="17">
        <f ca="1">INDEX(Stations,INT((ROWS(A$2:A862)-1)/(DATE(YEAR(Invoer!$A$5),12,31)-DATE(YEAR(Invoer!$A$5),1,1)+1))+2,1)</f>
        <v>82</v>
      </c>
      <c r="B862" t="str">
        <f ca="1">TEXT(DATE(YEAR(Invoer!$A$5),1,1)+MOD(ROWS(B$2:B862)-1,DATE(YEAR(Invoer!$A$5),12,31)-DATE(YEAR(Invoer!$A$5),1,1)+1),"jjjjmmdd")</f>
        <v>19430511</v>
      </c>
      <c r="C862" s="18">
        <v>1</v>
      </c>
      <c r="D862" s="23" t="str">
        <f t="shared" ca="1" si="26"/>
        <v>—</v>
      </c>
      <c r="E862" s="24">
        <f t="shared" ca="1" si="27"/>
        <v>7</v>
      </c>
    </row>
    <row r="863" spans="1:5" x14ac:dyDescent="0.25">
      <c r="A863" s="17">
        <f ca="1">INDEX(Stations,INT((ROWS(A$2:A863)-1)/(DATE(YEAR(Invoer!$A$5),12,31)-DATE(YEAR(Invoer!$A$5),1,1)+1))+2,1)</f>
        <v>82</v>
      </c>
      <c r="B863" t="str">
        <f ca="1">TEXT(DATE(YEAR(Invoer!$A$5),1,1)+MOD(ROWS(B$2:B863)-1,DATE(YEAR(Invoer!$A$5),12,31)-DATE(YEAR(Invoer!$A$5),1,1)+1),"jjjjmmdd")</f>
        <v>19430512</v>
      </c>
      <c r="C863" s="18">
        <v>1</v>
      </c>
      <c r="D863" s="23" t="str">
        <f t="shared" ca="1" si="26"/>
        <v>—</v>
      </c>
      <c r="E863" s="24">
        <f t="shared" ca="1" si="27"/>
        <v>7</v>
      </c>
    </row>
    <row r="864" spans="1:5" x14ac:dyDescent="0.25">
      <c r="A864" s="17">
        <f ca="1">INDEX(Stations,INT((ROWS(A$2:A864)-1)/(DATE(YEAR(Invoer!$A$5),12,31)-DATE(YEAR(Invoer!$A$5),1,1)+1))+2,1)</f>
        <v>82</v>
      </c>
      <c r="B864" t="str">
        <f ca="1">TEXT(DATE(YEAR(Invoer!$A$5),1,1)+MOD(ROWS(B$2:B864)-1,DATE(YEAR(Invoer!$A$5),12,31)-DATE(YEAR(Invoer!$A$5),1,1)+1),"jjjjmmdd")</f>
        <v>19430513</v>
      </c>
      <c r="C864" s="18">
        <v>1</v>
      </c>
      <c r="D864" s="23" t="str">
        <f t="shared" ca="1" si="26"/>
        <v>—</v>
      </c>
      <c r="E864" s="24">
        <f t="shared" ca="1" si="27"/>
        <v>7</v>
      </c>
    </row>
    <row r="865" spans="1:5" x14ac:dyDescent="0.25">
      <c r="A865" s="17">
        <f ca="1">INDEX(Stations,INT((ROWS(A$2:A865)-1)/(DATE(YEAR(Invoer!$A$5),12,31)-DATE(YEAR(Invoer!$A$5),1,1)+1))+2,1)</f>
        <v>82</v>
      </c>
      <c r="B865" t="str">
        <f ca="1">TEXT(DATE(YEAR(Invoer!$A$5),1,1)+MOD(ROWS(B$2:B865)-1,DATE(YEAR(Invoer!$A$5),12,31)-DATE(YEAR(Invoer!$A$5),1,1)+1),"jjjjmmdd")</f>
        <v>19430514</v>
      </c>
      <c r="C865" s="18">
        <v>1</v>
      </c>
      <c r="D865" s="23" t="str">
        <f t="shared" ca="1" si="26"/>
        <v>—</v>
      </c>
      <c r="E865" s="24">
        <f t="shared" ca="1" si="27"/>
        <v>7</v>
      </c>
    </row>
    <row r="866" spans="1:5" x14ac:dyDescent="0.25">
      <c r="A866" s="17">
        <f ca="1">INDEX(Stations,INT((ROWS(A$2:A866)-1)/(DATE(YEAR(Invoer!$A$5),12,31)-DATE(YEAR(Invoer!$A$5),1,1)+1))+2,1)</f>
        <v>82</v>
      </c>
      <c r="B866" t="str">
        <f ca="1">TEXT(DATE(YEAR(Invoer!$A$5),1,1)+MOD(ROWS(B$2:B866)-1,DATE(YEAR(Invoer!$A$5),12,31)-DATE(YEAR(Invoer!$A$5),1,1)+1),"jjjjmmdd")</f>
        <v>19430515</v>
      </c>
      <c r="C866" s="18">
        <v>1</v>
      </c>
      <c r="D866" s="23" t="str">
        <f t="shared" ca="1" si="26"/>
        <v>—</v>
      </c>
      <c r="E866" s="24">
        <f t="shared" ca="1" si="27"/>
        <v>7</v>
      </c>
    </row>
    <row r="867" spans="1:5" x14ac:dyDescent="0.25">
      <c r="A867" s="17">
        <f ca="1">INDEX(Stations,INT((ROWS(A$2:A867)-1)/(DATE(YEAR(Invoer!$A$5),12,31)-DATE(YEAR(Invoer!$A$5),1,1)+1))+2,1)</f>
        <v>82</v>
      </c>
      <c r="B867" t="str">
        <f ca="1">TEXT(DATE(YEAR(Invoer!$A$5),1,1)+MOD(ROWS(B$2:B867)-1,DATE(YEAR(Invoer!$A$5),12,31)-DATE(YEAR(Invoer!$A$5),1,1)+1),"jjjjmmdd")</f>
        <v>19430516</v>
      </c>
      <c r="C867" s="18">
        <v>1</v>
      </c>
      <c r="D867" s="23" t="str">
        <f t="shared" ca="1" si="26"/>
        <v>—</v>
      </c>
      <c r="E867" s="24">
        <f t="shared" ca="1" si="27"/>
        <v>7</v>
      </c>
    </row>
    <row r="868" spans="1:5" x14ac:dyDescent="0.25">
      <c r="A868" s="17">
        <f ca="1">INDEX(Stations,INT((ROWS(A$2:A868)-1)/(DATE(YEAR(Invoer!$A$5),12,31)-DATE(YEAR(Invoer!$A$5),1,1)+1))+2,1)</f>
        <v>82</v>
      </c>
      <c r="B868" t="str">
        <f ca="1">TEXT(DATE(YEAR(Invoer!$A$5),1,1)+MOD(ROWS(B$2:B868)-1,DATE(YEAR(Invoer!$A$5),12,31)-DATE(YEAR(Invoer!$A$5),1,1)+1),"jjjjmmdd")</f>
        <v>19430517</v>
      </c>
      <c r="C868" s="18">
        <v>1</v>
      </c>
      <c r="D868" s="23" t="str">
        <f t="shared" ca="1" si="26"/>
        <v>—</v>
      </c>
      <c r="E868" s="24">
        <f t="shared" ca="1" si="27"/>
        <v>7</v>
      </c>
    </row>
    <row r="869" spans="1:5" x14ac:dyDescent="0.25">
      <c r="A869" s="17">
        <f ca="1">INDEX(Stations,INT((ROWS(A$2:A869)-1)/(DATE(YEAR(Invoer!$A$5),12,31)-DATE(YEAR(Invoer!$A$5),1,1)+1))+2,1)</f>
        <v>82</v>
      </c>
      <c r="B869" t="str">
        <f ca="1">TEXT(DATE(YEAR(Invoer!$A$5),1,1)+MOD(ROWS(B$2:B869)-1,DATE(YEAR(Invoer!$A$5),12,31)-DATE(YEAR(Invoer!$A$5),1,1)+1),"jjjjmmdd")</f>
        <v>19430518</v>
      </c>
      <c r="C869" s="18">
        <v>1</v>
      </c>
      <c r="D869" s="23" t="str">
        <f t="shared" ca="1" si="26"/>
        <v>—</v>
      </c>
      <c r="E869" s="24">
        <f t="shared" ca="1" si="27"/>
        <v>7</v>
      </c>
    </row>
    <row r="870" spans="1:5" x14ac:dyDescent="0.25">
      <c r="A870" s="17">
        <f ca="1">INDEX(Stations,INT((ROWS(A$2:A870)-1)/(DATE(YEAR(Invoer!$A$5),12,31)-DATE(YEAR(Invoer!$A$5),1,1)+1))+2,1)</f>
        <v>82</v>
      </c>
      <c r="B870" t="str">
        <f ca="1">TEXT(DATE(YEAR(Invoer!$A$5),1,1)+MOD(ROWS(B$2:B870)-1,DATE(YEAR(Invoer!$A$5),12,31)-DATE(YEAR(Invoer!$A$5),1,1)+1),"jjjjmmdd")</f>
        <v>19430519</v>
      </c>
      <c r="C870" s="18">
        <v>1</v>
      </c>
      <c r="D870" s="23" t="str">
        <f t="shared" ca="1" si="26"/>
        <v>—</v>
      </c>
      <c r="E870" s="24">
        <f t="shared" ca="1" si="27"/>
        <v>7</v>
      </c>
    </row>
    <row r="871" spans="1:5" x14ac:dyDescent="0.25">
      <c r="A871" s="17">
        <f ca="1">INDEX(Stations,INT((ROWS(A$2:A871)-1)/(DATE(YEAR(Invoer!$A$5),12,31)-DATE(YEAR(Invoer!$A$5),1,1)+1))+2,1)</f>
        <v>82</v>
      </c>
      <c r="B871" t="str">
        <f ca="1">TEXT(DATE(YEAR(Invoer!$A$5),1,1)+MOD(ROWS(B$2:B871)-1,DATE(YEAR(Invoer!$A$5),12,31)-DATE(YEAR(Invoer!$A$5),1,1)+1),"jjjjmmdd")</f>
        <v>19430520</v>
      </c>
      <c r="C871" s="18">
        <v>1</v>
      </c>
      <c r="D871" s="23" t="str">
        <f t="shared" ca="1" si="26"/>
        <v>—</v>
      </c>
      <c r="E871" s="24">
        <f t="shared" ca="1" si="27"/>
        <v>7</v>
      </c>
    </row>
    <row r="872" spans="1:5" x14ac:dyDescent="0.25">
      <c r="A872" s="17">
        <f ca="1">INDEX(Stations,INT((ROWS(A$2:A872)-1)/(DATE(YEAR(Invoer!$A$5),12,31)-DATE(YEAR(Invoer!$A$5),1,1)+1))+2,1)</f>
        <v>82</v>
      </c>
      <c r="B872" t="str">
        <f ca="1">TEXT(DATE(YEAR(Invoer!$A$5),1,1)+MOD(ROWS(B$2:B872)-1,DATE(YEAR(Invoer!$A$5),12,31)-DATE(YEAR(Invoer!$A$5),1,1)+1),"jjjjmmdd")</f>
        <v>19430521</v>
      </c>
      <c r="C872" s="18">
        <v>1</v>
      </c>
      <c r="D872" s="23" t="str">
        <f t="shared" ca="1" si="26"/>
        <v>—</v>
      </c>
      <c r="E872" s="24">
        <f t="shared" ca="1" si="27"/>
        <v>7</v>
      </c>
    </row>
    <row r="873" spans="1:5" x14ac:dyDescent="0.25">
      <c r="A873" s="17">
        <f ca="1">INDEX(Stations,INT((ROWS(A$2:A873)-1)/(DATE(YEAR(Invoer!$A$5),12,31)-DATE(YEAR(Invoer!$A$5),1,1)+1))+2,1)</f>
        <v>82</v>
      </c>
      <c r="B873" t="str">
        <f ca="1">TEXT(DATE(YEAR(Invoer!$A$5),1,1)+MOD(ROWS(B$2:B873)-1,DATE(YEAR(Invoer!$A$5),12,31)-DATE(YEAR(Invoer!$A$5),1,1)+1),"jjjjmmdd")</f>
        <v>19430522</v>
      </c>
      <c r="C873" s="18">
        <v>1</v>
      </c>
      <c r="D873" s="23" t="str">
        <f t="shared" ca="1" si="26"/>
        <v>—</v>
      </c>
      <c r="E873" s="24">
        <f t="shared" ca="1" si="27"/>
        <v>7</v>
      </c>
    </row>
    <row r="874" spans="1:5" x14ac:dyDescent="0.25">
      <c r="A874" s="17">
        <f ca="1">INDEX(Stations,INT((ROWS(A$2:A874)-1)/(DATE(YEAR(Invoer!$A$5),12,31)-DATE(YEAR(Invoer!$A$5),1,1)+1))+2,1)</f>
        <v>82</v>
      </c>
      <c r="B874" t="str">
        <f ca="1">TEXT(DATE(YEAR(Invoer!$A$5),1,1)+MOD(ROWS(B$2:B874)-1,DATE(YEAR(Invoer!$A$5),12,31)-DATE(YEAR(Invoer!$A$5),1,1)+1),"jjjjmmdd")</f>
        <v>19430523</v>
      </c>
      <c r="C874" s="18">
        <v>1</v>
      </c>
      <c r="D874" s="23" t="str">
        <f t="shared" ca="1" si="26"/>
        <v>—</v>
      </c>
      <c r="E874" s="24">
        <f t="shared" ca="1" si="27"/>
        <v>7</v>
      </c>
    </row>
    <row r="875" spans="1:5" x14ac:dyDescent="0.25">
      <c r="A875" s="17">
        <f ca="1">INDEX(Stations,INT((ROWS(A$2:A875)-1)/(DATE(YEAR(Invoer!$A$5),12,31)-DATE(YEAR(Invoer!$A$5),1,1)+1))+2,1)</f>
        <v>82</v>
      </c>
      <c r="B875" t="str">
        <f ca="1">TEXT(DATE(YEAR(Invoer!$A$5),1,1)+MOD(ROWS(B$2:B875)-1,DATE(YEAR(Invoer!$A$5),12,31)-DATE(YEAR(Invoer!$A$5),1,1)+1),"jjjjmmdd")</f>
        <v>19430524</v>
      </c>
      <c r="C875" s="18">
        <v>1</v>
      </c>
      <c r="D875" s="23" t="str">
        <f t="shared" ca="1" si="26"/>
        <v>—</v>
      </c>
      <c r="E875" s="24">
        <f t="shared" ca="1" si="27"/>
        <v>7</v>
      </c>
    </row>
    <row r="876" spans="1:5" x14ac:dyDescent="0.25">
      <c r="A876" s="17">
        <f ca="1">INDEX(Stations,INT((ROWS(A$2:A876)-1)/(DATE(YEAR(Invoer!$A$5),12,31)-DATE(YEAR(Invoer!$A$5),1,1)+1))+2,1)</f>
        <v>82</v>
      </c>
      <c r="B876" t="str">
        <f ca="1">TEXT(DATE(YEAR(Invoer!$A$5),1,1)+MOD(ROWS(B$2:B876)-1,DATE(YEAR(Invoer!$A$5),12,31)-DATE(YEAR(Invoer!$A$5),1,1)+1),"jjjjmmdd")</f>
        <v>19430525</v>
      </c>
      <c r="C876" s="18">
        <v>1</v>
      </c>
      <c r="D876" s="23" t="str">
        <f t="shared" ca="1" si="26"/>
        <v>—</v>
      </c>
      <c r="E876" s="24">
        <f t="shared" ca="1" si="27"/>
        <v>7</v>
      </c>
    </row>
    <row r="877" spans="1:5" x14ac:dyDescent="0.25">
      <c r="A877" s="17">
        <f ca="1">INDEX(Stations,INT((ROWS(A$2:A877)-1)/(DATE(YEAR(Invoer!$A$5),12,31)-DATE(YEAR(Invoer!$A$5),1,1)+1))+2,1)</f>
        <v>82</v>
      </c>
      <c r="B877" t="str">
        <f ca="1">TEXT(DATE(YEAR(Invoer!$A$5),1,1)+MOD(ROWS(B$2:B877)-1,DATE(YEAR(Invoer!$A$5),12,31)-DATE(YEAR(Invoer!$A$5),1,1)+1),"jjjjmmdd")</f>
        <v>19430526</v>
      </c>
      <c r="C877" s="18">
        <v>1</v>
      </c>
      <c r="D877" s="23" t="str">
        <f t="shared" ca="1" si="26"/>
        <v>—</v>
      </c>
      <c r="E877" s="24">
        <f t="shared" ca="1" si="27"/>
        <v>7</v>
      </c>
    </row>
    <row r="878" spans="1:5" x14ac:dyDescent="0.25">
      <c r="A878" s="17">
        <f ca="1">INDEX(Stations,INT((ROWS(A$2:A878)-1)/(DATE(YEAR(Invoer!$A$5),12,31)-DATE(YEAR(Invoer!$A$5),1,1)+1))+2,1)</f>
        <v>82</v>
      </c>
      <c r="B878" t="str">
        <f ca="1">TEXT(DATE(YEAR(Invoer!$A$5),1,1)+MOD(ROWS(B$2:B878)-1,DATE(YEAR(Invoer!$A$5),12,31)-DATE(YEAR(Invoer!$A$5),1,1)+1),"jjjjmmdd")</f>
        <v>19430527</v>
      </c>
      <c r="C878" s="18">
        <v>1</v>
      </c>
      <c r="D878" s="23" t="str">
        <f t="shared" ca="1" si="26"/>
        <v>—</v>
      </c>
      <c r="E878" s="24">
        <f t="shared" ca="1" si="27"/>
        <v>7</v>
      </c>
    </row>
    <row r="879" spans="1:5" x14ac:dyDescent="0.25">
      <c r="A879" s="17">
        <f ca="1">INDEX(Stations,INT((ROWS(A$2:A879)-1)/(DATE(YEAR(Invoer!$A$5),12,31)-DATE(YEAR(Invoer!$A$5),1,1)+1))+2,1)</f>
        <v>82</v>
      </c>
      <c r="B879" t="str">
        <f ca="1">TEXT(DATE(YEAR(Invoer!$A$5),1,1)+MOD(ROWS(B$2:B879)-1,DATE(YEAR(Invoer!$A$5),12,31)-DATE(YEAR(Invoer!$A$5),1,1)+1),"jjjjmmdd")</f>
        <v>19430528</v>
      </c>
      <c r="C879" s="18">
        <v>1</v>
      </c>
      <c r="D879" s="23" t="str">
        <f t="shared" ca="1" si="26"/>
        <v>—</v>
      </c>
      <c r="E879" s="24">
        <f t="shared" ca="1" si="27"/>
        <v>7</v>
      </c>
    </row>
    <row r="880" spans="1:5" x14ac:dyDescent="0.25">
      <c r="A880" s="17">
        <f ca="1">INDEX(Stations,INT((ROWS(A$2:A880)-1)/(DATE(YEAR(Invoer!$A$5),12,31)-DATE(YEAR(Invoer!$A$5),1,1)+1))+2,1)</f>
        <v>82</v>
      </c>
      <c r="B880" t="str">
        <f ca="1">TEXT(DATE(YEAR(Invoer!$A$5),1,1)+MOD(ROWS(B$2:B880)-1,DATE(YEAR(Invoer!$A$5),12,31)-DATE(YEAR(Invoer!$A$5),1,1)+1),"jjjjmmdd")</f>
        <v>19430529</v>
      </c>
      <c r="C880" s="18">
        <v>1</v>
      </c>
      <c r="D880" s="23" t="str">
        <f t="shared" ca="1" si="26"/>
        <v>—</v>
      </c>
      <c r="E880" s="24">
        <f t="shared" ca="1" si="27"/>
        <v>7</v>
      </c>
    </row>
    <row r="881" spans="1:5" x14ac:dyDescent="0.25">
      <c r="A881" s="17">
        <f ca="1">INDEX(Stations,INT((ROWS(A$2:A881)-1)/(DATE(YEAR(Invoer!$A$5),12,31)-DATE(YEAR(Invoer!$A$5),1,1)+1))+2,1)</f>
        <v>82</v>
      </c>
      <c r="B881" t="str">
        <f ca="1">TEXT(DATE(YEAR(Invoer!$A$5),1,1)+MOD(ROWS(B$2:B881)-1,DATE(YEAR(Invoer!$A$5),12,31)-DATE(YEAR(Invoer!$A$5),1,1)+1),"jjjjmmdd")</f>
        <v>19430530</v>
      </c>
      <c r="C881" s="18">
        <v>1</v>
      </c>
      <c r="D881" s="23" t="str">
        <f t="shared" ca="1" si="26"/>
        <v>—</v>
      </c>
      <c r="E881" s="24">
        <f t="shared" ca="1" si="27"/>
        <v>7</v>
      </c>
    </row>
    <row r="882" spans="1:5" x14ac:dyDescent="0.25">
      <c r="A882" s="17">
        <f ca="1">INDEX(Stations,INT((ROWS(A$2:A882)-1)/(DATE(YEAR(Invoer!$A$5),12,31)-DATE(YEAR(Invoer!$A$5),1,1)+1))+2,1)</f>
        <v>82</v>
      </c>
      <c r="B882" t="str">
        <f ca="1">TEXT(DATE(YEAR(Invoer!$A$5),1,1)+MOD(ROWS(B$2:B882)-1,DATE(YEAR(Invoer!$A$5),12,31)-DATE(YEAR(Invoer!$A$5),1,1)+1),"jjjjmmdd")</f>
        <v>19430531</v>
      </c>
      <c r="C882" s="18">
        <v>1</v>
      </c>
      <c r="D882" s="23" t="str">
        <f t="shared" ca="1" si="26"/>
        <v>—</v>
      </c>
      <c r="E882" s="24">
        <f t="shared" ca="1" si="27"/>
        <v>7</v>
      </c>
    </row>
    <row r="883" spans="1:5" x14ac:dyDescent="0.25">
      <c r="A883" s="17">
        <f ca="1">INDEX(Stations,INT((ROWS(A$2:A883)-1)/(DATE(YEAR(Invoer!$A$5),12,31)-DATE(YEAR(Invoer!$A$5),1,1)+1))+2,1)</f>
        <v>82</v>
      </c>
      <c r="B883" t="str">
        <f ca="1">TEXT(DATE(YEAR(Invoer!$A$5),1,1)+MOD(ROWS(B$2:B883)-1,DATE(YEAR(Invoer!$A$5),12,31)-DATE(YEAR(Invoer!$A$5),1,1)+1),"jjjjmmdd")</f>
        <v>19430601</v>
      </c>
      <c r="C883" s="18">
        <v>1</v>
      </c>
      <c r="D883" s="23" t="str">
        <f t="shared" ca="1" si="26"/>
        <v>—</v>
      </c>
      <c r="E883" s="24">
        <f t="shared" ca="1" si="27"/>
        <v>7</v>
      </c>
    </row>
    <row r="884" spans="1:5" x14ac:dyDescent="0.25">
      <c r="A884" s="17">
        <f ca="1">INDEX(Stations,INT((ROWS(A$2:A884)-1)/(DATE(YEAR(Invoer!$A$5),12,31)-DATE(YEAR(Invoer!$A$5),1,1)+1))+2,1)</f>
        <v>82</v>
      </c>
      <c r="B884" t="str">
        <f ca="1">TEXT(DATE(YEAR(Invoer!$A$5),1,1)+MOD(ROWS(B$2:B884)-1,DATE(YEAR(Invoer!$A$5),12,31)-DATE(YEAR(Invoer!$A$5),1,1)+1),"jjjjmmdd")</f>
        <v>19430602</v>
      </c>
      <c r="C884" s="18">
        <v>1</v>
      </c>
      <c r="D884" s="23" t="str">
        <f t="shared" ca="1" si="26"/>
        <v>—</v>
      </c>
      <c r="E884" s="24">
        <f t="shared" ca="1" si="27"/>
        <v>7</v>
      </c>
    </row>
    <row r="885" spans="1:5" x14ac:dyDescent="0.25">
      <c r="A885" s="17">
        <f ca="1">INDEX(Stations,INT((ROWS(A$2:A885)-1)/(DATE(YEAR(Invoer!$A$5),12,31)-DATE(YEAR(Invoer!$A$5),1,1)+1))+2,1)</f>
        <v>82</v>
      </c>
      <c r="B885" t="str">
        <f ca="1">TEXT(DATE(YEAR(Invoer!$A$5),1,1)+MOD(ROWS(B$2:B885)-1,DATE(YEAR(Invoer!$A$5),12,31)-DATE(YEAR(Invoer!$A$5),1,1)+1),"jjjjmmdd")</f>
        <v>19430603</v>
      </c>
      <c r="C885" s="18">
        <v>1</v>
      </c>
      <c r="D885" s="23" t="str">
        <f t="shared" ca="1" si="26"/>
        <v>—</v>
      </c>
      <c r="E885" s="24">
        <f t="shared" ca="1" si="27"/>
        <v>7</v>
      </c>
    </row>
    <row r="886" spans="1:5" x14ac:dyDescent="0.25">
      <c r="A886" s="17">
        <f ca="1">INDEX(Stations,INT((ROWS(A$2:A886)-1)/(DATE(YEAR(Invoer!$A$5),12,31)-DATE(YEAR(Invoer!$A$5),1,1)+1))+2,1)</f>
        <v>82</v>
      </c>
      <c r="B886" t="str">
        <f ca="1">TEXT(DATE(YEAR(Invoer!$A$5),1,1)+MOD(ROWS(B$2:B886)-1,DATE(YEAR(Invoer!$A$5),12,31)-DATE(YEAR(Invoer!$A$5),1,1)+1),"jjjjmmdd")</f>
        <v>19430604</v>
      </c>
      <c r="C886" s="18">
        <v>1</v>
      </c>
      <c r="D886" s="23" t="str">
        <f t="shared" ca="1" si="26"/>
        <v>—</v>
      </c>
      <c r="E886" s="24">
        <f t="shared" ca="1" si="27"/>
        <v>7</v>
      </c>
    </row>
    <row r="887" spans="1:5" x14ac:dyDescent="0.25">
      <c r="A887" s="17">
        <f ca="1">INDEX(Stations,INT((ROWS(A$2:A887)-1)/(DATE(YEAR(Invoer!$A$5),12,31)-DATE(YEAR(Invoer!$A$5),1,1)+1))+2,1)</f>
        <v>82</v>
      </c>
      <c r="B887" t="str">
        <f ca="1">TEXT(DATE(YEAR(Invoer!$A$5),1,1)+MOD(ROWS(B$2:B887)-1,DATE(YEAR(Invoer!$A$5),12,31)-DATE(YEAR(Invoer!$A$5),1,1)+1),"jjjjmmdd")</f>
        <v>19430605</v>
      </c>
      <c r="C887" s="18">
        <v>1</v>
      </c>
      <c r="D887" s="23" t="str">
        <f t="shared" ca="1" si="26"/>
        <v>—</v>
      </c>
      <c r="E887" s="24">
        <f t="shared" ca="1" si="27"/>
        <v>7</v>
      </c>
    </row>
    <row r="888" spans="1:5" x14ac:dyDescent="0.25">
      <c r="A888" s="17">
        <f ca="1">INDEX(Stations,INT((ROWS(A$2:A888)-1)/(DATE(YEAR(Invoer!$A$5),12,31)-DATE(YEAR(Invoer!$A$5),1,1)+1))+2,1)</f>
        <v>82</v>
      </c>
      <c r="B888" t="str">
        <f ca="1">TEXT(DATE(YEAR(Invoer!$A$5),1,1)+MOD(ROWS(B$2:B888)-1,DATE(YEAR(Invoer!$A$5),12,31)-DATE(YEAR(Invoer!$A$5),1,1)+1),"jjjjmmdd")</f>
        <v>19430606</v>
      </c>
      <c r="C888" s="18">
        <v>1</v>
      </c>
      <c r="D888" s="23" t="str">
        <f t="shared" ca="1" si="26"/>
        <v>—</v>
      </c>
      <c r="E888" s="24">
        <f t="shared" ca="1" si="27"/>
        <v>7</v>
      </c>
    </row>
    <row r="889" spans="1:5" x14ac:dyDescent="0.25">
      <c r="A889" s="17">
        <f ca="1">INDEX(Stations,INT((ROWS(A$2:A889)-1)/(DATE(YEAR(Invoer!$A$5),12,31)-DATE(YEAR(Invoer!$A$5),1,1)+1))+2,1)</f>
        <v>82</v>
      </c>
      <c r="B889" t="str">
        <f ca="1">TEXT(DATE(YEAR(Invoer!$A$5),1,1)+MOD(ROWS(B$2:B889)-1,DATE(YEAR(Invoer!$A$5),12,31)-DATE(YEAR(Invoer!$A$5),1,1)+1),"jjjjmmdd")</f>
        <v>19430607</v>
      </c>
      <c r="C889" s="18">
        <v>1</v>
      </c>
      <c r="D889" s="23" t="str">
        <f t="shared" ca="1" si="26"/>
        <v>—</v>
      </c>
      <c r="E889" s="24">
        <f t="shared" ca="1" si="27"/>
        <v>7</v>
      </c>
    </row>
    <row r="890" spans="1:5" x14ac:dyDescent="0.25">
      <c r="A890" s="17">
        <f ca="1">INDEX(Stations,INT((ROWS(A$2:A890)-1)/(DATE(YEAR(Invoer!$A$5),12,31)-DATE(YEAR(Invoer!$A$5),1,1)+1))+2,1)</f>
        <v>82</v>
      </c>
      <c r="B890" t="str">
        <f ca="1">TEXT(DATE(YEAR(Invoer!$A$5),1,1)+MOD(ROWS(B$2:B890)-1,DATE(YEAR(Invoer!$A$5),12,31)-DATE(YEAR(Invoer!$A$5),1,1)+1),"jjjjmmdd")</f>
        <v>19430608</v>
      </c>
      <c r="C890" s="18">
        <v>1</v>
      </c>
      <c r="D890" s="23" t="str">
        <f t="shared" ca="1" si="26"/>
        <v>—</v>
      </c>
      <c r="E890" s="24">
        <f t="shared" ca="1" si="27"/>
        <v>7</v>
      </c>
    </row>
    <row r="891" spans="1:5" x14ac:dyDescent="0.25">
      <c r="A891" s="17">
        <f ca="1">INDEX(Stations,INT((ROWS(A$2:A891)-1)/(DATE(YEAR(Invoer!$A$5),12,31)-DATE(YEAR(Invoer!$A$5),1,1)+1))+2,1)</f>
        <v>82</v>
      </c>
      <c r="B891" t="str">
        <f ca="1">TEXT(DATE(YEAR(Invoer!$A$5),1,1)+MOD(ROWS(B$2:B891)-1,DATE(YEAR(Invoer!$A$5),12,31)-DATE(YEAR(Invoer!$A$5),1,1)+1),"jjjjmmdd")</f>
        <v>19430609</v>
      </c>
      <c r="C891" s="18">
        <v>1</v>
      </c>
      <c r="D891" s="23" t="str">
        <f t="shared" ca="1" si="26"/>
        <v>—</v>
      </c>
      <c r="E891" s="24">
        <f t="shared" ca="1" si="27"/>
        <v>7</v>
      </c>
    </row>
    <row r="892" spans="1:5" x14ac:dyDescent="0.25">
      <c r="A892" s="17">
        <f ca="1">INDEX(Stations,INT((ROWS(A$2:A892)-1)/(DATE(YEAR(Invoer!$A$5),12,31)-DATE(YEAR(Invoer!$A$5),1,1)+1))+2,1)</f>
        <v>82</v>
      </c>
      <c r="B892" t="str">
        <f ca="1">TEXT(DATE(YEAR(Invoer!$A$5),1,1)+MOD(ROWS(B$2:B892)-1,DATE(YEAR(Invoer!$A$5),12,31)-DATE(YEAR(Invoer!$A$5),1,1)+1),"jjjjmmdd")</f>
        <v>19430610</v>
      </c>
      <c r="C892" s="18">
        <v>1</v>
      </c>
      <c r="D892" s="23" t="str">
        <f t="shared" ca="1" si="26"/>
        <v>—</v>
      </c>
      <c r="E892" s="24">
        <f t="shared" ca="1" si="27"/>
        <v>7</v>
      </c>
    </row>
    <row r="893" spans="1:5" x14ac:dyDescent="0.25">
      <c r="A893" s="17">
        <f ca="1">INDEX(Stations,INT((ROWS(A$2:A893)-1)/(DATE(YEAR(Invoer!$A$5),12,31)-DATE(YEAR(Invoer!$A$5),1,1)+1))+2,1)</f>
        <v>82</v>
      </c>
      <c r="B893" t="str">
        <f ca="1">TEXT(DATE(YEAR(Invoer!$A$5),1,1)+MOD(ROWS(B$2:B893)-1,DATE(YEAR(Invoer!$A$5),12,31)-DATE(YEAR(Invoer!$A$5),1,1)+1),"jjjjmmdd")</f>
        <v>19430611</v>
      </c>
      <c r="C893" s="18">
        <v>1</v>
      </c>
      <c r="D893" s="23" t="str">
        <f t="shared" ca="1" si="26"/>
        <v>—</v>
      </c>
      <c r="E893" s="24">
        <f t="shared" ca="1" si="27"/>
        <v>7</v>
      </c>
    </row>
    <row r="894" spans="1:5" x14ac:dyDescent="0.25">
      <c r="A894" s="17">
        <f ca="1">INDEX(Stations,INT((ROWS(A$2:A894)-1)/(DATE(YEAR(Invoer!$A$5),12,31)-DATE(YEAR(Invoer!$A$5),1,1)+1))+2,1)</f>
        <v>82</v>
      </c>
      <c r="B894" t="str">
        <f ca="1">TEXT(DATE(YEAR(Invoer!$A$5),1,1)+MOD(ROWS(B$2:B894)-1,DATE(YEAR(Invoer!$A$5),12,31)-DATE(YEAR(Invoer!$A$5),1,1)+1),"jjjjmmdd")</f>
        <v>19430612</v>
      </c>
      <c r="C894" s="18">
        <v>1</v>
      </c>
      <c r="D894" s="23" t="str">
        <f t="shared" ca="1" si="26"/>
        <v>—</v>
      </c>
      <c r="E894" s="24">
        <f t="shared" ca="1" si="27"/>
        <v>7</v>
      </c>
    </row>
    <row r="895" spans="1:5" x14ac:dyDescent="0.25">
      <c r="A895" s="17">
        <f ca="1">INDEX(Stations,INT((ROWS(A$2:A895)-1)/(DATE(YEAR(Invoer!$A$5),12,31)-DATE(YEAR(Invoer!$A$5),1,1)+1))+2,1)</f>
        <v>82</v>
      </c>
      <c r="B895" t="str">
        <f ca="1">TEXT(DATE(YEAR(Invoer!$A$5),1,1)+MOD(ROWS(B$2:B895)-1,DATE(YEAR(Invoer!$A$5),12,31)-DATE(YEAR(Invoer!$A$5),1,1)+1),"jjjjmmdd")</f>
        <v>19430613</v>
      </c>
      <c r="C895" s="18">
        <v>1</v>
      </c>
      <c r="D895" s="23" t="str">
        <f t="shared" ca="1" si="26"/>
        <v>—</v>
      </c>
      <c r="E895" s="24">
        <f t="shared" ca="1" si="27"/>
        <v>7</v>
      </c>
    </row>
    <row r="896" spans="1:5" x14ac:dyDescent="0.25">
      <c r="A896" s="17">
        <f ca="1">INDEX(Stations,INT((ROWS(A$2:A896)-1)/(DATE(YEAR(Invoer!$A$5),12,31)-DATE(YEAR(Invoer!$A$5),1,1)+1))+2,1)</f>
        <v>82</v>
      </c>
      <c r="B896" t="str">
        <f ca="1">TEXT(DATE(YEAR(Invoer!$A$5),1,1)+MOD(ROWS(B$2:B896)-1,DATE(YEAR(Invoer!$A$5),12,31)-DATE(YEAR(Invoer!$A$5),1,1)+1),"jjjjmmdd")</f>
        <v>19430614</v>
      </c>
      <c r="C896" s="18">
        <v>1</v>
      </c>
      <c r="D896" s="23" t="str">
        <f t="shared" ca="1" si="26"/>
        <v>—</v>
      </c>
      <c r="E896" s="24">
        <f t="shared" ca="1" si="27"/>
        <v>7</v>
      </c>
    </row>
    <row r="897" spans="1:5" x14ac:dyDescent="0.25">
      <c r="A897" s="17">
        <f ca="1">INDEX(Stations,INT((ROWS(A$2:A897)-1)/(DATE(YEAR(Invoer!$A$5),12,31)-DATE(YEAR(Invoer!$A$5),1,1)+1))+2,1)</f>
        <v>82</v>
      </c>
      <c r="B897" t="str">
        <f ca="1">TEXT(DATE(YEAR(Invoer!$A$5),1,1)+MOD(ROWS(B$2:B897)-1,DATE(YEAR(Invoer!$A$5),12,31)-DATE(YEAR(Invoer!$A$5),1,1)+1),"jjjjmmdd")</f>
        <v>19430615</v>
      </c>
      <c r="C897" s="18">
        <v>1</v>
      </c>
      <c r="D897" s="23" t="str">
        <f t="shared" ca="1" si="26"/>
        <v>—</v>
      </c>
      <c r="E897" s="24">
        <f t="shared" ca="1" si="27"/>
        <v>7</v>
      </c>
    </row>
    <row r="898" spans="1:5" x14ac:dyDescent="0.25">
      <c r="A898" s="17">
        <f ca="1">INDEX(Stations,INT((ROWS(A$2:A898)-1)/(DATE(YEAR(Invoer!$A$5),12,31)-DATE(YEAR(Invoer!$A$5),1,1)+1))+2,1)</f>
        <v>82</v>
      </c>
      <c r="B898" t="str">
        <f ca="1">TEXT(DATE(YEAR(Invoer!$A$5),1,1)+MOD(ROWS(B$2:B898)-1,DATE(YEAR(Invoer!$A$5),12,31)-DATE(YEAR(Invoer!$A$5),1,1)+1),"jjjjmmdd")</f>
        <v>19430616</v>
      </c>
      <c r="C898" s="18">
        <v>1</v>
      </c>
      <c r="D898" s="23" t="str">
        <f t="shared" ref="D898:D961" ca="1" si="28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"—",VLOOKUP(DATEVALUE(LEFT(B898,4)&amp;"-"&amp;MID(B898,5,2)&amp;"-"&amp;RIGHT(B898,2)),Data,MATCH(VLOOKUP(A898,Stations,2,FALSE()),OFFSET(Data,1,0,1),0),FALSE()))</f>
        <v>—</v>
      </c>
      <c r="E898" s="24">
        <f t="shared" ref="E898:E961" ca="1" si="29">IF(OR(ISBLANK(VLOOKUP(DATEVALUE(LEFT(B898,4)&amp;"-"&amp;MID(B898,5,2)&amp;"-"&amp;RIGHT(B898,2)),Data,MATCH(VLOOKUP(A898,Stations,2,FALSE()),OFFSET(Data,1,0,1),0),FALSE())),ISTEXT(VLOOKUP(DATEVALUE(LEFT(B898,4)&amp;"-"&amp;MID(B898,5,2)&amp;"-"&amp;RIGHT(B898,2)),Data,MATCH(VLOOKUP(A898,Stations,2,FALSE()),OFFSET(Data,1,0,1),0),FALSE()))),Lacking,IF(ISNA(MATCH(DATEVALUE(LEFT(B898,4)&amp;"-"&amp;MID(B898,5,2)&amp;"-"&amp;RIGHT(B898,2)),OFFSET(Catalogus,0,0,,1),0)),Ok,VLOOKUP(DATEVALUE(LEFT(B898,4)&amp;"-"&amp;MID(B898,5,2)&amp;"-"&amp;RIGHT(B898,2)),Catalogus,MATCH(VLOOKUP(A898,Stations,2,FALSE()),OFFSET(Catalogus,1,0,1),0),FALSE())))</f>
        <v>7</v>
      </c>
    </row>
    <row r="899" spans="1:5" x14ac:dyDescent="0.25">
      <c r="A899" s="17">
        <f ca="1">INDEX(Stations,INT((ROWS(A$2:A899)-1)/(DATE(YEAR(Invoer!$A$5),12,31)-DATE(YEAR(Invoer!$A$5),1,1)+1))+2,1)</f>
        <v>82</v>
      </c>
      <c r="B899" t="str">
        <f ca="1">TEXT(DATE(YEAR(Invoer!$A$5),1,1)+MOD(ROWS(B$2:B899)-1,DATE(YEAR(Invoer!$A$5),12,31)-DATE(YEAR(Invoer!$A$5),1,1)+1),"jjjjmmdd")</f>
        <v>19430617</v>
      </c>
      <c r="C899" s="18">
        <v>1</v>
      </c>
      <c r="D899" s="23" t="str">
        <f t="shared" ca="1" si="28"/>
        <v>—</v>
      </c>
      <c r="E899" s="24">
        <f t="shared" ca="1" si="29"/>
        <v>7</v>
      </c>
    </row>
    <row r="900" spans="1:5" x14ac:dyDescent="0.25">
      <c r="A900" s="17">
        <f ca="1">INDEX(Stations,INT((ROWS(A$2:A900)-1)/(DATE(YEAR(Invoer!$A$5),12,31)-DATE(YEAR(Invoer!$A$5),1,1)+1))+2,1)</f>
        <v>82</v>
      </c>
      <c r="B900" t="str">
        <f ca="1">TEXT(DATE(YEAR(Invoer!$A$5),1,1)+MOD(ROWS(B$2:B900)-1,DATE(YEAR(Invoer!$A$5),12,31)-DATE(YEAR(Invoer!$A$5),1,1)+1),"jjjjmmdd")</f>
        <v>19430618</v>
      </c>
      <c r="C900" s="18">
        <v>1</v>
      </c>
      <c r="D900" s="23" t="str">
        <f t="shared" ca="1" si="28"/>
        <v>—</v>
      </c>
      <c r="E900" s="24">
        <f t="shared" ca="1" si="29"/>
        <v>7</v>
      </c>
    </row>
    <row r="901" spans="1:5" x14ac:dyDescent="0.25">
      <c r="A901" s="17">
        <f ca="1">INDEX(Stations,INT((ROWS(A$2:A901)-1)/(DATE(YEAR(Invoer!$A$5),12,31)-DATE(YEAR(Invoer!$A$5),1,1)+1))+2,1)</f>
        <v>82</v>
      </c>
      <c r="B901" t="str">
        <f ca="1">TEXT(DATE(YEAR(Invoer!$A$5),1,1)+MOD(ROWS(B$2:B901)-1,DATE(YEAR(Invoer!$A$5),12,31)-DATE(YEAR(Invoer!$A$5),1,1)+1),"jjjjmmdd")</f>
        <v>19430619</v>
      </c>
      <c r="C901" s="18">
        <v>1</v>
      </c>
      <c r="D901" s="23" t="str">
        <f t="shared" ca="1" si="28"/>
        <v>—</v>
      </c>
      <c r="E901" s="24">
        <f t="shared" ca="1" si="29"/>
        <v>7</v>
      </c>
    </row>
    <row r="902" spans="1:5" x14ac:dyDescent="0.25">
      <c r="A902" s="17">
        <f ca="1">INDEX(Stations,INT((ROWS(A$2:A902)-1)/(DATE(YEAR(Invoer!$A$5),12,31)-DATE(YEAR(Invoer!$A$5),1,1)+1))+2,1)</f>
        <v>82</v>
      </c>
      <c r="B902" t="str">
        <f ca="1">TEXT(DATE(YEAR(Invoer!$A$5),1,1)+MOD(ROWS(B$2:B902)-1,DATE(YEAR(Invoer!$A$5),12,31)-DATE(YEAR(Invoer!$A$5),1,1)+1),"jjjjmmdd")</f>
        <v>19430620</v>
      </c>
      <c r="C902" s="18">
        <v>1</v>
      </c>
      <c r="D902" s="23" t="str">
        <f t="shared" ca="1" si="28"/>
        <v>—</v>
      </c>
      <c r="E902" s="24">
        <f t="shared" ca="1" si="29"/>
        <v>7</v>
      </c>
    </row>
    <row r="903" spans="1:5" x14ac:dyDescent="0.25">
      <c r="A903" s="17">
        <f ca="1">INDEX(Stations,INT((ROWS(A$2:A903)-1)/(DATE(YEAR(Invoer!$A$5),12,31)-DATE(YEAR(Invoer!$A$5),1,1)+1))+2,1)</f>
        <v>82</v>
      </c>
      <c r="B903" t="str">
        <f ca="1">TEXT(DATE(YEAR(Invoer!$A$5),1,1)+MOD(ROWS(B$2:B903)-1,DATE(YEAR(Invoer!$A$5),12,31)-DATE(YEAR(Invoer!$A$5),1,1)+1),"jjjjmmdd")</f>
        <v>19430621</v>
      </c>
      <c r="C903" s="18">
        <v>1</v>
      </c>
      <c r="D903" s="23" t="str">
        <f t="shared" ca="1" si="28"/>
        <v>—</v>
      </c>
      <c r="E903" s="24">
        <f t="shared" ca="1" si="29"/>
        <v>7</v>
      </c>
    </row>
    <row r="904" spans="1:5" x14ac:dyDescent="0.25">
      <c r="A904" s="17">
        <f ca="1">INDEX(Stations,INT((ROWS(A$2:A904)-1)/(DATE(YEAR(Invoer!$A$5),12,31)-DATE(YEAR(Invoer!$A$5),1,1)+1))+2,1)</f>
        <v>82</v>
      </c>
      <c r="B904" t="str">
        <f ca="1">TEXT(DATE(YEAR(Invoer!$A$5),1,1)+MOD(ROWS(B$2:B904)-1,DATE(YEAR(Invoer!$A$5),12,31)-DATE(YEAR(Invoer!$A$5),1,1)+1),"jjjjmmdd")</f>
        <v>19430622</v>
      </c>
      <c r="C904" s="18">
        <v>1</v>
      </c>
      <c r="D904" s="23" t="str">
        <f t="shared" ca="1" si="28"/>
        <v>—</v>
      </c>
      <c r="E904" s="24">
        <f t="shared" ca="1" si="29"/>
        <v>7</v>
      </c>
    </row>
    <row r="905" spans="1:5" x14ac:dyDescent="0.25">
      <c r="A905" s="17">
        <f ca="1">INDEX(Stations,INT((ROWS(A$2:A905)-1)/(DATE(YEAR(Invoer!$A$5),12,31)-DATE(YEAR(Invoer!$A$5),1,1)+1))+2,1)</f>
        <v>82</v>
      </c>
      <c r="B905" t="str">
        <f ca="1">TEXT(DATE(YEAR(Invoer!$A$5),1,1)+MOD(ROWS(B$2:B905)-1,DATE(YEAR(Invoer!$A$5),12,31)-DATE(YEAR(Invoer!$A$5),1,1)+1),"jjjjmmdd")</f>
        <v>19430623</v>
      </c>
      <c r="C905" s="18">
        <v>1</v>
      </c>
      <c r="D905" s="23" t="str">
        <f t="shared" ca="1" si="28"/>
        <v>—</v>
      </c>
      <c r="E905" s="24">
        <f t="shared" ca="1" si="29"/>
        <v>7</v>
      </c>
    </row>
    <row r="906" spans="1:5" x14ac:dyDescent="0.25">
      <c r="A906" s="17">
        <f ca="1">INDEX(Stations,INT((ROWS(A$2:A906)-1)/(DATE(YEAR(Invoer!$A$5),12,31)-DATE(YEAR(Invoer!$A$5),1,1)+1))+2,1)</f>
        <v>82</v>
      </c>
      <c r="B906" t="str">
        <f ca="1">TEXT(DATE(YEAR(Invoer!$A$5),1,1)+MOD(ROWS(B$2:B906)-1,DATE(YEAR(Invoer!$A$5),12,31)-DATE(YEAR(Invoer!$A$5),1,1)+1),"jjjjmmdd")</f>
        <v>19430624</v>
      </c>
      <c r="C906" s="18">
        <v>1</v>
      </c>
      <c r="D906" s="23" t="str">
        <f t="shared" ca="1" si="28"/>
        <v>—</v>
      </c>
      <c r="E906" s="24">
        <f t="shared" ca="1" si="29"/>
        <v>7</v>
      </c>
    </row>
    <row r="907" spans="1:5" x14ac:dyDescent="0.25">
      <c r="A907" s="17">
        <f ca="1">INDEX(Stations,INT((ROWS(A$2:A907)-1)/(DATE(YEAR(Invoer!$A$5),12,31)-DATE(YEAR(Invoer!$A$5),1,1)+1))+2,1)</f>
        <v>82</v>
      </c>
      <c r="B907" t="str">
        <f ca="1">TEXT(DATE(YEAR(Invoer!$A$5),1,1)+MOD(ROWS(B$2:B907)-1,DATE(YEAR(Invoer!$A$5),12,31)-DATE(YEAR(Invoer!$A$5),1,1)+1),"jjjjmmdd")</f>
        <v>19430625</v>
      </c>
      <c r="C907" s="18">
        <v>1</v>
      </c>
      <c r="D907" s="23" t="str">
        <f t="shared" ca="1" si="28"/>
        <v>—</v>
      </c>
      <c r="E907" s="24">
        <f t="shared" ca="1" si="29"/>
        <v>7</v>
      </c>
    </row>
    <row r="908" spans="1:5" x14ac:dyDescent="0.25">
      <c r="A908" s="17">
        <f ca="1">INDEX(Stations,INT((ROWS(A$2:A908)-1)/(DATE(YEAR(Invoer!$A$5),12,31)-DATE(YEAR(Invoer!$A$5),1,1)+1))+2,1)</f>
        <v>82</v>
      </c>
      <c r="B908" t="str">
        <f ca="1">TEXT(DATE(YEAR(Invoer!$A$5),1,1)+MOD(ROWS(B$2:B908)-1,DATE(YEAR(Invoer!$A$5),12,31)-DATE(YEAR(Invoer!$A$5),1,1)+1),"jjjjmmdd")</f>
        <v>19430626</v>
      </c>
      <c r="C908" s="18">
        <v>1</v>
      </c>
      <c r="D908" s="23" t="str">
        <f t="shared" ca="1" si="28"/>
        <v>—</v>
      </c>
      <c r="E908" s="24">
        <f t="shared" ca="1" si="29"/>
        <v>7</v>
      </c>
    </row>
    <row r="909" spans="1:5" x14ac:dyDescent="0.25">
      <c r="A909" s="17">
        <f ca="1">INDEX(Stations,INT((ROWS(A$2:A909)-1)/(DATE(YEAR(Invoer!$A$5),12,31)-DATE(YEAR(Invoer!$A$5),1,1)+1))+2,1)</f>
        <v>82</v>
      </c>
      <c r="B909" t="str">
        <f ca="1">TEXT(DATE(YEAR(Invoer!$A$5),1,1)+MOD(ROWS(B$2:B909)-1,DATE(YEAR(Invoer!$A$5),12,31)-DATE(YEAR(Invoer!$A$5),1,1)+1),"jjjjmmdd")</f>
        <v>19430627</v>
      </c>
      <c r="C909" s="18">
        <v>1</v>
      </c>
      <c r="D909" s="23" t="str">
        <f t="shared" ca="1" si="28"/>
        <v>—</v>
      </c>
      <c r="E909" s="24">
        <f t="shared" ca="1" si="29"/>
        <v>7</v>
      </c>
    </row>
    <row r="910" spans="1:5" x14ac:dyDescent="0.25">
      <c r="A910" s="17">
        <f ca="1">INDEX(Stations,INT((ROWS(A$2:A910)-1)/(DATE(YEAR(Invoer!$A$5),12,31)-DATE(YEAR(Invoer!$A$5),1,1)+1))+2,1)</f>
        <v>82</v>
      </c>
      <c r="B910" t="str">
        <f ca="1">TEXT(DATE(YEAR(Invoer!$A$5),1,1)+MOD(ROWS(B$2:B910)-1,DATE(YEAR(Invoer!$A$5),12,31)-DATE(YEAR(Invoer!$A$5),1,1)+1),"jjjjmmdd")</f>
        <v>19430628</v>
      </c>
      <c r="C910" s="18">
        <v>1</v>
      </c>
      <c r="D910" s="23" t="str">
        <f t="shared" ca="1" si="28"/>
        <v>—</v>
      </c>
      <c r="E910" s="24">
        <f t="shared" ca="1" si="29"/>
        <v>7</v>
      </c>
    </row>
    <row r="911" spans="1:5" x14ac:dyDescent="0.25">
      <c r="A911" s="17">
        <f ca="1">INDEX(Stations,INT((ROWS(A$2:A911)-1)/(DATE(YEAR(Invoer!$A$5),12,31)-DATE(YEAR(Invoer!$A$5),1,1)+1))+2,1)</f>
        <v>82</v>
      </c>
      <c r="B911" t="str">
        <f ca="1">TEXT(DATE(YEAR(Invoer!$A$5),1,1)+MOD(ROWS(B$2:B911)-1,DATE(YEAR(Invoer!$A$5),12,31)-DATE(YEAR(Invoer!$A$5),1,1)+1),"jjjjmmdd")</f>
        <v>19430629</v>
      </c>
      <c r="C911" s="18">
        <v>1</v>
      </c>
      <c r="D911" s="23" t="str">
        <f t="shared" ca="1" si="28"/>
        <v>—</v>
      </c>
      <c r="E911" s="24">
        <f t="shared" ca="1" si="29"/>
        <v>7</v>
      </c>
    </row>
    <row r="912" spans="1:5" x14ac:dyDescent="0.25">
      <c r="A912" s="17">
        <f ca="1">INDEX(Stations,INT((ROWS(A$2:A912)-1)/(DATE(YEAR(Invoer!$A$5),12,31)-DATE(YEAR(Invoer!$A$5),1,1)+1))+2,1)</f>
        <v>82</v>
      </c>
      <c r="B912" t="str">
        <f ca="1">TEXT(DATE(YEAR(Invoer!$A$5),1,1)+MOD(ROWS(B$2:B912)-1,DATE(YEAR(Invoer!$A$5),12,31)-DATE(YEAR(Invoer!$A$5),1,1)+1),"jjjjmmdd")</f>
        <v>19430630</v>
      </c>
      <c r="C912" s="18">
        <v>1</v>
      </c>
      <c r="D912" s="23" t="str">
        <f t="shared" ca="1" si="28"/>
        <v>—</v>
      </c>
      <c r="E912" s="24">
        <f t="shared" ca="1" si="29"/>
        <v>7</v>
      </c>
    </row>
    <row r="913" spans="1:5" x14ac:dyDescent="0.25">
      <c r="A913" s="17">
        <f ca="1">INDEX(Stations,INT((ROWS(A$2:A913)-1)/(DATE(YEAR(Invoer!$A$5),12,31)-DATE(YEAR(Invoer!$A$5),1,1)+1))+2,1)</f>
        <v>82</v>
      </c>
      <c r="B913" t="str">
        <f ca="1">TEXT(DATE(YEAR(Invoer!$A$5),1,1)+MOD(ROWS(B$2:B913)-1,DATE(YEAR(Invoer!$A$5),12,31)-DATE(YEAR(Invoer!$A$5),1,1)+1),"jjjjmmdd")</f>
        <v>19430701</v>
      </c>
      <c r="C913" s="18">
        <v>1</v>
      </c>
      <c r="D913" s="23" t="str">
        <f t="shared" ca="1" si="28"/>
        <v>—</v>
      </c>
      <c r="E913" s="24">
        <f t="shared" ca="1" si="29"/>
        <v>7</v>
      </c>
    </row>
    <row r="914" spans="1:5" x14ac:dyDescent="0.25">
      <c r="A914" s="17">
        <f ca="1">INDEX(Stations,INT((ROWS(A$2:A914)-1)/(DATE(YEAR(Invoer!$A$5),12,31)-DATE(YEAR(Invoer!$A$5),1,1)+1))+2,1)</f>
        <v>82</v>
      </c>
      <c r="B914" t="str">
        <f ca="1">TEXT(DATE(YEAR(Invoer!$A$5),1,1)+MOD(ROWS(B$2:B914)-1,DATE(YEAR(Invoer!$A$5),12,31)-DATE(YEAR(Invoer!$A$5),1,1)+1),"jjjjmmdd")</f>
        <v>19430702</v>
      </c>
      <c r="C914" s="18">
        <v>1</v>
      </c>
      <c r="D914" s="23" t="str">
        <f t="shared" ca="1" si="28"/>
        <v>—</v>
      </c>
      <c r="E914" s="24">
        <f t="shared" ca="1" si="29"/>
        <v>7</v>
      </c>
    </row>
    <row r="915" spans="1:5" x14ac:dyDescent="0.25">
      <c r="A915" s="17">
        <f ca="1">INDEX(Stations,INT((ROWS(A$2:A915)-1)/(DATE(YEAR(Invoer!$A$5),12,31)-DATE(YEAR(Invoer!$A$5),1,1)+1))+2,1)</f>
        <v>82</v>
      </c>
      <c r="B915" t="str">
        <f ca="1">TEXT(DATE(YEAR(Invoer!$A$5),1,1)+MOD(ROWS(B$2:B915)-1,DATE(YEAR(Invoer!$A$5),12,31)-DATE(YEAR(Invoer!$A$5),1,1)+1),"jjjjmmdd")</f>
        <v>19430703</v>
      </c>
      <c r="C915" s="18">
        <v>1</v>
      </c>
      <c r="D915" s="23" t="str">
        <f t="shared" ca="1" si="28"/>
        <v>—</v>
      </c>
      <c r="E915" s="24">
        <f t="shared" ca="1" si="29"/>
        <v>7</v>
      </c>
    </row>
    <row r="916" spans="1:5" x14ac:dyDescent="0.25">
      <c r="A916" s="17">
        <f ca="1">INDEX(Stations,INT((ROWS(A$2:A916)-1)/(DATE(YEAR(Invoer!$A$5),12,31)-DATE(YEAR(Invoer!$A$5),1,1)+1))+2,1)</f>
        <v>82</v>
      </c>
      <c r="B916" t="str">
        <f ca="1">TEXT(DATE(YEAR(Invoer!$A$5),1,1)+MOD(ROWS(B$2:B916)-1,DATE(YEAR(Invoer!$A$5),12,31)-DATE(YEAR(Invoer!$A$5),1,1)+1),"jjjjmmdd")</f>
        <v>19430704</v>
      </c>
      <c r="C916" s="18">
        <v>1</v>
      </c>
      <c r="D916" s="23" t="str">
        <f t="shared" ca="1" si="28"/>
        <v>—</v>
      </c>
      <c r="E916" s="24">
        <f t="shared" ca="1" si="29"/>
        <v>7</v>
      </c>
    </row>
    <row r="917" spans="1:5" x14ac:dyDescent="0.25">
      <c r="A917" s="17">
        <f ca="1">INDEX(Stations,INT((ROWS(A$2:A917)-1)/(DATE(YEAR(Invoer!$A$5),12,31)-DATE(YEAR(Invoer!$A$5),1,1)+1))+2,1)</f>
        <v>82</v>
      </c>
      <c r="B917" t="str">
        <f ca="1">TEXT(DATE(YEAR(Invoer!$A$5),1,1)+MOD(ROWS(B$2:B917)-1,DATE(YEAR(Invoer!$A$5),12,31)-DATE(YEAR(Invoer!$A$5),1,1)+1),"jjjjmmdd")</f>
        <v>19430705</v>
      </c>
      <c r="C917" s="18">
        <v>1</v>
      </c>
      <c r="D917" s="23" t="str">
        <f t="shared" ca="1" si="28"/>
        <v>—</v>
      </c>
      <c r="E917" s="24">
        <f t="shared" ca="1" si="29"/>
        <v>7</v>
      </c>
    </row>
    <row r="918" spans="1:5" x14ac:dyDescent="0.25">
      <c r="A918" s="17">
        <f ca="1">INDEX(Stations,INT((ROWS(A$2:A918)-1)/(DATE(YEAR(Invoer!$A$5),12,31)-DATE(YEAR(Invoer!$A$5),1,1)+1))+2,1)</f>
        <v>82</v>
      </c>
      <c r="B918" t="str">
        <f ca="1">TEXT(DATE(YEAR(Invoer!$A$5),1,1)+MOD(ROWS(B$2:B918)-1,DATE(YEAR(Invoer!$A$5),12,31)-DATE(YEAR(Invoer!$A$5),1,1)+1),"jjjjmmdd")</f>
        <v>19430706</v>
      </c>
      <c r="C918" s="18">
        <v>1</v>
      </c>
      <c r="D918" s="23" t="str">
        <f t="shared" ca="1" si="28"/>
        <v>—</v>
      </c>
      <c r="E918" s="24">
        <f t="shared" ca="1" si="29"/>
        <v>7</v>
      </c>
    </row>
    <row r="919" spans="1:5" x14ac:dyDescent="0.25">
      <c r="A919" s="17">
        <f ca="1">INDEX(Stations,INT((ROWS(A$2:A919)-1)/(DATE(YEAR(Invoer!$A$5),12,31)-DATE(YEAR(Invoer!$A$5),1,1)+1))+2,1)</f>
        <v>82</v>
      </c>
      <c r="B919" t="str">
        <f ca="1">TEXT(DATE(YEAR(Invoer!$A$5),1,1)+MOD(ROWS(B$2:B919)-1,DATE(YEAR(Invoer!$A$5),12,31)-DATE(YEAR(Invoer!$A$5),1,1)+1),"jjjjmmdd")</f>
        <v>19430707</v>
      </c>
      <c r="C919" s="18">
        <v>1</v>
      </c>
      <c r="D919" s="23" t="str">
        <f t="shared" ca="1" si="28"/>
        <v>—</v>
      </c>
      <c r="E919" s="24">
        <f t="shared" ca="1" si="29"/>
        <v>7</v>
      </c>
    </row>
    <row r="920" spans="1:5" x14ac:dyDescent="0.25">
      <c r="A920" s="17">
        <f ca="1">INDEX(Stations,INT((ROWS(A$2:A920)-1)/(DATE(YEAR(Invoer!$A$5),12,31)-DATE(YEAR(Invoer!$A$5),1,1)+1))+2,1)</f>
        <v>82</v>
      </c>
      <c r="B920" t="str">
        <f ca="1">TEXT(DATE(YEAR(Invoer!$A$5),1,1)+MOD(ROWS(B$2:B920)-1,DATE(YEAR(Invoer!$A$5),12,31)-DATE(YEAR(Invoer!$A$5),1,1)+1),"jjjjmmdd")</f>
        <v>19430708</v>
      </c>
      <c r="C920" s="18">
        <v>1</v>
      </c>
      <c r="D920" s="23" t="str">
        <f t="shared" ca="1" si="28"/>
        <v>—</v>
      </c>
      <c r="E920" s="24">
        <f t="shared" ca="1" si="29"/>
        <v>7</v>
      </c>
    </row>
    <row r="921" spans="1:5" x14ac:dyDescent="0.25">
      <c r="A921" s="17">
        <f ca="1">INDEX(Stations,INT((ROWS(A$2:A921)-1)/(DATE(YEAR(Invoer!$A$5),12,31)-DATE(YEAR(Invoer!$A$5),1,1)+1))+2,1)</f>
        <v>82</v>
      </c>
      <c r="B921" t="str">
        <f ca="1">TEXT(DATE(YEAR(Invoer!$A$5),1,1)+MOD(ROWS(B$2:B921)-1,DATE(YEAR(Invoer!$A$5),12,31)-DATE(YEAR(Invoer!$A$5),1,1)+1),"jjjjmmdd")</f>
        <v>19430709</v>
      </c>
      <c r="C921" s="18">
        <v>1</v>
      </c>
      <c r="D921" s="23" t="str">
        <f t="shared" ca="1" si="28"/>
        <v>—</v>
      </c>
      <c r="E921" s="24">
        <f t="shared" ca="1" si="29"/>
        <v>7</v>
      </c>
    </row>
    <row r="922" spans="1:5" x14ac:dyDescent="0.25">
      <c r="A922" s="17">
        <f ca="1">INDEX(Stations,INT((ROWS(A$2:A922)-1)/(DATE(YEAR(Invoer!$A$5),12,31)-DATE(YEAR(Invoer!$A$5),1,1)+1))+2,1)</f>
        <v>82</v>
      </c>
      <c r="B922" t="str">
        <f ca="1">TEXT(DATE(YEAR(Invoer!$A$5),1,1)+MOD(ROWS(B$2:B922)-1,DATE(YEAR(Invoer!$A$5),12,31)-DATE(YEAR(Invoer!$A$5),1,1)+1),"jjjjmmdd")</f>
        <v>19430710</v>
      </c>
      <c r="C922" s="18">
        <v>1</v>
      </c>
      <c r="D922" s="23" t="str">
        <f t="shared" ca="1" si="28"/>
        <v>—</v>
      </c>
      <c r="E922" s="24">
        <f t="shared" ca="1" si="29"/>
        <v>7</v>
      </c>
    </row>
    <row r="923" spans="1:5" x14ac:dyDescent="0.25">
      <c r="A923" s="17">
        <f ca="1">INDEX(Stations,INT((ROWS(A$2:A923)-1)/(DATE(YEAR(Invoer!$A$5),12,31)-DATE(YEAR(Invoer!$A$5),1,1)+1))+2,1)</f>
        <v>82</v>
      </c>
      <c r="B923" t="str">
        <f ca="1">TEXT(DATE(YEAR(Invoer!$A$5),1,1)+MOD(ROWS(B$2:B923)-1,DATE(YEAR(Invoer!$A$5),12,31)-DATE(YEAR(Invoer!$A$5),1,1)+1),"jjjjmmdd")</f>
        <v>19430711</v>
      </c>
      <c r="C923" s="18">
        <v>1</v>
      </c>
      <c r="D923" s="23" t="str">
        <f t="shared" ca="1" si="28"/>
        <v>—</v>
      </c>
      <c r="E923" s="24">
        <f t="shared" ca="1" si="29"/>
        <v>7</v>
      </c>
    </row>
    <row r="924" spans="1:5" x14ac:dyDescent="0.25">
      <c r="A924" s="17">
        <f ca="1">INDEX(Stations,INT((ROWS(A$2:A924)-1)/(DATE(YEAR(Invoer!$A$5),12,31)-DATE(YEAR(Invoer!$A$5),1,1)+1))+2,1)</f>
        <v>82</v>
      </c>
      <c r="B924" t="str">
        <f ca="1">TEXT(DATE(YEAR(Invoer!$A$5),1,1)+MOD(ROWS(B$2:B924)-1,DATE(YEAR(Invoer!$A$5),12,31)-DATE(YEAR(Invoer!$A$5),1,1)+1),"jjjjmmdd")</f>
        <v>19430712</v>
      </c>
      <c r="C924" s="18">
        <v>1</v>
      </c>
      <c r="D924" s="23" t="str">
        <f t="shared" ca="1" si="28"/>
        <v>—</v>
      </c>
      <c r="E924" s="24">
        <f t="shared" ca="1" si="29"/>
        <v>7</v>
      </c>
    </row>
    <row r="925" spans="1:5" x14ac:dyDescent="0.25">
      <c r="A925" s="17">
        <f ca="1">INDEX(Stations,INT((ROWS(A$2:A925)-1)/(DATE(YEAR(Invoer!$A$5),12,31)-DATE(YEAR(Invoer!$A$5),1,1)+1))+2,1)</f>
        <v>82</v>
      </c>
      <c r="B925" t="str">
        <f ca="1">TEXT(DATE(YEAR(Invoer!$A$5),1,1)+MOD(ROWS(B$2:B925)-1,DATE(YEAR(Invoer!$A$5),12,31)-DATE(YEAR(Invoer!$A$5),1,1)+1),"jjjjmmdd")</f>
        <v>19430713</v>
      </c>
      <c r="C925" s="18">
        <v>1</v>
      </c>
      <c r="D925" s="23" t="str">
        <f t="shared" ca="1" si="28"/>
        <v>—</v>
      </c>
      <c r="E925" s="24">
        <f t="shared" ca="1" si="29"/>
        <v>7</v>
      </c>
    </row>
    <row r="926" spans="1:5" x14ac:dyDescent="0.25">
      <c r="A926" s="17">
        <f ca="1">INDEX(Stations,INT((ROWS(A$2:A926)-1)/(DATE(YEAR(Invoer!$A$5),12,31)-DATE(YEAR(Invoer!$A$5),1,1)+1))+2,1)</f>
        <v>82</v>
      </c>
      <c r="B926" t="str">
        <f ca="1">TEXT(DATE(YEAR(Invoer!$A$5),1,1)+MOD(ROWS(B$2:B926)-1,DATE(YEAR(Invoer!$A$5),12,31)-DATE(YEAR(Invoer!$A$5),1,1)+1),"jjjjmmdd")</f>
        <v>19430714</v>
      </c>
      <c r="C926" s="18">
        <v>1</v>
      </c>
      <c r="D926" s="23" t="str">
        <f t="shared" ca="1" si="28"/>
        <v>—</v>
      </c>
      <c r="E926" s="24">
        <f t="shared" ca="1" si="29"/>
        <v>7</v>
      </c>
    </row>
    <row r="927" spans="1:5" x14ac:dyDescent="0.25">
      <c r="A927" s="17">
        <f ca="1">INDEX(Stations,INT((ROWS(A$2:A927)-1)/(DATE(YEAR(Invoer!$A$5),12,31)-DATE(YEAR(Invoer!$A$5),1,1)+1))+2,1)</f>
        <v>82</v>
      </c>
      <c r="B927" t="str">
        <f ca="1">TEXT(DATE(YEAR(Invoer!$A$5),1,1)+MOD(ROWS(B$2:B927)-1,DATE(YEAR(Invoer!$A$5),12,31)-DATE(YEAR(Invoer!$A$5),1,1)+1),"jjjjmmdd")</f>
        <v>19430715</v>
      </c>
      <c r="C927" s="18">
        <v>1</v>
      </c>
      <c r="D927" s="23" t="str">
        <f t="shared" ca="1" si="28"/>
        <v>—</v>
      </c>
      <c r="E927" s="24">
        <f t="shared" ca="1" si="29"/>
        <v>7</v>
      </c>
    </row>
    <row r="928" spans="1:5" x14ac:dyDescent="0.25">
      <c r="A928" s="17">
        <f ca="1">INDEX(Stations,INT((ROWS(A$2:A928)-1)/(DATE(YEAR(Invoer!$A$5),12,31)-DATE(YEAR(Invoer!$A$5),1,1)+1))+2,1)</f>
        <v>82</v>
      </c>
      <c r="B928" t="str">
        <f ca="1">TEXT(DATE(YEAR(Invoer!$A$5),1,1)+MOD(ROWS(B$2:B928)-1,DATE(YEAR(Invoer!$A$5),12,31)-DATE(YEAR(Invoer!$A$5),1,1)+1),"jjjjmmdd")</f>
        <v>19430716</v>
      </c>
      <c r="C928" s="18">
        <v>1</v>
      </c>
      <c r="D928" s="23" t="str">
        <f t="shared" ca="1" si="28"/>
        <v>—</v>
      </c>
      <c r="E928" s="24">
        <f t="shared" ca="1" si="29"/>
        <v>7</v>
      </c>
    </row>
    <row r="929" spans="1:5" x14ac:dyDescent="0.25">
      <c r="A929" s="17">
        <f ca="1">INDEX(Stations,INT((ROWS(A$2:A929)-1)/(DATE(YEAR(Invoer!$A$5),12,31)-DATE(YEAR(Invoer!$A$5),1,1)+1))+2,1)</f>
        <v>82</v>
      </c>
      <c r="B929" t="str">
        <f ca="1">TEXT(DATE(YEAR(Invoer!$A$5),1,1)+MOD(ROWS(B$2:B929)-1,DATE(YEAR(Invoer!$A$5),12,31)-DATE(YEAR(Invoer!$A$5),1,1)+1),"jjjjmmdd")</f>
        <v>19430717</v>
      </c>
      <c r="C929" s="18">
        <v>1</v>
      </c>
      <c r="D929" s="23" t="str">
        <f t="shared" ca="1" si="28"/>
        <v>—</v>
      </c>
      <c r="E929" s="24">
        <f t="shared" ca="1" si="29"/>
        <v>7</v>
      </c>
    </row>
    <row r="930" spans="1:5" x14ac:dyDescent="0.25">
      <c r="A930" s="17">
        <f ca="1">INDEX(Stations,INT((ROWS(A$2:A930)-1)/(DATE(YEAR(Invoer!$A$5),12,31)-DATE(YEAR(Invoer!$A$5),1,1)+1))+2,1)</f>
        <v>82</v>
      </c>
      <c r="B930" t="str">
        <f ca="1">TEXT(DATE(YEAR(Invoer!$A$5),1,1)+MOD(ROWS(B$2:B930)-1,DATE(YEAR(Invoer!$A$5),12,31)-DATE(YEAR(Invoer!$A$5),1,1)+1),"jjjjmmdd")</f>
        <v>19430718</v>
      </c>
      <c r="C930" s="18">
        <v>1</v>
      </c>
      <c r="D930" s="23" t="str">
        <f t="shared" ca="1" si="28"/>
        <v>—</v>
      </c>
      <c r="E930" s="24">
        <f t="shared" ca="1" si="29"/>
        <v>7</v>
      </c>
    </row>
    <row r="931" spans="1:5" x14ac:dyDescent="0.25">
      <c r="A931" s="17">
        <f ca="1">INDEX(Stations,INT((ROWS(A$2:A931)-1)/(DATE(YEAR(Invoer!$A$5),12,31)-DATE(YEAR(Invoer!$A$5),1,1)+1))+2,1)</f>
        <v>82</v>
      </c>
      <c r="B931" t="str">
        <f ca="1">TEXT(DATE(YEAR(Invoer!$A$5),1,1)+MOD(ROWS(B$2:B931)-1,DATE(YEAR(Invoer!$A$5),12,31)-DATE(YEAR(Invoer!$A$5),1,1)+1),"jjjjmmdd")</f>
        <v>19430719</v>
      </c>
      <c r="C931" s="18">
        <v>1</v>
      </c>
      <c r="D931" s="23" t="str">
        <f t="shared" ca="1" si="28"/>
        <v>—</v>
      </c>
      <c r="E931" s="24">
        <f t="shared" ca="1" si="29"/>
        <v>7</v>
      </c>
    </row>
    <row r="932" spans="1:5" x14ac:dyDescent="0.25">
      <c r="A932" s="17">
        <f ca="1">INDEX(Stations,INT((ROWS(A$2:A932)-1)/(DATE(YEAR(Invoer!$A$5),12,31)-DATE(YEAR(Invoer!$A$5),1,1)+1))+2,1)</f>
        <v>82</v>
      </c>
      <c r="B932" t="str">
        <f ca="1">TEXT(DATE(YEAR(Invoer!$A$5),1,1)+MOD(ROWS(B$2:B932)-1,DATE(YEAR(Invoer!$A$5),12,31)-DATE(YEAR(Invoer!$A$5),1,1)+1),"jjjjmmdd")</f>
        <v>19430720</v>
      </c>
      <c r="C932" s="18">
        <v>1</v>
      </c>
      <c r="D932" s="23" t="str">
        <f t="shared" ca="1" si="28"/>
        <v>—</v>
      </c>
      <c r="E932" s="24">
        <f t="shared" ca="1" si="29"/>
        <v>7</v>
      </c>
    </row>
    <row r="933" spans="1:5" x14ac:dyDescent="0.25">
      <c r="A933" s="17">
        <f ca="1">INDEX(Stations,INT((ROWS(A$2:A933)-1)/(DATE(YEAR(Invoer!$A$5),12,31)-DATE(YEAR(Invoer!$A$5),1,1)+1))+2,1)</f>
        <v>82</v>
      </c>
      <c r="B933" t="str">
        <f ca="1">TEXT(DATE(YEAR(Invoer!$A$5),1,1)+MOD(ROWS(B$2:B933)-1,DATE(YEAR(Invoer!$A$5),12,31)-DATE(YEAR(Invoer!$A$5),1,1)+1),"jjjjmmdd")</f>
        <v>19430721</v>
      </c>
      <c r="C933" s="18">
        <v>1</v>
      </c>
      <c r="D933" s="23" t="str">
        <f t="shared" ca="1" si="28"/>
        <v>—</v>
      </c>
      <c r="E933" s="24">
        <f t="shared" ca="1" si="29"/>
        <v>7</v>
      </c>
    </row>
    <row r="934" spans="1:5" x14ac:dyDescent="0.25">
      <c r="A934" s="17">
        <f ca="1">INDEX(Stations,INT((ROWS(A$2:A934)-1)/(DATE(YEAR(Invoer!$A$5),12,31)-DATE(YEAR(Invoer!$A$5),1,1)+1))+2,1)</f>
        <v>82</v>
      </c>
      <c r="B934" t="str">
        <f ca="1">TEXT(DATE(YEAR(Invoer!$A$5),1,1)+MOD(ROWS(B$2:B934)-1,DATE(YEAR(Invoer!$A$5),12,31)-DATE(YEAR(Invoer!$A$5),1,1)+1),"jjjjmmdd")</f>
        <v>19430722</v>
      </c>
      <c r="C934" s="18">
        <v>1</v>
      </c>
      <c r="D934" s="23" t="str">
        <f t="shared" ca="1" si="28"/>
        <v>—</v>
      </c>
      <c r="E934" s="24">
        <f t="shared" ca="1" si="29"/>
        <v>7</v>
      </c>
    </row>
    <row r="935" spans="1:5" x14ac:dyDescent="0.25">
      <c r="A935" s="17">
        <f ca="1">INDEX(Stations,INT((ROWS(A$2:A935)-1)/(DATE(YEAR(Invoer!$A$5),12,31)-DATE(YEAR(Invoer!$A$5),1,1)+1))+2,1)</f>
        <v>82</v>
      </c>
      <c r="B935" t="str">
        <f ca="1">TEXT(DATE(YEAR(Invoer!$A$5),1,1)+MOD(ROWS(B$2:B935)-1,DATE(YEAR(Invoer!$A$5),12,31)-DATE(YEAR(Invoer!$A$5),1,1)+1),"jjjjmmdd")</f>
        <v>19430723</v>
      </c>
      <c r="C935" s="18">
        <v>1</v>
      </c>
      <c r="D935" s="23" t="str">
        <f t="shared" ca="1" si="28"/>
        <v>—</v>
      </c>
      <c r="E935" s="24">
        <f t="shared" ca="1" si="29"/>
        <v>7</v>
      </c>
    </row>
    <row r="936" spans="1:5" x14ac:dyDescent="0.25">
      <c r="A936" s="17">
        <f ca="1">INDEX(Stations,INT((ROWS(A$2:A936)-1)/(DATE(YEAR(Invoer!$A$5),12,31)-DATE(YEAR(Invoer!$A$5),1,1)+1))+2,1)</f>
        <v>82</v>
      </c>
      <c r="B936" t="str">
        <f ca="1">TEXT(DATE(YEAR(Invoer!$A$5),1,1)+MOD(ROWS(B$2:B936)-1,DATE(YEAR(Invoer!$A$5),12,31)-DATE(YEAR(Invoer!$A$5),1,1)+1),"jjjjmmdd")</f>
        <v>19430724</v>
      </c>
      <c r="C936" s="18">
        <v>1</v>
      </c>
      <c r="D936" s="23" t="str">
        <f t="shared" ca="1" si="28"/>
        <v>—</v>
      </c>
      <c r="E936" s="24">
        <f t="shared" ca="1" si="29"/>
        <v>7</v>
      </c>
    </row>
    <row r="937" spans="1:5" x14ac:dyDescent="0.25">
      <c r="A937" s="17">
        <f ca="1">INDEX(Stations,INT((ROWS(A$2:A937)-1)/(DATE(YEAR(Invoer!$A$5),12,31)-DATE(YEAR(Invoer!$A$5),1,1)+1))+2,1)</f>
        <v>82</v>
      </c>
      <c r="B937" t="str">
        <f ca="1">TEXT(DATE(YEAR(Invoer!$A$5),1,1)+MOD(ROWS(B$2:B937)-1,DATE(YEAR(Invoer!$A$5),12,31)-DATE(YEAR(Invoer!$A$5),1,1)+1),"jjjjmmdd")</f>
        <v>19430725</v>
      </c>
      <c r="C937" s="18">
        <v>1</v>
      </c>
      <c r="D937" s="23" t="str">
        <f t="shared" ca="1" si="28"/>
        <v>—</v>
      </c>
      <c r="E937" s="24">
        <f t="shared" ca="1" si="29"/>
        <v>7</v>
      </c>
    </row>
    <row r="938" spans="1:5" x14ac:dyDescent="0.25">
      <c r="A938" s="17">
        <f ca="1">INDEX(Stations,INT((ROWS(A$2:A938)-1)/(DATE(YEAR(Invoer!$A$5),12,31)-DATE(YEAR(Invoer!$A$5),1,1)+1))+2,1)</f>
        <v>82</v>
      </c>
      <c r="B938" t="str">
        <f ca="1">TEXT(DATE(YEAR(Invoer!$A$5),1,1)+MOD(ROWS(B$2:B938)-1,DATE(YEAR(Invoer!$A$5),12,31)-DATE(YEAR(Invoer!$A$5),1,1)+1),"jjjjmmdd")</f>
        <v>19430726</v>
      </c>
      <c r="C938" s="18">
        <v>1</v>
      </c>
      <c r="D938" s="23" t="str">
        <f t="shared" ca="1" si="28"/>
        <v>—</v>
      </c>
      <c r="E938" s="24">
        <f t="shared" ca="1" si="29"/>
        <v>7</v>
      </c>
    </row>
    <row r="939" spans="1:5" x14ac:dyDescent="0.25">
      <c r="A939" s="17">
        <f ca="1">INDEX(Stations,INT((ROWS(A$2:A939)-1)/(DATE(YEAR(Invoer!$A$5),12,31)-DATE(YEAR(Invoer!$A$5),1,1)+1))+2,1)</f>
        <v>82</v>
      </c>
      <c r="B939" t="str">
        <f ca="1">TEXT(DATE(YEAR(Invoer!$A$5),1,1)+MOD(ROWS(B$2:B939)-1,DATE(YEAR(Invoer!$A$5),12,31)-DATE(YEAR(Invoer!$A$5),1,1)+1),"jjjjmmdd")</f>
        <v>19430727</v>
      </c>
      <c r="C939" s="18">
        <v>1</v>
      </c>
      <c r="D939" s="23" t="str">
        <f t="shared" ca="1" si="28"/>
        <v>—</v>
      </c>
      <c r="E939" s="24">
        <f t="shared" ca="1" si="29"/>
        <v>7</v>
      </c>
    </row>
    <row r="940" spans="1:5" x14ac:dyDescent="0.25">
      <c r="A940" s="17">
        <f ca="1">INDEX(Stations,INT((ROWS(A$2:A940)-1)/(DATE(YEAR(Invoer!$A$5),12,31)-DATE(YEAR(Invoer!$A$5),1,1)+1))+2,1)</f>
        <v>82</v>
      </c>
      <c r="B940" t="str">
        <f ca="1">TEXT(DATE(YEAR(Invoer!$A$5),1,1)+MOD(ROWS(B$2:B940)-1,DATE(YEAR(Invoer!$A$5),12,31)-DATE(YEAR(Invoer!$A$5),1,1)+1),"jjjjmmdd")</f>
        <v>19430728</v>
      </c>
      <c r="C940" s="18">
        <v>1</v>
      </c>
      <c r="D940" s="23" t="str">
        <f t="shared" ca="1" si="28"/>
        <v>—</v>
      </c>
      <c r="E940" s="24">
        <f t="shared" ca="1" si="29"/>
        <v>7</v>
      </c>
    </row>
    <row r="941" spans="1:5" x14ac:dyDescent="0.25">
      <c r="A941" s="17">
        <f ca="1">INDEX(Stations,INT((ROWS(A$2:A941)-1)/(DATE(YEAR(Invoer!$A$5),12,31)-DATE(YEAR(Invoer!$A$5),1,1)+1))+2,1)</f>
        <v>82</v>
      </c>
      <c r="B941" t="str">
        <f ca="1">TEXT(DATE(YEAR(Invoer!$A$5),1,1)+MOD(ROWS(B$2:B941)-1,DATE(YEAR(Invoer!$A$5),12,31)-DATE(YEAR(Invoer!$A$5),1,1)+1),"jjjjmmdd")</f>
        <v>19430729</v>
      </c>
      <c r="C941" s="18">
        <v>1</v>
      </c>
      <c r="D941" s="23" t="str">
        <f t="shared" ca="1" si="28"/>
        <v>—</v>
      </c>
      <c r="E941" s="24">
        <f t="shared" ca="1" si="29"/>
        <v>7</v>
      </c>
    </row>
    <row r="942" spans="1:5" x14ac:dyDescent="0.25">
      <c r="A942" s="17">
        <f ca="1">INDEX(Stations,INT((ROWS(A$2:A942)-1)/(DATE(YEAR(Invoer!$A$5),12,31)-DATE(YEAR(Invoer!$A$5),1,1)+1))+2,1)</f>
        <v>82</v>
      </c>
      <c r="B942" t="str">
        <f ca="1">TEXT(DATE(YEAR(Invoer!$A$5),1,1)+MOD(ROWS(B$2:B942)-1,DATE(YEAR(Invoer!$A$5),12,31)-DATE(YEAR(Invoer!$A$5),1,1)+1),"jjjjmmdd")</f>
        <v>19430730</v>
      </c>
      <c r="C942" s="18">
        <v>1</v>
      </c>
      <c r="D942" s="23" t="str">
        <f t="shared" ca="1" si="28"/>
        <v>—</v>
      </c>
      <c r="E942" s="24">
        <f t="shared" ca="1" si="29"/>
        <v>7</v>
      </c>
    </row>
    <row r="943" spans="1:5" x14ac:dyDescent="0.25">
      <c r="A943" s="17">
        <f ca="1">INDEX(Stations,INT((ROWS(A$2:A943)-1)/(DATE(YEAR(Invoer!$A$5),12,31)-DATE(YEAR(Invoer!$A$5),1,1)+1))+2,1)</f>
        <v>82</v>
      </c>
      <c r="B943" t="str">
        <f ca="1">TEXT(DATE(YEAR(Invoer!$A$5),1,1)+MOD(ROWS(B$2:B943)-1,DATE(YEAR(Invoer!$A$5),12,31)-DATE(YEAR(Invoer!$A$5),1,1)+1),"jjjjmmdd")</f>
        <v>19430731</v>
      </c>
      <c r="C943" s="18">
        <v>1</v>
      </c>
      <c r="D943" s="23" t="str">
        <f t="shared" ca="1" si="28"/>
        <v>—</v>
      </c>
      <c r="E943" s="24">
        <f t="shared" ca="1" si="29"/>
        <v>7</v>
      </c>
    </row>
    <row r="944" spans="1:5" x14ac:dyDescent="0.25">
      <c r="A944" s="17">
        <f ca="1">INDEX(Stations,INT((ROWS(A$2:A944)-1)/(DATE(YEAR(Invoer!$A$5),12,31)-DATE(YEAR(Invoer!$A$5),1,1)+1))+2,1)</f>
        <v>82</v>
      </c>
      <c r="B944" t="str">
        <f ca="1">TEXT(DATE(YEAR(Invoer!$A$5),1,1)+MOD(ROWS(B$2:B944)-1,DATE(YEAR(Invoer!$A$5),12,31)-DATE(YEAR(Invoer!$A$5),1,1)+1),"jjjjmmdd")</f>
        <v>19430801</v>
      </c>
      <c r="C944" s="18">
        <v>1</v>
      </c>
      <c r="D944" s="23" t="str">
        <f t="shared" ca="1" si="28"/>
        <v>—</v>
      </c>
      <c r="E944" s="24">
        <f t="shared" ca="1" si="29"/>
        <v>7</v>
      </c>
    </row>
    <row r="945" spans="1:5" x14ac:dyDescent="0.25">
      <c r="A945" s="17">
        <f ca="1">INDEX(Stations,INT((ROWS(A$2:A945)-1)/(DATE(YEAR(Invoer!$A$5),12,31)-DATE(YEAR(Invoer!$A$5),1,1)+1))+2,1)</f>
        <v>82</v>
      </c>
      <c r="B945" t="str">
        <f ca="1">TEXT(DATE(YEAR(Invoer!$A$5),1,1)+MOD(ROWS(B$2:B945)-1,DATE(YEAR(Invoer!$A$5),12,31)-DATE(YEAR(Invoer!$A$5),1,1)+1),"jjjjmmdd")</f>
        <v>19430802</v>
      </c>
      <c r="C945" s="18">
        <v>1</v>
      </c>
      <c r="D945" s="23" t="str">
        <f t="shared" ca="1" si="28"/>
        <v>—</v>
      </c>
      <c r="E945" s="24">
        <f t="shared" ca="1" si="29"/>
        <v>7</v>
      </c>
    </row>
    <row r="946" spans="1:5" x14ac:dyDescent="0.25">
      <c r="A946" s="17">
        <f ca="1">INDEX(Stations,INT((ROWS(A$2:A946)-1)/(DATE(YEAR(Invoer!$A$5),12,31)-DATE(YEAR(Invoer!$A$5),1,1)+1))+2,1)</f>
        <v>82</v>
      </c>
      <c r="B946" t="str">
        <f ca="1">TEXT(DATE(YEAR(Invoer!$A$5),1,1)+MOD(ROWS(B$2:B946)-1,DATE(YEAR(Invoer!$A$5),12,31)-DATE(YEAR(Invoer!$A$5),1,1)+1),"jjjjmmdd")</f>
        <v>19430803</v>
      </c>
      <c r="C946" s="18">
        <v>1</v>
      </c>
      <c r="D946" s="23" t="str">
        <f t="shared" ca="1" si="28"/>
        <v>—</v>
      </c>
      <c r="E946" s="24">
        <f t="shared" ca="1" si="29"/>
        <v>7</v>
      </c>
    </row>
    <row r="947" spans="1:5" x14ac:dyDescent="0.25">
      <c r="A947" s="17">
        <f ca="1">INDEX(Stations,INT((ROWS(A$2:A947)-1)/(DATE(YEAR(Invoer!$A$5),12,31)-DATE(YEAR(Invoer!$A$5),1,1)+1))+2,1)</f>
        <v>82</v>
      </c>
      <c r="B947" t="str">
        <f ca="1">TEXT(DATE(YEAR(Invoer!$A$5),1,1)+MOD(ROWS(B$2:B947)-1,DATE(YEAR(Invoer!$A$5),12,31)-DATE(YEAR(Invoer!$A$5),1,1)+1),"jjjjmmdd")</f>
        <v>19430804</v>
      </c>
      <c r="C947" s="18">
        <v>1</v>
      </c>
      <c r="D947" s="23" t="str">
        <f t="shared" ca="1" si="28"/>
        <v>—</v>
      </c>
      <c r="E947" s="24">
        <f t="shared" ca="1" si="29"/>
        <v>7</v>
      </c>
    </row>
    <row r="948" spans="1:5" x14ac:dyDescent="0.25">
      <c r="A948" s="17">
        <f ca="1">INDEX(Stations,INT((ROWS(A$2:A948)-1)/(DATE(YEAR(Invoer!$A$5),12,31)-DATE(YEAR(Invoer!$A$5),1,1)+1))+2,1)</f>
        <v>82</v>
      </c>
      <c r="B948" t="str">
        <f ca="1">TEXT(DATE(YEAR(Invoer!$A$5),1,1)+MOD(ROWS(B$2:B948)-1,DATE(YEAR(Invoer!$A$5),12,31)-DATE(YEAR(Invoer!$A$5),1,1)+1),"jjjjmmdd")</f>
        <v>19430805</v>
      </c>
      <c r="C948" s="18">
        <v>1</v>
      </c>
      <c r="D948" s="23" t="str">
        <f t="shared" ca="1" si="28"/>
        <v>—</v>
      </c>
      <c r="E948" s="24">
        <f t="shared" ca="1" si="29"/>
        <v>7</v>
      </c>
    </row>
    <row r="949" spans="1:5" x14ac:dyDescent="0.25">
      <c r="A949" s="17">
        <f ca="1">INDEX(Stations,INT((ROWS(A$2:A949)-1)/(DATE(YEAR(Invoer!$A$5),12,31)-DATE(YEAR(Invoer!$A$5),1,1)+1))+2,1)</f>
        <v>82</v>
      </c>
      <c r="B949" t="str">
        <f ca="1">TEXT(DATE(YEAR(Invoer!$A$5),1,1)+MOD(ROWS(B$2:B949)-1,DATE(YEAR(Invoer!$A$5),12,31)-DATE(YEAR(Invoer!$A$5),1,1)+1),"jjjjmmdd")</f>
        <v>19430806</v>
      </c>
      <c r="C949" s="18">
        <v>1</v>
      </c>
      <c r="D949" s="23" t="str">
        <f t="shared" ca="1" si="28"/>
        <v>—</v>
      </c>
      <c r="E949" s="24">
        <f t="shared" ca="1" si="29"/>
        <v>7</v>
      </c>
    </row>
    <row r="950" spans="1:5" x14ac:dyDescent="0.25">
      <c r="A950" s="17">
        <f ca="1">INDEX(Stations,INT((ROWS(A$2:A950)-1)/(DATE(YEAR(Invoer!$A$5),12,31)-DATE(YEAR(Invoer!$A$5),1,1)+1))+2,1)</f>
        <v>82</v>
      </c>
      <c r="B950" t="str">
        <f ca="1">TEXT(DATE(YEAR(Invoer!$A$5),1,1)+MOD(ROWS(B$2:B950)-1,DATE(YEAR(Invoer!$A$5),12,31)-DATE(YEAR(Invoer!$A$5),1,1)+1),"jjjjmmdd")</f>
        <v>19430807</v>
      </c>
      <c r="C950" s="18">
        <v>1</v>
      </c>
      <c r="D950" s="23" t="str">
        <f t="shared" ca="1" si="28"/>
        <v>—</v>
      </c>
      <c r="E950" s="24">
        <f t="shared" ca="1" si="29"/>
        <v>7</v>
      </c>
    </row>
    <row r="951" spans="1:5" x14ac:dyDescent="0.25">
      <c r="A951" s="17">
        <f ca="1">INDEX(Stations,INT((ROWS(A$2:A951)-1)/(DATE(YEAR(Invoer!$A$5),12,31)-DATE(YEAR(Invoer!$A$5),1,1)+1))+2,1)</f>
        <v>82</v>
      </c>
      <c r="B951" t="str">
        <f ca="1">TEXT(DATE(YEAR(Invoer!$A$5),1,1)+MOD(ROWS(B$2:B951)-1,DATE(YEAR(Invoer!$A$5),12,31)-DATE(YEAR(Invoer!$A$5),1,1)+1),"jjjjmmdd")</f>
        <v>19430808</v>
      </c>
      <c r="C951" s="18">
        <v>1</v>
      </c>
      <c r="D951" s="23" t="str">
        <f t="shared" ca="1" si="28"/>
        <v>—</v>
      </c>
      <c r="E951" s="24">
        <f t="shared" ca="1" si="29"/>
        <v>7</v>
      </c>
    </row>
    <row r="952" spans="1:5" x14ac:dyDescent="0.25">
      <c r="A952" s="17">
        <f ca="1">INDEX(Stations,INT((ROWS(A$2:A952)-1)/(DATE(YEAR(Invoer!$A$5),12,31)-DATE(YEAR(Invoer!$A$5),1,1)+1))+2,1)</f>
        <v>82</v>
      </c>
      <c r="B952" t="str">
        <f ca="1">TEXT(DATE(YEAR(Invoer!$A$5),1,1)+MOD(ROWS(B$2:B952)-1,DATE(YEAR(Invoer!$A$5),12,31)-DATE(YEAR(Invoer!$A$5),1,1)+1),"jjjjmmdd")</f>
        <v>19430809</v>
      </c>
      <c r="C952" s="18">
        <v>1</v>
      </c>
      <c r="D952" s="23" t="str">
        <f t="shared" ca="1" si="28"/>
        <v>—</v>
      </c>
      <c r="E952" s="24">
        <f t="shared" ca="1" si="29"/>
        <v>7</v>
      </c>
    </row>
    <row r="953" spans="1:5" x14ac:dyDescent="0.25">
      <c r="A953" s="17">
        <f ca="1">INDEX(Stations,INT((ROWS(A$2:A953)-1)/(DATE(YEAR(Invoer!$A$5),12,31)-DATE(YEAR(Invoer!$A$5),1,1)+1))+2,1)</f>
        <v>82</v>
      </c>
      <c r="B953" t="str">
        <f ca="1">TEXT(DATE(YEAR(Invoer!$A$5),1,1)+MOD(ROWS(B$2:B953)-1,DATE(YEAR(Invoer!$A$5),12,31)-DATE(YEAR(Invoer!$A$5),1,1)+1),"jjjjmmdd")</f>
        <v>19430810</v>
      </c>
      <c r="C953" s="18">
        <v>1</v>
      </c>
      <c r="D953" s="23" t="str">
        <f t="shared" ca="1" si="28"/>
        <v>—</v>
      </c>
      <c r="E953" s="24">
        <f t="shared" ca="1" si="29"/>
        <v>7</v>
      </c>
    </row>
    <row r="954" spans="1:5" x14ac:dyDescent="0.25">
      <c r="A954" s="17">
        <f ca="1">INDEX(Stations,INT((ROWS(A$2:A954)-1)/(DATE(YEAR(Invoer!$A$5),12,31)-DATE(YEAR(Invoer!$A$5),1,1)+1))+2,1)</f>
        <v>82</v>
      </c>
      <c r="B954" t="str">
        <f ca="1">TEXT(DATE(YEAR(Invoer!$A$5),1,1)+MOD(ROWS(B$2:B954)-1,DATE(YEAR(Invoer!$A$5),12,31)-DATE(YEAR(Invoer!$A$5),1,1)+1),"jjjjmmdd")</f>
        <v>19430811</v>
      </c>
      <c r="C954" s="18">
        <v>1</v>
      </c>
      <c r="D954" s="23" t="str">
        <f t="shared" ca="1" si="28"/>
        <v>—</v>
      </c>
      <c r="E954" s="24">
        <f t="shared" ca="1" si="29"/>
        <v>7</v>
      </c>
    </row>
    <row r="955" spans="1:5" x14ac:dyDescent="0.25">
      <c r="A955" s="17">
        <f ca="1">INDEX(Stations,INT((ROWS(A$2:A955)-1)/(DATE(YEAR(Invoer!$A$5),12,31)-DATE(YEAR(Invoer!$A$5),1,1)+1))+2,1)</f>
        <v>82</v>
      </c>
      <c r="B955" t="str">
        <f ca="1">TEXT(DATE(YEAR(Invoer!$A$5),1,1)+MOD(ROWS(B$2:B955)-1,DATE(YEAR(Invoer!$A$5),12,31)-DATE(YEAR(Invoer!$A$5),1,1)+1),"jjjjmmdd")</f>
        <v>19430812</v>
      </c>
      <c r="C955" s="18">
        <v>1</v>
      </c>
      <c r="D955" s="23" t="str">
        <f t="shared" ca="1" si="28"/>
        <v>—</v>
      </c>
      <c r="E955" s="24">
        <f t="shared" ca="1" si="29"/>
        <v>7</v>
      </c>
    </row>
    <row r="956" spans="1:5" x14ac:dyDescent="0.25">
      <c r="A956" s="17">
        <f ca="1">INDEX(Stations,INT((ROWS(A$2:A956)-1)/(DATE(YEAR(Invoer!$A$5),12,31)-DATE(YEAR(Invoer!$A$5),1,1)+1))+2,1)</f>
        <v>82</v>
      </c>
      <c r="B956" t="str">
        <f ca="1">TEXT(DATE(YEAR(Invoer!$A$5),1,1)+MOD(ROWS(B$2:B956)-1,DATE(YEAR(Invoer!$A$5),12,31)-DATE(YEAR(Invoer!$A$5),1,1)+1),"jjjjmmdd")</f>
        <v>19430813</v>
      </c>
      <c r="C956" s="18">
        <v>1</v>
      </c>
      <c r="D956" s="23" t="str">
        <f t="shared" ca="1" si="28"/>
        <v>—</v>
      </c>
      <c r="E956" s="24">
        <f t="shared" ca="1" si="29"/>
        <v>7</v>
      </c>
    </row>
    <row r="957" spans="1:5" x14ac:dyDescent="0.25">
      <c r="A957" s="17">
        <f ca="1">INDEX(Stations,INT((ROWS(A$2:A957)-1)/(DATE(YEAR(Invoer!$A$5),12,31)-DATE(YEAR(Invoer!$A$5),1,1)+1))+2,1)</f>
        <v>82</v>
      </c>
      <c r="B957" t="str">
        <f ca="1">TEXT(DATE(YEAR(Invoer!$A$5),1,1)+MOD(ROWS(B$2:B957)-1,DATE(YEAR(Invoer!$A$5),12,31)-DATE(YEAR(Invoer!$A$5),1,1)+1),"jjjjmmdd")</f>
        <v>19430814</v>
      </c>
      <c r="C957" s="18">
        <v>1</v>
      </c>
      <c r="D957" s="23" t="str">
        <f t="shared" ca="1" si="28"/>
        <v>—</v>
      </c>
      <c r="E957" s="24">
        <f t="shared" ca="1" si="29"/>
        <v>7</v>
      </c>
    </row>
    <row r="958" spans="1:5" x14ac:dyDescent="0.25">
      <c r="A958" s="17">
        <f ca="1">INDEX(Stations,INT((ROWS(A$2:A958)-1)/(DATE(YEAR(Invoer!$A$5),12,31)-DATE(YEAR(Invoer!$A$5),1,1)+1))+2,1)</f>
        <v>82</v>
      </c>
      <c r="B958" t="str">
        <f ca="1">TEXT(DATE(YEAR(Invoer!$A$5),1,1)+MOD(ROWS(B$2:B958)-1,DATE(YEAR(Invoer!$A$5),12,31)-DATE(YEAR(Invoer!$A$5),1,1)+1),"jjjjmmdd")</f>
        <v>19430815</v>
      </c>
      <c r="C958" s="18">
        <v>1</v>
      </c>
      <c r="D958" s="23" t="str">
        <f t="shared" ca="1" si="28"/>
        <v>—</v>
      </c>
      <c r="E958" s="24">
        <f t="shared" ca="1" si="29"/>
        <v>7</v>
      </c>
    </row>
    <row r="959" spans="1:5" x14ac:dyDescent="0.25">
      <c r="A959" s="17">
        <f ca="1">INDEX(Stations,INT((ROWS(A$2:A959)-1)/(DATE(YEAR(Invoer!$A$5),12,31)-DATE(YEAR(Invoer!$A$5),1,1)+1))+2,1)</f>
        <v>82</v>
      </c>
      <c r="B959" t="str">
        <f ca="1">TEXT(DATE(YEAR(Invoer!$A$5),1,1)+MOD(ROWS(B$2:B959)-1,DATE(YEAR(Invoer!$A$5),12,31)-DATE(YEAR(Invoer!$A$5),1,1)+1),"jjjjmmdd")</f>
        <v>19430816</v>
      </c>
      <c r="C959" s="18">
        <v>1</v>
      </c>
      <c r="D959" s="23" t="str">
        <f t="shared" ca="1" si="28"/>
        <v>—</v>
      </c>
      <c r="E959" s="24">
        <f t="shared" ca="1" si="29"/>
        <v>7</v>
      </c>
    </row>
    <row r="960" spans="1:5" x14ac:dyDescent="0.25">
      <c r="A960" s="17">
        <f ca="1">INDEX(Stations,INT((ROWS(A$2:A960)-1)/(DATE(YEAR(Invoer!$A$5),12,31)-DATE(YEAR(Invoer!$A$5),1,1)+1))+2,1)</f>
        <v>82</v>
      </c>
      <c r="B960" t="str">
        <f ca="1">TEXT(DATE(YEAR(Invoer!$A$5),1,1)+MOD(ROWS(B$2:B960)-1,DATE(YEAR(Invoer!$A$5),12,31)-DATE(YEAR(Invoer!$A$5),1,1)+1),"jjjjmmdd")</f>
        <v>19430817</v>
      </c>
      <c r="C960" s="18">
        <v>1</v>
      </c>
      <c r="D960" s="23" t="str">
        <f t="shared" ca="1" si="28"/>
        <v>—</v>
      </c>
      <c r="E960" s="24">
        <f t="shared" ca="1" si="29"/>
        <v>7</v>
      </c>
    </row>
    <row r="961" spans="1:5" x14ac:dyDescent="0.25">
      <c r="A961" s="17">
        <f ca="1">INDEX(Stations,INT((ROWS(A$2:A961)-1)/(DATE(YEAR(Invoer!$A$5),12,31)-DATE(YEAR(Invoer!$A$5),1,1)+1))+2,1)</f>
        <v>82</v>
      </c>
      <c r="B961" t="str">
        <f ca="1">TEXT(DATE(YEAR(Invoer!$A$5),1,1)+MOD(ROWS(B$2:B961)-1,DATE(YEAR(Invoer!$A$5),12,31)-DATE(YEAR(Invoer!$A$5),1,1)+1),"jjjjmmdd")</f>
        <v>19430818</v>
      </c>
      <c r="C961" s="18">
        <v>1</v>
      </c>
      <c r="D961" s="23" t="str">
        <f t="shared" ca="1" si="28"/>
        <v>—</v>
      </c>
      <c r="E961" s="24">
        <f t="shared" ca="1" si="29"/>
        <v>7</v>
      </c>
    </row>
    <row r="962" spans="1:5" x14ac:dyDescent="0.25">
      <c r="A962" s="17">
        <f ca="1">INDEX(Stations,INT((ROWS(A$2:A962)-1)/(DATE(YEAR(Invoer!$A$5),12,31)-DATE(YEAR(Invoer!$A$5),1,1)+1))+2,1)</f>
        <v>82</v>
      </c>
      <c r="B962" t="str">
        <f ca="1">TEXT(DATE(YEAR(Invoer!$A$5),1,1)+MOD(ROWS(B$2:B962)-1,DATE(YEAR(Invoer!$A$5),12,31)-DATE(YEAR(Invoer!$A$5),1,1)+1),"jjjjmmdd")</f>
        <v>19430819</v>
      </c>
      <c r="C962" s="18">
        <v>1</v>
      </c>
      <c r="D962" s="23" t="str">
        <f t="shared" ref="D962:D1025" ca="1" si="30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"—",VLOOKUP(DATEVALUE(LEFT(B962,4)&amp;"-"&amp;MID(B962,5,2)&amp;"-"&amp;RIGHT(B962,2)),Data,MATCH(VLOOKUP(A962,Stations,2,FALSE()),OFFSET(Data,1,0,1),0),FALSE()))</f>
        <v>—</v>
      </c>
      <c r="E962" s="24">
        <f t="shared" ref="E962:E1025" ca="1" si="31">IF(OR(ISBLANK(VLOOKUP(DATEVALUE(LEFT(B962,4)&amp;"-"&amp;MID(B962,5,2)&amp;"-"&amp;RIGHT(B962,2)),Data,MATCH(VLOOKUP(A962,Stations,2,FALSE()),OFFSET(Data,1,0,1),0),FALSE())),ISTEXT(VLOOKUP(DATEVALUE(LEFT(B962,4)&amp;"-"&amp;MID(B962,5,2)&amp;"-"&amp;RIGHT(B962,2)),Data,MATCH(VLOOKUP(A962,Stations,2,FALSE()),OFFSET(Data,1,0,1),0),FALSE()))),Lacking,IF(ISNA(MATCH(DATEVALUE(LEFT(B962,4)&amp;"-"&amp;MID(B962,5,2)&amp;"-"&amp;RIGHT(B962,2)),OFFSET(Catalogus,0,0,,1),0)),Ok,VLOOKUP(DATEVALUE(LEFT(B962,4)&amp;"-"&amp;MID(B962,5,2)&amp;"-"&amp;RIGHT(B962,2)),Catalogus,MATCH(VLOOKUP(A962,Stations,2,FALSE()),OFFSET(Catalogus,1,0,1),0),FALSE())))</f>
        <v>7</v>
      </c>
    </row>
    <row r="963" spans="1:5" x14ac:dyDescent="0.25">
      <c r="A963" s="17">
        <f ca="1">INDEX(Stations,INT((ROWS(A$2:A963)-1)/(DATE(YEAR(Invoer!$A$5),12,31)-DATE(YEAR(Invoer!$A$5),1,1)+1))+2,1)</f>
        <v>82</v>
      </c>
      <c r="B963" t="str">
        <f ca="1">TEXT(DATE(YEAR(Invoer!$A$5),1,1)+MOD(ROWS(B$2:B963)-1,DATE(YEAR(Invoer!$A$5),12,31)-DATE(YEAR(Invoer!$A$5),1,1)+1),"jjjjmmdd")</f>
        <v>19430820</v>
      </c>
      <c r="C963" s="18">
        <v>1</v>
      </c>
      <c r="D963" s="23" t="str">
        <f t="shared" ca="1" si="30"/>
        <v>—</v>
      </c>
      <c r="E963" s="24">
        <f t="shared" ca="1" si="31"/>
        <v>7</v>
      </c>
    </row>
    <row r="964" spans="1:5" x14ac:dyDescent="0.25">
      <c r="A964" s="17">
        <f ca="1">INDEX(Stations,INT((ROWS(A$2:A964)-1)/(DATE(YEAR(Invoer!$A$5),12,31)-DATE(YEAR(Invoer!$A$5),1,1)+1))+2,1)</f>
        <v>82</v>
      </c>
      <c r="B964" t="str">
        <f ca="1">TEXT(DATE(YEAR(Invoer!$A$5),1,1)+MOD(ROWS(B$2:B964)-1,DATE(YEAR(Invoer!$A$5),12,31)-DATE(YEAR(Invoer!$A$5),1,1)+1),"jjjjmmdd")</f>
        <v>19430821</v>
      </c>
      <c r="C964" s="18">
        <v>1</v>
      </c>
      <c r="D964" s="23" t="str">
        <f t="shared" ca="1" si="30"/>
        <v>—</v>
      </c>
      <c r="E964" s="24">
        <f t="shared" ca="1" si="31"/>
        <v>7</v>
      </c>
    </row>
    <row r="965" spans="1:5" x14ac:dyDescent="0.25">
      <c r="A965" s="17">
        <f ca="1">INDEX(Stations,INT((ROWS(A$2:A965)-1)/(DATE(YEAR(Invoer!$A$5),12,31)-DATE(YEAR(Invoer!$A$5),1,1)+1))+2,1)</f>
        <v>82</v>
      </c>
      <c r="B965" t="str">
        <f ca="1">TEXT(DATE(YEAR(Invoer!$A$5),1,1)+MOD(ROWS(B$2:B965)-1,DATE(YEAR(Invoer!$A$5),12,31)-DATE(YEAR(Invoer!$A$5),1,1)+1),"jjjjmmdd")</f>
        <v>19430822</v>
      </c>
      <c r="C965" s="18">
        <v>1</v>
      </c>
      <c r="D965" s="23" t="str">
        <f t="shared" ca="1" si="30"/>
        <v>—</v>
      </c>
      <c r="E965" s="24">
        <f t="shared" ca="1" si="31"/>
        <v>7</v>
      </c>
    </row>
    <row r="966" spans="1:5" x14ac:dyDescent="0.25">
      <c r="A966" s="17">
        <f ca="1">INDEX(Stations,INT((ROWS(A$2:A966)-1)/(DATE(YEAR(Invoer!$A$5),12,31)-DATE(YEAR(Invoer!$A$5),1,1)+1))+2,1)</f>
        <v>82</v>
      </c>
      <c r="B966" t="str">
        <f ca="1">TEXT(DATE(YEAR(Invoer!$A$5),1,1)+MOD(ROWS(B$2:B966)-1,DATE(YEAR(Invoer!$A$5),12,31)-DATE(YEAR(Invoer!$A$5),1,1)+1),"jjjjmmdd")</f>
        <v>19430823</v>
      </c>
      <c r="C966" s="18">
        <v>1</v>
      </c>
      <c r="D966" s="23" t="str">
        <f t="shared" ca="1" si="30"/>
        <v>—</v>
      </c>
      <c r="E966" s="24">
        <f t="shared" ca="1" si="31"/>
        <v>7</v>
      </c>
    </row>
    <row r="967" spans="1:5" x14ac:dyDescent="0.25">
      <c r="A967" s="17">
        <f ca="1">INDEX(Stations,INT((ROWS(A$2:A967)-1)/(DATE(YEAR(Invoer!$A$5),12,31)-DATE(YEAR(Invoer!$A$5),1,1)+1))+2,1)</f>
        <v>82</v>
      </c>
      <c r="B967" t="str">
        <f ca="1">TEXT(DATE(YEAR(Invoer!$A$5),1,1)+MOD(ROWS(B$2:B967)-1,DATE(YEAR(Invoer!$A$5),12,31)-DATE(YEAR(Invoer!$A$5),1,1)+1),"jjjjmmdd")</f>
        <v>19430824</v>
      </c>
      <c r="C967" s="18">
        <v>1</v>
      </c>
      <c r="D967" s="23" t="str">
        <f t="shared" ca="1" si="30"/>
        <v>—</v>
      </c>
      <c r="E967" s="24">
        <f t="shared" ca="1" si="31"/>
        <v>7</v>
      </c>
    </row>
    <row r="968" spans="1:5" x14ac:dyDescent="0.25">
      <c r="A968" s="17">
        <f ca="1">INDEX(Stations,INT((ROWS(A$2:A968)-1)/(DATE(YEAR(Invoer!$A$5),12,31)-DATE(YEAR(Invoer!$A$5),1,1)+1))+2,1)</f>
        <v>82</v>
      </c>
      <c r="B968" t="str">
        <f ca="1">TEXT(DATE(YEAR(Invoer!$A$5),1,1)+MOD(ROWS(B$2:B968)-1,DATE(YEAR(Invoer!$A$5),12,31)-DATE(YEAR(Invoer!$A$5),1,1)+1),"jjjjmmdd")</f>
        <v>19430825</v>
      </c>
      <c r="C968" s="18">
        <v>1</v>
      </c>
      <c r="D968" s="23" t="str">
        <f t="shared" ca="1" si="30"/>
        <v>—</v>
      </c>
      <c r="E968" s="24">
        <f t="shared" ca="1" si="31"/>
        <v>7</v>
      </c>
    </row>
    <row r="969" spans="1:5" x14ac:dyDescent="0.25">
      <c r="A969" s="17">
        <f ca="1">INDEX(Stations,INT((ROWS(A$2:A969)-1)/(DATE(YEAR(Invoer!$A$5),12,31)-DATE(YEAR(Invoer!$A$5),1,1)+1))+2,1)</f>
        <v>82</v>
      </c>
      <c r="B969" t="str">
        <f ca="1">TEXT(DATE(YEAR(Invoer!$A$5),1,1)+MOD(ROWS(B$2:B969)-1,DATE(YEAR(Invoer!$A$5),12,31)-DATE(YEAR(Invoer!$A$5),1,1)+1),"jjjjmmdd")</f>
        <v>19430826</v>
      </c>
      <c r="C969" s="18">
        <v>1</v>
      </c>
      <c r="D969" s="23" t="str">
        <f t="shared" ca="1" si="30"/>
        <v>—</v>
      </c>
      <c r="E969" s="24">
        <f t="shared" ca="1" si="31"/>
        <v>7</v>
      </c>
    </row>
    <row r="970" spans="1:5" x14ac:dyDescent="0.25">
      <c r="A970" s="17">
        <f ca="1">INDEX(Stations,INT((ROWS(A$2:A970)-1)/(DATE(YEAR(Invoer!$A$5),12,31)-DATE(YEAR(Invoer!$A$5),1,1)+1))+2,1)</f>
        <v>82</v>
      </c>
      <c r="B970" t="str">
        <f ca="1">TEXT(DATE(YEAR(Invoer!$A$5),1,1)+MOD(ROWS(B$2:B970)-1,DATE(YEAR(Invoer!$A$5),12,31)-DATE(YEAR(Invoer!$A$5),1,1)+1),"jjjjmmdd")</f>
        <v>19430827</v>
      </c>
      <c r="C970" s="18">
        <v>1</v>
      </c>
      <c r="D970" s="23" t="str">
        <f t="shared" ca="1" si="30"/>
        <v>—</v>
      </c>
      <c r="E970" s="24">
        <f t="shared" ca="1" si="31"/>
        <v>7</v>
      </c>
    </row>
    <row r="971" spans="1:5" x14ac:dyDescent="0.25">
      <c r="A971" s="17">
        <f ca="1">INDEX(Stations,INT((ROWS(A$2:A971)-1)/(DATE(YEAR(Invoer!$A$5),12,31)-DATE(YEAR(Invoer!$A$5),1,1)+1))+2,1)</f>
        <v>82</v>
      </c>
      <c r="B971" t="str">
        <f ca="1">TEXT(DATE(YEAR(Invoer!$A$5),1,1)+MOD(ROWS(B$2:B971)-1,DATE(YEAR(Invoer!$A$5),12,31)-DATE(YEAR(Invoer!$A$5),1,1)+1),"jjjjmmdd")</f>
        <v>19430828</v>
      </c>
      <c r="C971" s="18">
        <v>1</v>
      </c>
      <c r="D971" s="23" t="str">
        <f t="shared" ca="1" si="30"/>
        <v>—</v>
      </c>
      <c r="E971" s="24">
        <f t="shared" ca="1" si="31"/>
        <v>7</v>
      </c>
    </row>
    <row r="972" spans="1:5" x14ac:dyDescent="0.25">
      <c r="A972" s="17">
        <f ca="1">INDEX(Stations,INT((ROWS(A$2:A972)-1)/(DATE(YEAR(Invoer!$A$5),12,31)-DATE(YEAR(Invoer!$A$5),1,1)+1))+2,1)</f>
        <v>82</v>
      </c>
      <c r="B972" t="str">
        <f ca="1">TEXT(DATE(YEAR(Invoer!$A$5),1,1)+MOD(ROWS(B$2:B972)-1,DATE(YEAR(Invoer!$A$5),12,31)-DATE(YEAR(Invoer!$A$5),1,1)+1),"jjjjmmdd")</f>
        <v>19430829</v>
      </c>
      <c r="C972" s="18">
        <v>1</v>
      </c>
      <c r="D972" s="23" t="str">
        <f t="shared" ca="1" si="30"/>
        <v>—</v>
      </c>
      <c r="E972" s="24">
        <f t="shared" ca="1" si="31"/>
        <v>7</v>
      </c>
    </row>
    <row r="973" spans="1:5" x14ac:dyDescent="0.25">
      <c r="A973" s="17">
        <f ca="1">INDEX(Stations,INT((ROWS(A$2:A973)-1)/(DATE(YEAR(Invoer!$A$5),12,31)-DATE(YEAR(Invoer!$A$5),1,1)+1))+2,1)</f>
        <v>82</v>
      </c>
      <c r="B973" t="str">
        <f ca="1">TEXT(DATE(YEAR(Invoer!$A$5),1,1)+MOD(ROWS(B$2:B973)-1,DATE(YEAR(Invoer!$A$5),12,31)-DATE(YEAR(Invoer!$A$5),1,1)+1),"jjjjmmdd")</f>
        <v>19430830</v>
      </c>
      <c r="C973" s="18">
        <v>1</v>
      </c>
      <c r="D973" s="23" t="str">
        <f t="shared" ca="1" si="30"/>
        <v>—</v>
      </c>
      <c r="E973" s="24">
        <f t="shared" ca="1" si="31"/>
        <v>7</v>
      </c>
    </row>
    <row r="974" spans="1:5" x14ac:dyDescent="0.25">
      <c r="A974" s="17">
        <f ca="1">INDEX(Stations,INT((ROWS(A$2:A974)-1)/(DATE(YEAR(Invoer!$A$5),12,31)-DATE(YEAR(Invoer!$A$5),1,1)+1))+2,1)</f>
        <v>82</v>
      </c>
      <c r="B974" t="str">
        <f ca="1">TEXT(DATE(YEAR(Invoer!$A$5),1,1)+MOD(ROWS(B$2:B974)-1,DATE(YEAR(Invoer!$A$5),12,31)-DATE(YEAR(Invoer!$A$5),1,1)+1),"jjjjmmdd")</f>
        <v>19430831</v>
      </c>
      <c r="C974" s="18">
        <v>1</v>
      </c>
      <c r="D974" s="23" t="str">
        <f t="shared" ca="1" si="30"/>
        <v>—</v>
      </c>
      <c r="E974" s="24">
        <f t="shared" ca="1" si="31"/>
        <v>7</v>
      </c>
    </row>
    <row r="975" spans="1:5" x14ac:dyDescent="0.25">
      <c r="A975" s="17">
        <f ca="1">INDEX(Stations,INT((ROWS(A$2:A975)-1)/(DATE(YEAR(Invoer!$A$5),12,31)-DATE(YEAR(Invoer!$A$5),1,1)+1))+2,1)</f>
        <v>82</v>
      </c>
      <c r="B975" t="str">
        <f ca="1">TEXT(DATE(YEAR(Invoer!$A$5),1,1)+MOD(ROWS(B$2:B975)-1,DATE(YEAR(Invoer!$A$5),12,31)-DATE(YEAR(Invoer!$A$5),1,1)+1),"jjjjmmdd")</f>
        <v>19430901</v>
      </c>
      <c r="C975" s="18">
        <v>1</v>
      </c>
      <c r="D975" s="23" t="str">
        <f t="shared" ca="1" si="30"/>
        <v>—</v>
      </c>
      <c r="E975" s="24">
        <f t="shared" ca="1" si="31"/>
        <v>7</v>
      </c>
    </row>
    <row r="976" spans="1:5" x14ac:dyDescent="0.25">
      <c r="A976" s="17">
        <f ca="1">INDEX(Stations,INT((ROWS(A$2:A976)-1)/(DATE(YEAR(Invoer!$A$5),12,31)-DATE(YEAR(Invoer!$A$5),1,1)+1))+2,1)</f>
        <v>82</v>
      </c>
      <c r="B976" t="str">
        <f ca="1">TEXT(DATE(YEAR(Invoer!$A$5),1,1)+MOD(ROWS(B$2:B976)-1,DATE(YEAR(Invoer!$A$5),12,31)-DATE(YEAR(Invoer!$A$5),1,1)+1),"jjjjmmdd")</f>
        <v>19430902</v>
      </c>
      <c r="C976" s="18">
        <v>1</v>
      </c>
      <c r="D976" s="23" t="str">
        <f t="shared" ca="1" si="30"/>
        <v>—</v>
      </c>
      <c r="E976" s="24">
        <f t="shared" ca="1" si="31"/>
        <v>7</v>
      </c>
    </row>
    <row r="977" spans="1:5" x14ac:dyDescent="0.25">
      <c r="A977" s="17">
        <f ca="1">INDEX(Stations,INT((ROWS(A$2:A977)-1)/(DATE(YEAR(Invoer!$A$5),12,31)-DATE(YEAR(Invoer!$A$5),1,1)+1))+2,1)</f>
        <v>82</v>
      </c>
      <c r="B977" t="str">
        <f ca="1">TEXT(DATE(YEAR(Invoer!$A$5),1,1)+MOD(ROWS(B$2:B977)-1,DATE(YEAR(Invoer!$A$5),12,31)-DATE(YEAR(Invoer!$A$5),1,1)+1),"jjjjmmdd")</f>
        <v>19430903</v>
      </c>
      <c r="C977" s="18">
        <v>1</v>
      </c>
      <c r="D977" s="23" t="str">
        <f t="shared" ca="1" si="30"/>
        <v>—</v>
      </c>
      <c r="E977" s="24">
        <f t="shared" ca="1" si="31"/>
        <v>7</v>
      </c>
    </row>
    <row r="978" spans="1:5" x14ac:dyDescent="0.25">
      <c r="A978" s="17">
        <f ca="1">INDEX(Stations,INT((ROWS(A$2:A978)-1)/(DATE(YEAR(Invoer!$A$5),12,31)-DATE(YEAR(Invoer!$A$5),1,1)+1))+2,1)</f>
        <v>82</v>
      </c>
      <c r="B978" t="str">
        <f ca="1">TEXT(DATE(YEAR(Invoer!$A$5),1,1)+MOD(ROWS(B$2:B978)-1,DATE(YEAR(Invoer!$A$5),12,31)-DATE(YEAR(Invoer!$A$5),1,1)+1),"jjjjmmdd")</f>
        <v>19430904</v>
      </c>
      <c r="C978" s="18">
        <v>1</v>
      </c>
      <c r="D978" s="23" t="str">
        <f t="shared" ca="1" si="30"/>
        <v>—</v>
      </c>
      <c r="E978" s="24">
        <f t="shared" ca="1" si="31"/>
        <v>7</v>
      </c>
    </row>
    <row r="979" spans="1:5" x14ac:dyDescent="0.25">
      <c r="A979" s="17">
        <f ca="1">INDEX(Stations,INT((ROWS(A$2:A979)-1)/(DATE(YEAR(Invoer!$A$5),12,31)-DATE(YEAR(Invoer!$A$5),1,1)+1))+2,1)</f>
        <v>82</v>
      </c>
      <c r="B979" t="str">
        <f ca="1">TEXT(DATE(YEAR(Invoer!$A$5),1,1)+MOD(ROWS(B$2:B979)-1,DATE(YEAR(Invoer!$A$5),12,31)-DATE(YEAR(Invoer!$A$5),1,1)+1),"jjjjmmdd")</f>
        <v>19430905</v>
      </c>
      <c r="C979" s="18">
        <v>1</v>
      </c>
      <c r="D979" s="23" t="str">
        <f t="shared" ca="1" si="30"/>
        <v>—</v>
      </c>
      <c r="E979" s="24">
        <f t="shared" ca="1" si="31"/>
        <v>7</v>
      </c>
    </row>
    <row r="980" spans="1:5" x14ac:dyDescent="0.25">
      <c r="A980" s="17">
        <f ca="1">INDEX(Stations,INT((ROWS(A$2:A980)-1)/(DATE(YEAR(Invoer!$A$5),12,31)-DATE(YEAR(Invoer!$A$5),1,1)+1))+2,1)</f>
        <v>82</v>
      </c>
      <c r="B980" t="str">
        <f ca="1">TEXT(DATE(YEAR(Invoer!$A$5),1,1)+MOD(ROWS(B$2:B980)-1,DATE(YEAR(Invoer!$A$5),12,31)-DATE(YEAR(Invoer!$A$5),1,1)+1),"jjjjmmdd")</f>
        <v>19430906</v>
      </c>
      <c r="C980" s="18">
        <v>1</v>
      </c>
      <c r="D980" s="23" t="str">
        <f t="shared" ca="1" si="30"/>
        <v>—</v>
      </c>
      <c r="E980" s="24">
        <f t="shared" ca="1" si="31"/>
        <v>7</v>
      </c>
    </row>
    <row r="981" spans="1:5" x14ac:dyDescent="0.25">
      <c r="A981" s="17">
        <f ca="1">INDEX(Stations,INT((ROWS(A$2:A981)-1)/(DATE(YEAR(Invoer!$A$5),12,31)-DATE(YEAR(Invoer!$A$5),1,1)+1))+2,1)</f>
        <v>82</v>
      </c>
      <c r="B981" t="str">
        <f ca="1">TEXT(DATE(YEAR(Invoer!$A$5),1,1)+MOD(ROWS(B$2:B981)-1,DATE(YEAR(Invoer!$A$5),12,31)-DATE(YEAR(Invoer!$A$5),1,1)+1),"jjjjmmdd")</f>
        <v>19430907</v>
      </c>
      <c r="C981" s="18">
        <v>1</v>
      </c>
      <c r="D981" s="23" t="str">
        <f t="shared" ca="1" si="30"/>
        <v>—</v>
      </c>
      <c r="E981" s="24">
        <f t="shared" ca="1" si="31"/>
        <v>7</v>
      </c>
    </row>
    <row r="982" spans="1:5" x14ac:dyDescent="0.25">
      <c r="A982" s="17">
        <f ca="1">INDEX(Stations,INT((ROWS(A$2:A982)-1)/(DATE(YEAR(Invoer!$A$5),12,31)-DATE(YEAR(Invoer!$A$5),1,1)+1))+2,1)</f>
        <v>82</v>
      </c>
      <c r="B982" t="str">
        <f ca="1">TEXT(DATE(YEAR(Invoer!$A$5),1,1)+MOD(ROWS(B$2:B982)-1,DATE(YEAR(Invoer!$A$5),12,31)-DATE(YEAR(Invoer!$A$5),1,1)+1),"jjjjmmdd")</f>
        <v>19430908</v>
      </c>
      <c r="C982" s="18">
        <v>1</v>
      </c>
      <c r="D982" s="23" t="str">
        <f t="shared" ca="1" si="30"/>
        <v>—</v>
      </c>
      <c r="E982" s="24">
        <f t="shared" ca="1" si="31"/>
        <v>7</v>
      </c>
    </row>
    <row r="983" spans="1:5" x14ac:dyDescent="0.25">
      <c r="A983" s="17">
        <f ca="1">INDEX(Stations,INT((ROWS(A$2:A983)-1)/(DATE(YEAR(Invoer!$A$5),12,31)-DATE(YEAR(Invoer!$A$5),1,1)+1))+2,1)</f>
        <v>82</v>
      </c>
      <c r="B983" t="str">
        <f ca="1">TEXT(DATE(YEAR(Invoer!$A$5),1,1)+MOD(ROWS(B$2:B983)-1,DATE(YEAR(Invoer!$A$5),12,31)-DATE(YEAR(Invoer!$A$5),1,1)+1),"jjjjmmdd")</f>
        <v>19430909</v>
      </c>
      <c r="C983" s="18">
        <v>1</v>
      </c>
      <c r="D983" s="23" t="str">
        <f t="shared" ca="1" si="30"/>
        <v>—</v>
      </c>
      <c r="E983" s="24">
        <f t="shared" ca="1" si="31"/>
        <v>7</v>
      </c>
    </row>
    <row r="984" spans="1:5" x14ac:dyDescent="0.25">
      <c r="A984" s="17">
        <f ca="1">INDEX(Stations,INT((ROWS(A$2:A984)-1)/(DATE(YEAR(Invoer!$A$5),12,31)-DATE(YEAR(Invoer!$A$5),1,1)+1))+2,1)</f>
        <v>82</v>
      </c>
      <c r="B984" t="str">
        <f ca="1">TEXT(DATE(YEAR(Invoer!$A$5),1,1)+MOD(ROWS(B$2:B984)-1,DATE(YEAR(Invoer!$A$5),12,31)-DATE(YEAR(Invoer!$A$5),1,1)+1),"jjjjmmdd")</f>
        <v>19430910</v>
      </c>
      <c r="C984" s="18">
        <v>1</v>
      </c>
      <c r="D984" s="23" t="str">
        <f t="shared" ca="1" si="30"/>
        <v>—</v>
      </c>
      <c r="E984" s="24">
        <f t="shared" ca="1" si="31"/>
        <v>7</v>
      </c>
    </row>
    <row r="985" spans="1:5" x14ac:dyDescent="0.25">
      <c r="A985" s="17">
        <f ca="1">INDEX(Stations,INT((ROWS(A$2:A985)-1)/(DATE(YEAR(Invoer!$A$5),12,31)-DATE(YEAR(Invoer!$A$5),1,1)+1))+2,1)</f>
        <v>82</v>
      </c>
      <c r="B985" t="str">
        <f ca="1">TEXT(DATE(YEAR(Invoer!$A$5),1,1)+MOD(ROWS(B$2:B985)-1,DATE(YEAR(Invoer!$A$5),12,31)-DATE(YEAR(Invoer!$A$5),1,1)+1),"jjjjmmdd")</f>
        <v>19430911</v>
      </c>
      <c r="C985" s="18">
        <v>1</v>
      </c>
      <c r="D985" s="23" t="str">
        <f t="shared" ca="1" si="30"/>
        <v>—</v>
      </c>
      <c r="E985" s="24">
        <f t="shared" ca="1" si="31"/>
        <v>7</v>
      </c>
    </row>
    <row r="986" spans="1:5" x14ac:dyDescent="0.25">
      <c r="A986" s="17">
        <f ca="1">INDEX(Stations,INT((ROWS(A$2:A986)-1)/(DATE(YEAR(Invoer!$A$5),12,31)-DATE(YEAR(Invoer!$A$5),1,1)+1))+2,1)</f>
        <v>82</v>
      </c>
      <c r="B986" t="str">
        <f ca="1">TEXT(DATE(YEAR(Invoer!$A$5),1,1)+MOD(ROWS(B$2:B986)-1,DATE(YEAR(Invoer!$A$5),12,31)-DATE(YEAR(Invoer!$A$5),1,1)+1),"jjjjmmdd")</f>
        <v>19430912</v>
      </c>
      <c r="C986" s="18">
        <v>1</v>
      </c>
      <c r="D986" s="23" t="str">
        <f t="shared" ca="1" si="30"/>
        <v>—</v>
      </c>
      <c r="E986" s="24">
        <f t="shared" ca="1" si="31"/>
        <v>7</v>
      </c>
    </row>
    <row r="987" spans="1:5" x14ac:dyDescent="0.25">
      <c r="A987" s="17">
        <f ca="1">INDEX(Stations,INT((ROWS(A$2:A987)-1)/(DATE(YEAR(Invoer!$A$5),12,31)-DATE(YEAR(Invoer!$A$5),1,1)+1))+2,1)</f>
        <v>82</v>
      </c>
      <c r="B987" t="str">
        <f ca="1">TEXT(DATE(YEAR(Invoer!$A$5),1,1)+MOD(ROWS(B$2:B987)-1,DATE(YEAR(Invoer!$A$5),12,31)-DATE(YEAR(Invoer!$A$5),1,1)+1),"jjjjmmdd")</f>
        <v>19430913</v>
      </c>
      <c r="C987" s="18">
        <v>1</v>
      </c>
      <c r="D987" s="23" t="str">
        <f t="shared" ca="1" si="30"/>
        <v>—</v>
      </c>
      <c r="E987" s="24">
        <f t="shared" ca="1" si="31"/>
        <v>7</v>
      </c>
    </row>
    <row r="988" spans="1:5" x14ac:dyDescent="0.25">
      <c r="A988" s="17">
        <f ca="1">INDEX(Stations,INT((ROWS(A$2:A988)-1)/(DATE(YEAR(Invoer!$A$5),12,31)-DATE(YEAR(Invoer!$A$5),1,1)+1))+2,1)</f>
        <v>82</v>
      </c>
      <c r="B988" t="str">
        <f ca="1">TEXT(DATE(YEAR(Invoer!$A$5),1,1)+MOD(ROWS(B$2:B988)-1,DATE(YEAR(Invoer!$A$5),12,31)-DATE(YEAR(Invoer!$A$5),1,1)+1),"jjjjmmdd")</f>
        <v>19430914</v>
      </c>
      <c r="C988" s="18">
        <v>1</v>
      </c>
      <c r="D988" s="23" t="str">
        <f t="shared" ca="1" si="30"/>
        <v>—</v>
      </c>
      <c r="E988" s="24">
        <f t="shared" ca="1" si="31"/>
        <v>7</v>
      </c>
    </row>
    <row r="989" spans="1:5" x14ac:dyDescent="0.25">
      <c r="A989" s="17">
        <f ca="1">INDEX(Stations,INT((ROWS(A$2:A989)-1)/(DATE(YEAR(Invoer!$A$5),12,31)-DATE(YEAR(Invoer!$A$5),1,1)+1))+2,1)</f>
        <v>82</v>
      </c>
      <c r="B989" t="str">
        <f ca="1">TEXT(DATE(YEAR(Invoer!$A$5),1,1)+MOD(ROWS(B$2:B989)-1,DATE(YEAR(Invoer!$A$5),12,31)-DATE(YEAR(Invoer!$A$5),1,1)+1),"jjjjmmdd")</f>
        <v>19430915</v>
      </c>
      <c r="C989" s="18">
        <v>1</v>
      </c>
      <c r="D989" s="23" t="str">
        <f t="shared" ca="1" si="30"/>
        <v>—</v>
      </c>
      <c r="E989" s="24">
        <f t="shared" ca="1" si="31"/>
        <v>7</v>
      </c>
    </row>
    <row r="990" spans="1:5" x14ac:dyDescent="0.25">
      <c r="A990" s="17">
        <f ca="1">INDEX(Stations,INT((ROWS(A$2:A990)-1)/(DATE(YEAR(Invoer!$A$5),12,31)-DATE(YEAR(Invoer!$A$5),1,1)+1))+2,1)</f>
        <v>82</v>
      </c>
      <c r="B990" t="str">
        <f ca="1">TEXT(DATE(YEAR(Invoer!$A$5),1,1)+MOD(ROWS(B$2:B990)-1,DATE(YEAR(Invoer!$A$5),12,31)-DATE(YEAR(Invoer!$A$5),1,1)+1),"jjjjmmdd")</f>
        <v>19430916</v>
      </c>
      <c r="C990" s="18">
        <v>1</v>
      </c>
      <c r="D990" s="23" t="str">
        <f t="shared" ca="1" si="30"/>
        <v>—</v>
      </c>
      <c r="E990" s="24">
        <f t="shared" ca="1" si="31"/>
        <v>7</v>
      </c>
    </row>
    <row r="991" spans="1:5" x14ac:dyDescent="0.25">
      <c r="A991" s="17">
        <f ca="1">INDEX(Stations,INT((ROWS(A$2:A991)-1)/(DATE(YEAR(Invoer!$A$5),12,31)-DATE(YEAR(Invoer!$A$5),1,1)+1))+2,1)</f>
        <v>82</v>
      </c>
      <c r="B991" t="str">
        <f ca="1">TEXT(DATE(YEAR(Invoer!$A$5),1,1)+MOD(ROWS(B$2:B991)-1,DATE(YEAR(Invoer!$A$5),12,31)-DATE(YEAR(Invoer!$A$5),1,1)+1),"jjjjmmdd")</f>
        <v>19430917</v>
      </c>
      <c r="C991" s="18">
        <v>1</v>
      </c>
      <c r="D991" s="23" t="str">
        <f t="shared" ca="1" si="30"/>
        <v>—</v>
      </c>
      <c r="E991" s="24">
        <f t="shared" ca="1" si="31"/>
        <v>7</v>
      </c>
    </row>
    <row r="992" spans="1:5" x14ac:dyDescent="0.25">
      <c r="A992" s="17">
        <f ca="1">INDEX(Stations,INT((ROWS(A$2:A992)-1)/(DATE(YEAR(Invoer!$A$5),12,31)-DATE(YEAR(Invoer!$A$5),1,1)+1))+2,1)</f>
        <v>82</v>
      </c>
      <c r="B992" t="str">
        <f ca="1">TEXT(DATE(YEAR(Invoer!$A$5),1,1)+MOD(ROWS(B$2:B992)-1,DATE(YEAR(Invoer!$A$5),12,31)-DATE(YEAR(Invoer!$A$5),1,1)+1),"jjjjmmdd")</f>
        <v>19430918</v>
      </c>
      <c r="C992" s="18">
        <v>1</v>
      </c>
      <c r="D992" s="23" t="str">
        <f t="shared" ca="1" si="30"/>
        <v>—</v>
      </c>
      <c r="E992" s="24">
        <f t="shared" ca="1" si="31"/>
        <v>7</v>
      </c>
    </row>
    <row r="993" spans="1:5" x14ac:dyDescent="0.25">
      <c r="A993" s="17">
        <f ca="1">INDEX(Stations,INT((ROWS(A$2:A993)-1)/(DATE(YEAR(Invoer!$A$5),12,31)-DATE(YEAR(Invoer!$A$5),1,1)+1))+2,1)</f>
        <v>82</v>
      </c>
      <c r="B993" t="str">
        <f ca="1">TEXT(DATE(YEAR(Invoer!$A$5),1,1)+MOD(ROWS(B$2:B993)-1,DATE(YEAR(Invoer!$A$5),12,31)-DATE(YEAR(Invoer!$A$5),1,1)+1),"jjjjmmdd")</f>
        <v>19430919</v>
      </c>
      <c r="C993" s="18">
        <v>1</v>
      </c>
      <c r="D993" s="23" t="str">
        <f t="shared" ca="1" si="30"/>
        <v>—</v>
      </c>
      <c r="E993" s="24">
        <f t="shared" ca="1" si="31"/>
        <v>7</v>
      </c>
    </row>
    <row r="994" spans="1:5" x14ac:dyDescent="0.25">
      <c r="A994" s="17">
        <f ca="1">INDEX(Stations,INT((ROWS(A$2:A994)-1)/(DATE(YEAR(Invoer!$A$5),12,31)-DATE(YEAR(Invoer!$A$5),1,1)+1))+2,1)</f>
        <v>82</v>
      </c>
      <c r="B994" t="str">
        <f ca="1">TEXT(DATE(YEAR(Invoer!$A$5),1,1)+MOD(ROWS(B$2:B994)-1,DATE(YEAR(Invoer!$A$5),12,31)-DATE(YEAR(Invoer!$A$5),1,1)+1),"jjjjmmdd")</f>
        <v>19430920</v>
      </c>
      <c r="C994" s="18">
        <v>1</v>
      </c>
      <c r="D994" s="23" t="str">
        <f t="shared" ca="1" si="30"/>
        <v>—</v>
      </c>
      <c r="E994" s="24">
        <f t="shared" ca="1" si="31"/>
        <v>7</v>
      </c>
    </row>
    <row r="995" spans="1:5" x14ac:dyDescent="0.25">
      <c r="A995" s="17">
        <f ca="1">INDEX(Stations,INT((ROWS(A$2:A995)-1)/(DATE(YEAR(Invoer!$A$5),12,31)-DATE(YEAR(Invoer!$A$5),1,1)+1))+2,1)</f>
        <v>82</v>
      </c>
      <c r="B995" t="str">
        <f ca="1">TEXT(DATE(YEAR(Invoer!$A$5),1,1)+MOD(ROWS(B$2:B995)-1,DATE(YEAR(Invoer!$A$5),12,31)-DATE(YEAR(Invoer!$A$5),1,1)+1),"jjjjmmdd")</f>
        <v>19430921</v>
      </c>
      <c r="C995" s="18">
        <v>1</v>
      </c>
      <c r="D995" s="23" t="str">
        <f t="shared" ca="1" si="30"/>
        <v>—</v>
      </c>
      <c r="E995" s="24">
        <f t="shared" ca="1" si="31"/>
        <v>7</v>
      </c>
    </row>
    <row r="996" spans="1:5" x14ac:dyDescent="0.25">
      <c r="A996" s="17">
        <f ca="1">INDEX(Stations,INT((ROWS(A$2:A996)-1)/(DATE(YEAR(Invoer!$A$5),12,31)-DATE(YEAR(Invoer!$A$5),1,1)+1))+2,1)</f>
        <v>82</v>
      </c>
      <c r="B996" t="str">
        <f ca="1">TEXT(DATE(YEAR(Invoer!$A$5),1,1)+MOD(ROWS(B$2:B996)-1,DATE(YEAR(Invoer!$A$5),12,31)-DATE(YEAR(Invoer!$A$5),1,1)+1),"jjjjmmdd")</f>
        <v>19430922</v>
      </c>
      <c r="C996" s="18">
        <v>1</v>
      </c>
      <c r="D996" s="23" t="str">
        <f t="shared" ca="1" si="30"/>
        <v>—</v>
      </c>
      <c r="E996" s="24">
        <f t="shared" ca="1" si="31"/>
        <v>7</v>
      </c>
    </row>
    <row r="997" spans="1:5" x14ac:dyDescent="0.25">
      <c r="A997" s="17">
        <f ca="1">INDEX(Stations,INT((ROWS(A$2:A997)-1)/(DATE(YEAR(Invoer!$A$5),12,31)-DATE(YEAR(Invoer!$A$5),1,1)+1))+2,1)</f>
        <v>82</v>
      </c>
      <c r="B997" t="str">
        <f ca="1">TEXT(DATE(YEAR(Invoer!$A$5),1,1)+MOD(ROWS(B$2:B997)-1,DATE(YEAR(Invoer!$A$5),12,31)-DATE(YEAR(Invoer!$A$5),1,1)+1),"jjjjmmdd")</f>
        <v>19430923</v>
      </c>
      <c r="C997" s="18">
        <v>1</v>
      </c>
      <c r="D997" s="23" t="str">
        <f t="shared" ca="1" si="30"/>
        <v>—</v>
      </c>
      <c r="E997" s="24">
        <f t="shared" ca="1" si="31"/>
        <v>7</v>
      </c>
    </row>
    <row r="998" spans="1:5" x14ac:dyDescent="0.25">
      <c r="A998" s="17">
        <f ca="1">INDEX(Stations,INT((ROWS(A$2:A998)-1)/(DATE(YEAR(Invoer!$A$5),12,31)-DATE(YEAR(Invoer!$A$5),1,1)+1))+2,1)</f>
        <v>82</v>
      </c>
      <c r="B998" t="str">
        <f ca="1">TEXT(DATE(YEAR(Invoer!$A$5),1,1)+MOD(ROWS(B$2:B998)-1,DATE(YEAR(Invoer!$A$5),12,31)-DATE(YEAR(Invoer!$A$5),1,1)+1),"jjjjmmdd")</f>
        <v>19430924</v>
      </c>
      <c r="C998" s="18">
        <v>1</v>
      </c>
      <c r="D998" s="23" t="str">
        <f t="shared" ca="1" si="30"/>
        <v>—</v>
      </c>
      <c r="E998" s="24">
        <f t="shared" ca="1" si="31"/>
        <v>7</v>
      </c>
    </row>
    <row r="999" spans="1:5" x14ac:dyDescent="0.25">
      <c r="A999" s="17">
        <f ca="1">INDEX(Stations,INT((ROWS(A$2:A999)-1)/(DATE(YEAR(Invoer!$A$5),12,31)-DATE(YEAR(Invoer!$A$5),1,1)+1))+2,1)</f>
        <v>82</v>
      </c>
      <c r="B999" t="str">
        <f ca="1">TEXT(DATE(YEAR(Invoer!$A$5),1,1)+MOD(ROWS(B$2:B999)-1,DATE(YEAR(Invoer!$A$5),12,31)-DATE(YEAR(Invoer!$A$5),1,1)+1),"jjjjmmdd")</f>
        <v>19430925</v>
      </c>
      <c r="C999" s="18">
        <v>1</v>
      </c>
      <c r="D999" s="23" t="str">
        <f t="shared" ca="1" si="30"/>
        <v>—</v>
      </c>
      <c r="E999" s="24">
        <f t="shared" ca="1" si="31"/>
        <v>7</v>
      </c>
    </row>
    <row r="1000" spans="1:5" x14ac:dyDescent="0.25">
      <c r="A1000" s="17">
        <f ca="1">INDEX(Stations,INT((ROWS(A$2:A1000)-1)/(DATE(YEAR(Invoer!$A$5),12,31)-DATE(YEAR(Invoer!$A$5),1,1)+1))+2,1)</f>
        <v>82</v>
      </c>
      <c r="B1000" t="str">
        <f ca="1">TEXT(DATE(YEAR(Invoer!$A$5),1,1)+MOD(ROWS(B$2:B1000)-1,DATE(YEAR(Invoer!$A$5),12,31)-DATE(YEAR(Invoer!$A$5),1,1)+1),"jjjjmmdd")</f>
        <v>19430926</v>
      </c>
      <c r="C1000" s="18">
        <v>1</v>
      </c>
      <c r="D1000" s="23" t="str">
        <f t="shared" ca="1" si="30"/>
        <v>—</v>
      </c>
      <c r="E1000" s="24">
        <f t="shared" ca="1" si="31"/>
        <v>7</v>
      </c>
    </row>
    <row r="1001" spans="1:5" x14ac:dyDescent="0.25">
      <c r="A1001" s="17">
        <f ca="1">INDEX(Stations,INT((ROWS(A$2:A1001)-1)/(DATE(YEAR(Invoer!$A$5),12,31)-DATE(YEAR(Invoer!$A$5),1,1)+1))+2,1)</f>
        <v>82</v>
      </c>
      <c r="B1001" t="str">
        <f ca="1">TEXT(DATE(YEAR(Invoer!$A$5),1,1)+MOD(ROWS(B$2:B1001)-1,DATE(YEAR(Invoer!$A$5),12,31)-DATE(YEAR(Invoer!$A$5),1,1)+1),"jjjjmmdd")</f>
        <v>19430927</v>
      </c>
      <c r="C1001" s="18">
        <v>1</v>
      </c>
      <c r="D1001" s="23" t="str">
        <f t="shared" ca="1" si="30"/>
        <v>—</v>
      </c>
      <c r="E1001" s="24">
        <f t="shared" ca="1" si="31"/>
        <v>7</v>
      </c>
    </row>
    <row r="1002" spans="1:5" x14ac:dyDescent="0.25">
      <c r="A1002" s="17">
        <f ca="1">INDEX(Stations,INT((ROWS(A$2:A1002)-1)/(DATE(YEAR(Invoer!$A$5),12,31)-DATE(YEAR(Invoer!$A$5),1,1)+1))+2,1)</f>
        <v>82</v>
      </c>
      <c r="B1002" t="str">
        <f ca="1">TEXT(DATE(YEAR(Invoer!$A$5),1,1)+MOD(ROWS(B$2:B1002)-1,DATE(YEAR(Invoer!$A$5),12,31)-DATE(YEAR(Invoer!$A$5),1,1)+1),"jjjjmmdd")</f>
        <v>19430928</v>
      </c>
      <c r="C1002" s="18">
        <v>1</v>
      </c>
      <c r="D1002" s="23" t="str">
        <f t="shared" ca="1" si="30"/>
        <v>—</v>
      </c>
      <c r="E1002" s="24">
        <f t="shared" ca="1" si="31"/>
        <v>7</v>
      </c>
    </row>
    <row r="1003" spans="1:5" x14ac:dyDescent="0.25">
      <c r="A1003" s="17">
        <f ca="1">INDEX(Stations,INT((ROWS(A$2:A1003)-1)/(DATE(YEAR(Invoer!$A$5),12,31)-DATE(YEAR(Invoer!$A$5),1,1)+1))+2,1)</f>
        <v>82</v>
      </c>
      <c r="B1003" t="str">
        <f ca="1">TEXT(DATE(YEAR(Invoer!$A$5),1,1)+MOD(ROWS(B$2:B1003)-1,DATE(YEAR(Invoer!$A$5),12,31)-DATE(YEAR(Invoer!$A$5),1,1)+1),"jjjjmmdd")</f>
        <v>19430929</v>
      </c>
      <c r="C1003" s="18">
        <v>1</v>
      </c>
      <c r="D1003" s="23" t="str">
        <f t="shared" ca="1" si="30"/>
        <v>—</v>
      </c>
      <c r="E1003" s="24">
        <f t="shared" ca="1" si="31"/>
        <v>7</v>
      </c>
    </row>
    <row r="1004" spans="1:5" x14ac:dyDescent="0.25">
      <c r="A1004" s="17">
        <f ca="1">INDEX(Stations,INT((ROWS(A$2:A1004)-1)/(DATE(YEAR(Invoer!$A$5),12,31)-DATE(YEAR(Invoer!$A$5),1,1)+1))+2,1)</f>
        <v>82</v>
      </c>
      <c r="B1004" t="str">
        <f ca="1">TEXT(DATE(YEAR(Invoer!$A$5),1,1)+MOD(ROWS(B$2:B1004)-1,DATE(YEAR(Invoer!$A$5),12,31)-DATE(YEAR(Invoer!$A$5),1,1)+1),"jjjjmmdd")</f>
        <v>19430930</v>
      </c>
      <c r="C1004" s="18">
        <v>1</v>
      </c>
      <c r="D1004" s="23" t="str">
        <f t="shared" ca="1" si="30"/>
        <v>—</v>
      </c>
      <c r="E1004" s="24">
        <f t="shared" ca="1" si="31"/>
        <v>7</v>
      </c>
    </row>
    <row r="1005" spans="1:5" x14ac:dyDescent="0.25">
      <c r="A1005" s="17">
        <f ca="1">INDEX(Stations,INT((ROWS(A$2:A1005)-1)/(DATE(YEAR(Invoer!$A$5),12,31)-DATE(YEAR(Invoer!$A$5),1,1)+1))+2,1)</f>
        <v>82</v>
      </c>
      <c r="B1005" t="str">
        <f ca="1">TEXT(DATE(YEAR(Invoer!$A$5),1,1)+MOD(ROWS(B$2:B1005)-1,DATE(YEAR(Invoer!$A$5),12,31)-DATE(YEAR(Invoer!$A$5),1,1)+1),"jjjjmmdd")</f>
        <v>19431001</v>
      </c>
      <c r="C1005" s="18">
        <v>1</v>
      </c>
      <c r="D1005" s="23" t="str">
        <f t="shared" ca="1" si="30"/>
        <v>—</v>
      </c>
      <c r="E1005" s="24">
        <f t="shared" ca="1" si="31"/>
        <v>7</v>
      </c>
    </row>
    <row r="1006" spans="1:5" x14ac:dyDescent="0.25">
      <c r="A1006" s="17">
        <f ca="1">INDEX(Stations,INT((ROWS(A$2:A1006)-1)/(DATE(YEAR(Invoer!$A$5),12,31)-DATE(YEAR(Invoer!$A$5),1,1)+1))+2,1)</f>
        <v>82</v>
      </c>
      <c r="B1006" t="str">
        <f ca="1">TEXT(DATE(YEAR(Invoer!$A$5),1,1)+MOD(ROWS(B$2:B1006)-1,DATE(YEAR(Invoer!$A$5),12,31)-DATE(YEAR(Invoer!$A$5),1,1)+1),"jjjjmmdd")</f>
        <v>19431002</v>
      </c>
      <c r="C1006" s="18">
        <v>1</v>
      </c>
      <c r="D1006" s="23" t="str">
        <f t="shared" ca="1" si="30"/>
        <v>—</v>
      </c>
      <c r="E1006" s="24">
        <f t="shared" ca="1" si="31"/>
        <v>7</v>
      </c>
    </row>
    <row r="1007" spans="1:5" x14ac:dyDescent="0.25">
      <c r="A1007" s="17">
        <f ca="1">INDEX(Stations,INT((ROWS(A$2:A1007)-1)/(DATE(YEAR(Invoer!$A$5),12,31)-DATE(YEAR(Invoer!$A$5),1,1)+1))+2,1)</f>
        <v>82</v>
      </c>
      <c r="B1007" t="str">
        <f ca="1">TEXT(DATE(YEAR(Invoer!$A$5),1,1)+MOD(ROWS(B$2:B1007)-1,DATE(YEAR(Invoer!$A$5),12,31)-DATE(YEAR(Invoer!$A$5),1,1)+1),"jjjjmmdd")</f>
        <v>19431003</v>
      </c>
      <c r="C1007" s="18">
        <v>1</v>
      </c>
      <c r="D1007" s="23" t="str">
        <f t="shared" ca="1" si="30"/>
        <v>—</v>
      </c>
      <c r="E1007" s="24">
        <f t="shared" ca="1" si="31"/>
        <v>7</v>
      </c>
    </row>
    <row r="1008" spans="1:5" x14ac:dyDescent="0.25">
      <c r="A1008" s="17">
        <f ca="1">INDEX(Stations,INT((ROWS(A$2:A1008)-1)/(DATE(YEAR(Invoer!$A$5),12,31)-DATE(YEAR(Invoer!$A$5),1,1)+1))+2,1)</f>
        <v>82</v>
      </c>
      <c r="B1008" t="str">
        <f ca="1">TEXT(DATE(YEAR(Invoer!$A$5),1,1)+MOD(ROWS(B$2:B1008)-1,DATE(YEAR(Invoer!$A$5),12,31)-DATE(YEAR(Invoer!$A$5),1,1)+1),"jjjjmmdd")</f>
        <v>19431004</v>
      </c>
      <c r="C1008" s="18">
        <v>1</v>
      </c>
      <c r="D1008" s="23" t="str">
        <f t="shared" ca="1" si="30"/>
        <v>—</v>
      </c>
      <c r="E1008" s="24">
        <f t="shared" ca="1" si="31"/>
        <v>7</v>
      </c>
    </row>
    <row r="1009" spans="1:5" x14ac:dyDescent="0.25">
      <c r="A1009" s="17">
        <f ca="1">INDEX(Stations,INT((ROWS(A$2:A1009)-1)/(DATE(YEAR(Invoer!$A$5),12,31)-DATE(YEAR(Invoer!$A$5),1,1)+1))+2,1)</f>
        <v>82</v>
      </c>
      <c r="B1009" t="str">
        <f ca="1">TEXT(DATE(YEAR(Invoer!$A$5),1,1)+MOD(ROWS(B$2:B1009)-1,DATE(YEAR(Invoer!$A$5),12,31)-DATE(YEAR(Invoer!$A$5),1,1)+1),"jjjjmmdd")</f>
        <v>19431005</v>
      </c>
      <c r="C1009" s="18">
        <v>1</v>
      </c>
      <c r="D1009" s="23" t="str">
        <f t="shared" ca="1" si="30"/>
        <v>—</v>
      </c>
      <c r="E1009" s="24">
        <f t="shared" ca="1" si="31"/>
        <v>7</v>
      </c>
    </row>
    <row r="1010" spans="1:5" x14ac:dyDescent="0.25">
      <c r="A1010" s="17">
        <f ca="1">INDEX(Stations,INT((ROWS(A$2:A1010)-1)/(DATE(YEAR(Invoer!$A$5),12,31)-DATE(YEAR(Invoer!$A$5),1,1)+1))+2,1)</f>
        <v>82</v>
      </c>
      <c r="B1010" t="str">
        <f ca="1">TEXT(DATE(YEAR(Invoer!$A$5),1,1)+MOD(ROWS(B$2:B1010)-1,DATE(YEAR(Invoer!$A$5),12,31)-DATE(YEAR(Invoer!$A$5),1,1)+1),"jjjjmmdd")</f>
        <v>19431006</v>
      </c>
      <c r="C1010" s="18">
        <v>1</v>
      </c>
      <c r="D1010" s="23" t="str">
        <f t="shared" ca="1" si="30"/>
        <v>—</v>
      </c>
      <c r="E1010" s="24">
        <f t="shared" ca="1" si="31"/>
        <v>7</v>
      </c>
    </row>
    <row r="1011" spans="1:5" x14ac:dyDescent="0.25">
      <c r="A1011" s="17">
        <f ca="1">INDEX(Stations,INT((ROWS(A$2:A1011)-1)/(DATE(YEAR(Invoer!$A$5),12,31)-DATE(YEAR(Invoer!$A$5),1,1)+1))+2,1)</f>
        <v>82</v>
      </c>
      <c r="B1011" t="str">
        <f ca="1">TEXT(DATE(YEAR(Invoer!$A$5),1,1)+MOD(ROWS(B$2:B1011)-1,DATE(YEAR(Invoer!$A$5),12,31)-DATE(YEAR(Invoer!$A$5),1,1)+1),"jjjjmmdd")</f>
        <v>19431007</v>
      </c>
      <c r="C1011" s="18">
        <v>1</v>
      </c>
      <c r="D1011" s="23" t="str">
        <f t="shared" ca="1" si="30"/>
        <v>—</v>
      </c>
      <c r="E1011" s="24">
        <f t="shared" ca="1" si="31"/>
        <v>7</v>
      </c>
    </row>
    <row r="1012" spans="1:5" x14ac:dyDescent="0.25">
      <c r="A1012" s="17">
        <f ca="1">INDEX(Stations,INT((ROWS(A$2:A1012)-1)/(DATE(YEAR(Invoer!$A$5),12,31)-DATE(YEAR(Invoer!$A$5),1,1)+1))+2,1)</f>
        <v>82</v>
      </c>
      <c r="B1012" t="str">
        <f ca="1">TEXT(DATE(YEAR(Invoer!$A$5),1,1)+MOD(ROWS(B$2:B1012)-1,DATE(YEAR(Invoer!$A$5),12,31)-DATE(YEAR(Invoer!$A$5),1,1)+1),"jjjjmmdd")</f>
        <v>19431008</v>
      </c>
      <c r="C1012" s="18">
        <v>1</v>
      </c>
      <c r="D1012" s="23" t="str">
        <f t="shared" ca="1" si="30"/>
        <v>—</v>
      </c>
      <c r="E1012" s="24">
        <f t="shared" ca="1" si="31"/>
        <v>7</v>
      </c>
    </row>
    <row r="1013" spans="1:5" x14ac:dyDescent="0.25">
      <c r="A1013" s="17">
        <f ca="1">INDEX(Stations,INT((ROWS(A$2:A1013)-1)/(DATE(YEAR(Invoer!$A$5),12,31)-DATE(YEAR(Invoer!$A$5),1,1)+1))+2,1)</f>
        <v>82</v>
      </c>
      <c r="B1013" t="str">
        <f ca="1">TEXT(DATE(YEAR(Invoer!$A$5),1,1)+MOD(ROWS(B$2:B1013)-1,DATE(YEAR(Invoer!$A$5),12,31)-DATE(YEAR(Invoer!$A$5),1,1)+1),"jjjjmmdd")</f>
        <v>19431009</v>
      </c>
      <c r="C1013" s="18">
        <v>1</v>
      </c>
      <c r="D1013" s="23" t="str">
        <f t="shared" ca="1" si="30"/>
        <v>—</v>
      </c>
      <c r="E1013" s="24">
        <f t="shared" ca="1" si="31"/>
        <v>7</v>
      </c>
    </row>
    <row r="1014" spans="1:5" x14ac:dyDescent="0.25">
      <c r="A1014" s="17">
        <f ca="1">INDEX(Stations,INT((ROWS(A$2:A1014)-1)/(DATE(YEAR(Invoer!$A$5),12,31)-DATE(YEAR(Invoer!$A$5),1,1)+1))+2,1)</f>
        <v>82</v>
      </c>
      <c r="B1014" t="str">
        <f ca="1">TEXT(DATE(YEAR(Invoer!$A$5),1,1)+MOD(ROWS(B$2:B1014)-1,DATE(YEAR(Invoer!$A$5),12,31)-DATE(YEAR(Invoer!$A$5),1,1)+1),"jjjjmmdd")</f>
        <v>19431010</v>
      </c>
      <c r="C1014" s="18">
        <v>1</v>
      </c>
      <c r="D1014" s="23" t="str">
        <f t="shared" ca="1" si="30"/>
        <v>—</v>
      </c>
      <c r="E1014" s="24">
        <f t="shared" ca="1" si="31"/>
        <v>7</v>
      </c>
    </row>
    <row r="1015" spans="1:5" x14ac:dyDescent="0.25">
      <c r="A1015" s="17">
        <f ca="1">INDEX(Stations,INT((ROWS(A$2:A1015)-1)/(DATE(YEAR(Invoer!$A$5),12,31)-DATE(YEAR(Invoer!$A$5),1,1)+1))+2,1)</f>
        <v>82</v>
      </c>
      <c r="B1015" t="str">
        <f ca="1">TEXT(DATE(YEAR(Invoer!$A$5),1,1)+MOD(ROWS(B$2:B1015)-1,DATE(YEAR(Invoer!$A$5),12,31)-DATE(YEAR(Invoer!$A$5),1,1)+1),"jjjjmmdd")</f>
        <v>19431011</v>
      </c>
      <c r="C1015" s="18">
        <v>1</v>
      </c>
      <c r="D1015" s="23" t="str">
        <f t="shared" ca="1" si="30"/>
        <v>—</v>
      </c>
      <c r="E1015" s="24">
        <f t="shared" ca="1" si="31"/>
        <v>7</v>
      </c>
    </row>
    <row r="1016" spans="1:5" x14ac:dyDescent="0.25">
      <c r="A1016" s="17">
        <f ca="1">INDEX(Stations,INT((ROWS(A$2:A1016)-1)/(DATE(YEAR(Invoer!$A$5),12,31)-DATE(YEAR(Invoer!$A$5),1,1)+1))+2,1)</f>
        <v>82</v>
      </c>
      <c r="B1016" t="str">
        <f ca="1">TEXT(DATE(YEAR(Invoer!$A$5),1,1)+MOD(ROWS(B$2:B1016)-1,DATE(YEAR(Invoer!$A$5),12,31)-DATE(YEAR(Invoer!$A$5),1,1)+1),"jjjjmmdd")</f>
        <v>19431012</v>
      </c>
      <c r="C1016" s="18">
        <v>1</v>
      </c>
      <c r="D1016" s="23" t="str">
        <f t="shared" ca="1" si="30"/>
        <v>—</v>
      </c>
      <c r="E1016" s="24">
        <f t="shared" ca="1" si="31"/>
        <v>7</v>
      </c>
    </row>
    <row r="1017" spans="1:5" x14ac:dyDescent="0.25">
      <c r="A1017" s="17">
        <f ca="1">INDEX(Stations,INT((ROWS(A$2:A1017)-1)/(DATE(YEAR(Invoer!$A$5),12,31)-DATE(YEAR(Invoer!$A$5),1,1)+1))+2,1)</f>
        <v>82</v>
      </c>
      <c r="B1017" t="str">
        <f ca="1">TEXT(DATE(YEAR(Invoer!$A$5),1,1)+MOD(ROWS(B$2:B1017)-1,DATE(YEAR(Invoer!$A$5),12,31)-DATE(YEAR(Invoer!$A$5),1,1)+1),"jjjjmmdd")</f>
        <v>19431013</v>
      </c>
      <c r="C1017" s="18">
        <v>1</v>
      </c>
      <c r="D1017" s="23" t="str">
        <f t="shared" ca="1" si="30"/>
        <v>—</v>
      </c>
      <c r="E1017" s="24">
        <f t="shared" ca="1" si="31"/>
        <v>7</v>
      </c>
    </row>
    <row r="1018" spans="1:5" x14ac:dyDescent="0.25">
      <c r="A1018" s="17">
        <f ca="1">INDEX(Stations,INT((ROWS(A$2:A1018)-1)/(DATE(YEAR(Invoer!$A$5),12,31)-DATE(YEAR(Invoer!$A$5),1,1)+1))+2,1)</f>
        <v>82</v>
      </c>
      <c r="B1018" t="str">
        <f ca="1">TEXT(DATE(YEAR(Invoer!$A$5),1,1)+MOD(ROWS(B$2:B1018)-1,DATE(YEAR(Invoer!$A$5),12,31)-DATE(YEAR(Invoer!$A$5),1,1)+1),"jjjjmmdd")</f>
        <v>19431014</v>
      </c>
      <c r="C1018" s="18">
        <v>1</v>
      </c>
      <c r="D1018" s="23" t="str">
        <f t="shared" ca="1" si="30"/>
        <v>—</v>
      </c>
      <c r="E1018" s="24">
        <f t="shared" ca="1" si="31"/>
        <v>7</v>
      </c>
    </row>
    <row r="1019" spans="1:5" x14ac:dyDescent="0.25">
      <c r="A1019" s="17">
        <f ca="1">INDEX(Stations,INT((ROWS(A$2:A1019)-1)/(DATE(YEAR(Invoer!$A$5),12,31)-DATE(YEAR(Invoer!$A$5),1,1)+1))+2,1)</f>
        <v>82</v>
      </c>
      <c r="B1019" t="str">
        <f ca="1">TEXT(DATE(YEAR(Invoer!$A$5),1,1)+MOD(ROWS(B$2:B1019)-1,DATE(YEAR(Invoer!$A$5),12,31)-DATE(YEAR(Invoer!$A$5),1,1)+1),"jjjjmmdd")</f>
        <v>19431015</v>
      </c>
      <c r="C1019" s="18">
        <v>1</v>
      </c>
      <c r="D1019" s="23" t="str">
        <f t="shared" ca="1" si="30"/>
        <v>—</v>
      </c>
      <c r="E1019" s="24">
        <f t="shared" ca="1" si="31"/>
        <v>7</v>
      </c>
    </row>
    <row r="1020" spans="1:5" x14ac:dyDescent="0.25">
      <c r="A1020" s="17">
        <f ca="1">INDEX(Stations,INT((ROWS(A$2:A1020)-1)/(DATE(YEAR(Invoer!$A$5),12,31)-DATE(YEAR(Invoer!$A$5),1,1)+1))+2,1)</f>
        <v>82</v>
      </c>
      <c r="B1020" t="str">
        <f ca="1">TEXT(DATE(YEAR(Invoer!$A$5),1,1)+MOD(ROWS(B$2:B1020)-1,DATE(YEAR(Invoer!$A$5),12,31)-DATE(YEAR(Invoer!$A$5),1,1)+1),"jjjjmmdd")</f>
        <v>19431016</v>
      </c>
      <c r="C1020" s="18">
        <v>1</v>
      </c>
      <c r="D1020" s="23" t="str">
        <f t="shared" ca="1" si="30"/>
        <v>—</v>
      </c>
      <c r="E1020" s="24">
        <f t="shared" ca="1" si="31"/>
        <v>7</v>
      </c>
    </row>
    <row r="1021" spans="1:5" x14ac:dyDescent="0.25">
      <c r="A1021" s="17">
        <f ca="1">INDEX(Stations,INT((ROWS(A$2:A1021)-1)/(DATE(YEAR(Invoer!$A$5),12,31)-DATE(YEAR(Invoer!$A$5),1,1)+1))+2,1)</f>
        <v>82</v>
      </c>
      <c r="B1021" t="str">
        <f ca="1">TEXT(DATE(YEAR(Invoer!$A$5),1,1)+MOD(ROWS(B$2:B1021)-1,DATE(YEAR(Invoer!$A$5),12,31)-DATE(YEAR(Invoer!$A$5),1,1)+1),"jjjjmmdd")</f>
        <v>19431017</v>
      </c>
      <c r="C1021" s="18">
        <v>1</v>
      </c>
      <c r="D1021" s="23" t="str">
        <f t="shared" ca="1" si="30"/>
        <v>—</v>
      </c>
      <c r="E1021" s="24">
        <f t="shared" ca="1" si="31"/>
        <v>7</v>
      </c>
    </row>
    <row r="1022" spans="1:5" x14ac:dyDescent="0.25">
      <c r="A1022" s="17">
        <f ca="1">INDEX(Stations,INT((ROWS(A$2:A1022)-1)/(DATE(YEAR(Invoer!$A$5),12,31)-DATE(YEAR(Invoer!$A$5),1,1)+1))+2,1)</f>
        <v>82</v>
      </c>
      <c r="B1022" t="str">
        <f ca="1">TEXT(DATE(YEAR(Invoer!$A$5),1,1)+MOD(ROWS(B$2:B1022)-1,DATE(YEAR(Invoer!$A$5),12,31)-DATE(YEAR(Invoer!$A$5),1,1)+1),"jjjjmmdd")</f>
        <v>19431018</v>
      </c>
      <c r="C1022" s="18">
        <v>1</v>
      </c>
      <c r="D1022" s="23" t="str">
        <f t="shared" ca="1" si="30"/>
        <v>—</v>
      </c>
      <c r="E1022" s="24">
        <f t="shared" ca="1" si="31"/>
        <v>7</v>
      </c>
    </row>
    <row r="1023" spans="1:5" x14ac:dyDescent="0.25">
      <c r="A1023" s="17">
        <f ca="1">INDEX(Stations,INT((ROWS(A$2:A1023)-1)/(DATE(YEAR(Invoer!$A$5),12,31)-DATE(YEAR(Invoer!$A$5),1,1)+1))+2,1)</f>
        <v>82</v>
      </c>
      <c r="B1023" t="str">
        <f ca="1">TEXT(DATE(YEAR(Invoer!$A$5),1,1)+MOD(ROWS(B$2:B1023)-1,DATE(YEAR(Invoer!$A$5),12,31)-DATE(YEAR(Invoer!$A$5),1,1)+1),"jjjjmmdd")</f>
        <v>19431019</v>
      </c>
      <c r="C1023" s="18">
        <v>1</v>
      </c>
      <c r="D1023" s="23" t="str">
        <f t="shared" ca="1" si="30"/>
        <v>—</v>
      </c>
      <c r="E1023" s="24">
        <f t="shared" ca="1" si="31"/>
        <v>7</v>
      </c>
    </row>
    <row r="1024" spans="1:5" x14ac:dyDescent="0.25">
      <c r="A1024" s="17">
        <f ca="1">INDEX(Stations,INT((ROWS(A$2:A1024)-1)/(DATE(YEAR(Invoer!$A$5),12,31)-DATE(YEAR(Invoer!$A$5),1,1)+1))+2,1)</f>
        <v>82</v>
      </c>
      <c r="B1024" t="str">
        <f ca="1">TEXT(DATE(YEAR(Invoer!$A$5),1,1)+MOD(ROWS(B$2:B1024)-1,DATE(YEAR(Invoer!$A$5),12,31)-DATE(YEAR(Invoer!$A$5),1,1)+1),"jjjjmmdd")</f>
        <v>19431020</v>
      </c>
      <c r="C1024" s="18">
        <v>1</v>
      </c>
      <c r="D1024" s="23" t="str">
        <f t="shared" ca="1" si="30"/>
        <v>—</v>
      </c>
      <c r="E1024" s="24">
        <f t="shared" ca="1" si="31"/>
        <v>7</v>
      </c>
    </row>
    <row r="1025" spans="1:5" x14ac:dyDescent="0.25">
      <c r="A1025" s="17">
        <f ca="1">INDEX(Stations,INT((ROWS(A$2:A1025)-1)/(DATE(YEAR(Invoer!$A$5),12,31)-DATE(YEAR(Invoer!$A$5),1,1)+1))+2,1)</f>
        <v>82</v>
      </c>
      <c r="B1025" t="str">
        <f ca="1">TEXT(DATE(YEAR(Invoer!$A$5),1,1)+MOD(ROWS(B$2:B1025)-1,DATE(YEAR(Invoer!$A$5),12,31)-DATE(YEAR(Invoer!$A$5),1,1)+1),"jjjjmmdd")</f>
        <v>19431021</v>
      </c>
      <c r="C1025" s="18">
        <v>1</v>
      </c>
      <c r="D1025" s="23" t="str">
        <f t="shared" ca="1" si="30"/>
        <v>—</v>
      </c>
      <c r="E1025" s="24">
        <f t="shared" ca="1" si="31"/>
        <v>7</v>
      </c>
    </row>
    <row r="1026" spans="1:5" x14ac:dyDescent="0.25">
      <c r="A1026" s="17">
        <f ca="1">INDEX(Stations,INT((ROWS(A$2:A1026)-1)/(DATE(YEAR(Invoer!$A$5),12,31)-DATE(YEAR(Invoer!$A$5),1,1)+1))+2,1)</f>
        <v>82</v>
      </c>
      <c r="B1026" t="str">
        <f ca="1">TEXT(DATE(YEAR(Invoer!$A$5),1,1)+MOD(ROWS(B$2:B1026)-1,DATE(YEAR(Invoer!$A$5),12,31)-DATE(YEAR(Invoer!$A$5),1,1)+1),"jjjjmmdd")</f>
        <v>19431022</v>
      </c>
      <c r="C1026" s="18">
        <v>1</v>
      </c>
      <c r="D1026" s="23" t="str">
        <f t="shared" ref="D1026:D1089" ca="1" si="32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"—",VLOOKUP(DATEVALUE(LEFT(B1026,4)&amp;"-"&amp;MID(B1026,5,2)&amp;"-"&amp;RIGHT(B1026,2)),Data,MATCH(VLOOKUP(A1026,Stations,2,FALSE()),OFFSET(Data,1,0,1),0),FALSE()))</f>
        <v>—</v>
      </c>
      <c r="E1026" s="24">
        <f t="shared" ref="E1026:E1089" ca="1" si="33">IF(OR(ISBLANK(VLOOKUP(DATEVALUE(LEFT(B1026,4)&amp;"-"&amp;MID(B1026,5,2)&amp;"-"&amp;RIGHT(B1026,2)),Data,MATCH(VLOOKUP(A1026,Stations,2,FALSE()),OFFSET(Data,1,0,1),0),FALSE())),ISTEXT(VLOOKUP(DATEVALUE(LEFT(B1026,4)&amp;"-"&amp;MID(B1026,5,2)&amp;"-"&amp;RIGHT(B1026,2)),Data,MATCH(VLOOKUP(A1026,Stations,2,FALSE()),OFFSET(Data,1,0,1),0),FALSE()))),Lacking,IF(ISNA(MATCH(DATEVALUE(LEFT(B1026,4)&amp;"-"&amp;MID(B1026,5,2)&amp;"-"&amp;RIGHT(B1026,2)),OFFSET(Catalogus,0,0,,1),0)),Ok,VLOOKUP(DATEVALUE(LEFT(B1026,4)&amp;"-"&amp;MID(B1026,5,2)&amp;"-"&amp;RIGHT(B1026,2)),Catalogus,MATCH(VLOOKUP(A1026,Stations,2,FALSE()),OFFSET(Catalogus,1,0,1),0),FALSE())))</f>
        <v>7</v>
      </c>
    </row>
    <row r="1027" spans="1:5" x14ac:dyDescent="0.25">
      <c r="A1027" s="17">
        <f ca="1">INDEX(Stations,INT((ROWS(A$2:A1027)-1)/(DATE(YEAR(Invoer!$A$5),12,31)-DATE(YEAR(Invoer!$A$5),1,1)+1))+2,1)</f>
        <v>82</v>
      </c>
      <c r="B1027" t="str">
        <f ca="1">TEXT(DATE(YEAR(Invoer!$A$5),1,1)+MOD(ROWS(B$2:B1027)-1,DATE(YEAR(Invoer!$A$5),12,31)-DATE(YEAR(Invoer!$A$5),1,1)+1),"jjjjmmdd")</f>
        <v>19431023</v>
      </c>
      <c r="C1027" s="18">
        <v>1</v>
      </c>
      <c r="D1027" s="23" t="str">
        <f t="shared" ca="1" si="32"/>
        <v>—</v>
      </c>
      <c r="E1027" s="24">
        <f t="shared" ca="1" si="33"/>
        <v>7</v>
      </c>
    </row>
    <row r="1028" spans="1:5" x14ac:dyDescent="0.25">
      <c r="A1028" s="17">
        <f ca="1">INDEX(Stations,INT((ROWS(A$2:A1028)-1)/(DATE(YEAR(Invoer!$A$5),12,31)-DATE(YEAR(Invoer!$A$5),1,1)+1))+2,1)</f>
        <v>82</v>
      </c>
      <c r="B1028" t="str">
        <f ca="1">TEXT(DATE(YEAR(Invoer!$A$5),1,1)+MOD(ROWS(B$2:B1028)-1,DATE(YEAR(Invoer!$A$5),12,31)-DATE(YEAR(Invoer!$A$5),1,1)+1),"jjjjmmdd")</f>
        <v>19431024</v>
      </c>
      <c r="C1028" s="18">
        <v>1</v>
      </c>
      <c r="D1028" s="23" t="str">
        <f t="shared" ca="1" si="32"/>
        <v>—</v>
      </c>
      <c r="E1028" s="24">
        <f t="shared" ca="1" si="33"/>
        <v>7</v>
      </c>
    </row>
    <row r="1029" spans="1:5" x14ac:dyDescent="0.25">
      <c r="A1029" s="17">
        <f ca="1">INDEX(Stations,INT((ROWS(A$2:A1029)-1)/(DATE(YEAR(Invoer!$A$5),12,31)-DATE(YEAR(Invoer!$A$5),1,1)+1))+2,1)</f>
        <v>82</v>
      </c>
      <c r="B1029" t="str">
        <f ca="1">TEXT(DATE(YEAR(Invoer!$A$5),1,1)+MOD(ROWS(B$2:B1029)-1,DATE(YEAR(Invoer!$A$5),12,31)-DATE(YEAR(Invoer!$A$5),1,1)+1),"jjjjmmdd")</f>
        <v>19431025</v>
      </c>
      <c r="C1029" s="18">
        <v>1</v>
      </c>
      <c r="D1029" s="23" t="str">
        <f t="shared" ca="1" si="32"/>
        <v>—</v>
      </c>
      <c r="E1029" s="24">
        <f t="shared" ca="1" si="33"/>
        <v>7</v>
      </c>
    </row>
    <row r="1030" spans="1:5" x14ac:dyDescent="0.25">
      <c r="A1030" s="17">
        <f ca="1">INDEX(Stations,INT((ROWS(A$2:A1030)-1)/(DATE(YEAR(Invoer!$A$5),12,31)-DATE(YEAR(Invoer!$A$5),1,1)+1))+2,1)</f>
        <v>82</v>
      </c>
      <c r="B1030" t="str">
        <f ca="1">TEXT(DATE(YEAR(Invoer!$A$5),1,1)+MOD(ROWS(B$2:B1030)-1,DATE(YEAR(Invoer!$A$5),12,31)-DATE(YEAR(Invoer!$A$5),1,1)+1),"jjjjmmdd")</f>
        <v>19431026</v>
      </c>
      <c r="C1030" s="18">
        <v>1</v>
      </c>
      <c r="D1030" s="23" t="str">
        <f t="shared" ca="1" si="32"/>
        <v>—</v>
      </c>
      <c r="E1030" s="24">
        <f t="shared" ca="1" si="33"/>
        <v>7</v>
      </c>
    </row>
    <row r="1031" spans="1:5" x14ac:dyDescent="0.25">
      <c r="A1031" s="17">
        <f ca="1">INDEX(Stations,INT((ROWS(A$2:A1031)-1)/(DATE(YEAR(Invoer!$A$5),12,31)-DATE(YEAR(Invoer!$A$5),1,1)+1))+2,1)</f>
        <v>82</v>
      </c>
      <c r="B1031" t="str">
        <f ca="1">TEXT(DATE(YEAR(Invoer!$A$5),1,1)+MOD(ROWS(B$2:B1031)-1,DATE(YEAR(Invoer!$A$5),12,31)-DATE(YEAR(Invoer!$A$5),1,1)+1),"jjjjmmdd")</f>
        <v>19431027</v>
      </c>
      <c r="C1031" s="18">
        <v>1</v>
      </c>
      <c r="D1031" s="23" t="str">
        <f t="shared" ca="1" si="32"/>
        <v>—</v>
      </c>
      <c r="E1031" s="24">
        <f t="shared" ca="1" si="33"/>
        <v>7</v>
      </c>
    </row>
    <row r="1032" spans="1:5" x14ac:dyDescent="0.25">
      <c r="A1032" s="17">
        <f ca="1">INDEX(Stations,INT((ROWS(A$2:A1032)-1)/(DATE(YEAR(Invoer!$A$5),12,31)-DATE(YEAR(Invoer!$A$5),1,1)+1))+2,1)</f>
        <v>82</v>
      </c>
      <c r="B1032" t="str">
        <f ca="1">TEXT(DATE(YEAR(Invoer!$A$5),1,1)+MOD(ROWS(B$2:B1032)-1,DATE(YEAR(Invoer!$A$5),12,31)-DATE(YEAR(Invoer!$A$5),1,1)+1),"jjjjmmdd")</f>
        <v>19431028</v>
      </c>
      <c r="C1032" s="18">
        <v>1</v>
      </c>
      <c r="D1032" s="23" t="str">
        <f t="shared" ca="1" si="32"/>
        <v>—</v>
      </c>
      <c r="E1032" s="24">
        <f t="shared" ca="1" si="33"/>
        <v>7</v>
      </c>
    </row>
    <row r="1033" spans="1:5" x14ac:dyDescent="0.25">
      <c r="A1033" s="17">
        <f ca="1">INDEX(Stations,INT((ROWS(A$2:A1033)-1)/(DATE(YEAR(Invoer!$A$5),12,31)-DATE(YEAR(Invoer!$A$5),1,1)+1))+2,1)</f>
        <v>82</v>
      </c>
      <c r="B1033" t="str">
        <f ca="1">TEXT(DATE(YEAR(Invoer!$A$5),1,1)+MOD(ROWS(B$2:B1033)-1,DATE(YEAR(Invoer!$A$5),12,31)-DATE(YEAR(Invoer!$A$5),1,1)+1),"jjjjmmdd")</f>
        <v>19431029</v>
      </c>
      <c r="C1033" s="18">
        <v>1</v>
      </c>
      <c r="D1033" s="23" t="str">
        <f t="shared" ca="1" si="32"/>
        <v>—</v>
      </c>
      <c r="E1033" s="24">
        <f t="shared" ca="1" si="33"/>
        <v>7</v>
      </c>
    </row>
    <row r="1034" spans="1:5" x14ac:dyDescent="0.25">
      <c r="A1034" s="17">
        <f ca="1">INDEX(Stations,INT((ROWS(A$2:A1034)-1)/(DATE(YEAR(Invoer!$A$5),12,31)-DATE(YEAR(Invoer!$A$5),1,1)+1))+2,1)</f>
        <v>82</v>
      </c>
      <c r="B1034" t="str">
        <f ca="1">TEXT(DATE(YEAR(Invoer!$A$5),1,1)+MOD(ROWS(B$2:B1034)-1,DATE(YEAR(Invoer!$A$5),12,31)-DATE(YEAR(Invoer!$A$5),1,1)+1),"jjjjmmdd")</f>
        <v>19431030</v>
      </c>
      <c r="C1034" s="18">
        <v>1</v>
      </c>
      <c r="D1034" s="23" t="str">
        <f t="shared" ca="1" si="32"/>
        <v>—</v>
      </c>
      <c r="E1034" s="24">
        <f t="shared" ca="1" si="33"/>
        <v>7</v>
      </c>
    </row>
    <row r="1035" spans="1:5" x14ac:dyDescent="0.25">
      <c r="A1035" s="17">
        <f ca="1">INDEX(Stations,INT((ROWS(A$2:A1035)-1)/(DATE(YEAR(Invoer!$A$5),12,31)-DATE(YEAR(Invoer!$A$5),1,1)+1))+2,1)</f>
        <v>82</v>
      </c>
      <c r="B1035" t="str">
        <f ca="1">TEXT(DATE(YEAR(Invoer!$A$5),1,1)+MOD(ROWS(B$2:B1035)-1,DATE(YEAR(Invoer!$A$5),12,31)-DATE(YEAR(Invoer!$A$5),1,1)+1),"jjjjmmdd")</f>
        <v>19431031</v>
      </c>
      <c r="C1035" s="18">
        <v>1</v>
      </c>
      <c r="D1035" s="23" t="str">
        <f t="shared" ca="1" si="32"/>
        <v>—</v>
      </c>
      <c r="E1035" s="24">
        <f t="shared" ca="1" si="33"/>
        <v>7</v>
      </c>
    </row>
    <row r="1036" spans="1:5" x14ac:dyDescent="0.25">
      <c r="A1036" s="17">
        <f ca="1">INDEX(Stations,INT((ROWS(A$2:A1036)-1)/(DATE(YEAR(Invoer!$A$5),12,31)-DATE(YEAR(Invoer!$A$5),1,1)+1))+2,1)</f>
        <v>82</v>
      </c>
      <c r="B1036" t="str">
        <f ca="1">TEXT(DATE(YEAR(Invoer!$A$5),1,1)+MOD(ROWS(B$2:B1036)-1,DATE(YEAR(Invoer!$A$5),12,31)-DATE(YEAR(Invoer!$A$5),1,1)+1),"jjjjmmdd")</f>
        <v>19431101</v>
      </c>
      <c r="C1036" s="18">
        <v>1</v>
      </c>
      <c r="D1036" s="23" t="str">
        <f t="shared" ca="1" si="32"/>
        <v>—</v>
      </c>
      <c r="E1036" s="24">
        <f t="shared" ca="1" si="33"/>
        <v>7</v>
      </c>
    </row>
    <row r="1037" spans="1:5" x14ac:dyDescent="0.25">
      <c r="A1037" s="17">
        <f ca="1">INDEX(Stations,INT((ROWS(A$2:A1037)-1)/(DATE(YEAR(Invoer!$A$5),12,31)-DATE(YEAR(Invoer!$A$5),1,1)+1))+2,1)</f>
        <v>82</v>
      </c>
      <c r="B1037" t="str">
        <f ca="1">TEXT(DATE(YEAR(Invoer!$A$5),1,1)+MOD(ROWS(B$2:B1037)-1,DATE(YEAR(Invoer!$A$5),12,31)-DATE(YEAR(Invoer!$A$5),1,1)+1),"jjjjmmdd")</f>
        <v>19431102</v>
      </c>
      <c r="C1037" s="18">
        <v>1</v>
      </c>
      <c r="D1037" s="23" t="str">
        <f t="shared" ca="1" si="32"/>
        <v>—</v>
      </c>
      <c r="E1037" s="24">
        <f t="shared" ca="1" si="33"/>
        <v>7</v>
      </c>
    </row>
    <row r="1038" spans="1:5" x14ac:dyDescent="0.25">
      <c r="A1038" s="17">
        <f ca="1">INDEX(Stations,INT((ROWS(A$2:A1038)-1)/(DATE(YEAR(Invoer!$A$5),12,31)-DATE(YEAR(Invoer!$A$5),1,1)+1))+2,1)</f>
        <v>82</v>
      </c>
      <c r="B1038" t="str">
        <f ca="1">TEXT(DATE(YEAR(Invoer!$A$5),1,1)+MOD(ROWS(B$2:B1038)-1,DATE(YEAR(Invoer!$A$5),12,31)-DATE(YEAR(Invoer!$A$5),1,1)+1),"jjjjmmdd")</f>
        <v>19431103</v>
      </c>
      <c r="C1038" s="18">
        <v>1</v>
      </c>
      <c r="D1038" s="23" t="str">
        <f t="shared" ca="1" si="32"/>
        <v>—</v>
      </c>
      <c r="E1038" s="24">
        <f t="shared" ca="1" si="33"/>
        <v>7</v>
      </c>
    </row>
    <row r="1039" spans="1:5" x14ac:dyDescent="0.25">
      <c r="A1039" s="17">
        <f ca="1">INDEX(Stations,INT((ROWS(A$2:A1039)-1)/(DATE(YEAR(Invoer!$A$5),12,31)-DATE(YEAR(Invoer!$A$5),1,1)+1))+2,1)</f>
        <v>82</v>
      </c>
      <c r="B1039" t="str">
        <f ca="1">TEXT(DATE(YEAR(Invoer!$A$5),1,1)+MOD(ROWS(B$2:B1039)-1,DATE(YEAR(Invoer!$A$5),12,31)-DATE(YEAR(Invoer!$A$5),1,1)+1),"jjjjmmdd")</f>
        <v>19431104</v>
      </c>
      <c r="C1039" s="18">
        <v>1</v>
      </c>
      <c r="D1039" s="23" t="str">
        <f t="shared" ca="1" si="32"/>
        <v>—</v>
      </c>
      <c r="E1039" s="24">
        <f t="shared" ca="1" si="33"/>
        <v>7</v>
      </c>
    </row>
    <row r="1040" spans="1:5" x14ac:dyDescent="0.25">
      <c r="A1040" s="17">
        <f ca="1">INDEX(Stations,INT((ROWS(A$2:A1040)-1)/(DATE(YEAR(Invoer!$A$5),12,31)-DATE(YEAR(Invoer!$A$5),1,1)+1))+2,1)</f>
        <v>82</v>
      </c>
      <c r="B1040" t="str">
        <f ca="1">TEXT(DATE(YEAR(Invoer!$A$5),1,1)+MOD(ROWS(B$2:B1040)-1,DATE(YEAR(Invoer!$A$5),12,31)-DATE(YEAR(Invoer!$A$5),1,1)+1),"jjjjmmdd")</f>
        <v>19431105</v>
      </c>
      <c r="C1040" s="18">
        <v>1</v>
      </c>
      <c r="D1040" s="23" t="str">
        <f t="shared" ca="1" si="32"/>
        <v>—</v>
      </c>
      <c r="E1040" s="24">
        <f t="shared" ca="1" si="33"/>
        <v>7</v>
      </c>
    </row>
    <row r="1041" spans="1:5" x14ac:dyDescent="0.25">
      <c r="A1041" s="17">
        <f ca="1">INDEX(Stations,INT((ROWS(A$2:A1041)-1)/(DATE(YEAR(Invoer!$A$5),12,31)-DATE(YEAR(Invoer!$A$5),1,1)+1))+2,1)</f>
        <v>82</v>
      </c>
      <c r="B1041" t="str">
        <f ca="1">TEXT(DATE(YEAR(Invoer!$A$5),1,1)+MOD(ROWS(B$2:B1041)-1,DATE(YEAR(Invoer!$A$5),12,31)-DATE(YEAR(Invoer!$A$5),1,1)+1),"jjjjmmdd")</f>
        <v>19431106</v>
      </c>
      <c r="C1041" s="18">
        <v>1</v>
      </c>
      <c r="D1041" s="23" t="str">
        <f t="shared" ca="1" si="32"/>
        <v>—</v>
      </c>
      <c r="E1041" s="24">
        <f t="shared" ca="1" si="33"/>
        <v>7</v>
      </c>
    </row>
    <row r="1042" spans="1:5" x14ac:dyDescent="0.25">
      <c r="A1042" s="17">
        <f ca="1">INDEX(Stations,INT((ROWS(A$2:A1042)-1)/(DATE(YEAR(Invoer!$A$5),12,31)-DATE(YEAR(Invoer!$A$5),1,1)+1))+2,1)</f>
        <v>82</v>
      </c>
      <c r="B1042" t="str">
        <f ca="1">TEXT(DATE(YEAR(Invoer!$A$5),1,1)+MOD(ROWS(B$2:B1042)-1,DATE(YEAR(Invoer!$A$5),12,31)-DATE(YEAR(Invoer!$A$5),1,1)+1),"jjjjmmdd")</f>
        <v>19431107</v>
      </c>
      <c r="C1042" s="18">
        <v>1</v>
      </c>
      <c r="D1042" s="23" t="str">
        <f t="shared" ca="1" si="32"/>
        <v>—</v>
      </c>
      <c r="E1042" s="24">
        <f t="shared" ca="1" si="33"/>
        <v>7</v>
      </c>
    </row>
    <row r="1043" spans="1:5" x14ac:dyDescent="0.25">
      <c r="A1043" s="17">
        <f ca="1">INDEX(Stations,INT((ROWS(A$2:A1043)-1)/(DATE(YEAR(Invoer!$A$5),12,31)-DATE(YEAR(Invoer!$A$5),1,1)+1))+2,1)</f>
        <v>82</v>
      </c>
      <c r="B1043" t="str">
        <f ca="1">TEXT(DATE(YEAR(Invoer!$A$5),1,1)+MOD(ROWS(B$2:B1043)-1,DATE(YEAR(Invoer!$A$5),12,31)-DATE(YEAR(Invoer!$A$5),1,1)+1),"jjjjmmdd")</f>
        <v>19431108</v>
      </c>
      <c r="C1043" s="18">
        <v>1</v>
      </c>
      <c r="D1043" s="23" t="str">
        <f t="shared" ca="1" si="32"/>
        <v>—</v>
      </c>
      <c r="E1043" s="24">
        <f t="shared" ca="1" si="33"/>
        <v>7</v>
      </c>
    </row>
    <row r="1044" spans="1:5" x14ac:dyDescent="0.25">
      <c r="A1044" s="17">
        <f ca="1">INDEX(Stations,INT((ROWS(A$2:A1044)-1)/(DATE(YEAR(Invoer!$A$5),12,31)-DATE(YEAR(Invoer!$A$5),1,1)+1))+2,1)</f>
        <v>82</v>
      </c>
      <c r="B1044" t="str">
        <f ca="1">TEXT(DATE(YEAR(Invoer!$A$5),1,1)+MOD(ROWS(B$2:B1044)-1,DATE(YEAR(Invoer!$A$5),12,31)-DATE(YEAR(Invoer!$A$5),1,1)+1),"jjjjmmdd")</f>
        <v>19431109</v>
      </c>
      <c r="C1044" s="18">
        <v>1</v>
      </c>
      <c r="D1044" s="23" t="str">
        <f t="shared" ca="1" si="32"/>
        <v>—</v>
      </c>
      <c r="E1044" s="24">
        <f t="shared" ca="1" si="33"/>
        <v>7</v>
      </c>
    </row>
    <row r="1045" spans="1:5" x14ac:dyDescent="0.25">
      <c r="A1045" s="17">
        <f ca="1">INDEX(Stations,INT((ROWS(A$2:A1045)-1)/(DATE(YEAR(Invoer!$A$5),12,31)-DATE(YEAR(Invoer!$A$5),1,1)+1))+2,1)</f>
        <v>82</v>
      </c>
      <c r="B1045" t="str">
        <f ca="1">TEXT(DATE(YEAR(Invoer!$A$5),1,1)+MOD(ROWS(B$2:B1045)-1,DATE(YEAR(Invoer!$A$5),12,31)-DATE(YEAR(Invoer!$A$5),1,1)+1),"jjjjmmdd")</f>
        <v>19431110</v>
      </c>
      <c r="C1045" s="18">
        <v>1</v>
      </c>
      <c r="D1045" s="23" t="str">
        <f t="shared" ca="1" si="32"/>
        <v>—</v>
      </c>
      <c r="E1045" s="24">
        <f t="shared" ca="1" si="33"/>
        <v>7</v>
      </c>
    </row>
    <row r="1046" spans="1:5" x14ac:dyDescent="0.25">
      <c r="A1046" s="17">
        <f ca="1">INDEX(Stations,INT((ROWS(A$2:A1046)-1)/(DATE(YEAR(Invoer!$A$5),12,31)-DATE(YEAR(Invoer!$A$5),1,1)+1))+2,1)</f>
        <v>82</v>
      </c>
      <c r="B1046" t="str">
        <f ca="1">TEXT(DATE(YEAR(Invoer!$A$5),1,1)+MOD(ROWS(B$2:B1046)-1,DATE(YEAR(Invoer!$A$5),12,31)-DATE(YEAR(Invoer!$A$5),1,1)+1),"jjjjmmdd")</f>
        <v>19431111</v>
      </c>
      <c r="C1046" s="18">
        <v>1</v>
      </c>
      <c r="D1046" s="23" t="str">
        <f t="shared" ca="1" si="32"/>
        <v>—</v>
      </c>
      <c r="E1046" s="24">
        <f t="shared" ca="1" si="33"/>
        <v>7</v>
      </c>
    </row>
    <row r="1047" spans="1:5" x14ac:dyDescent="0.25">
      <c r="A1047" s="17">
        <f ca="1">INDEX(Stations,INT((ROWS(A$2:A1047)-1)/(DATE(YEAR(Invoer!$A$5),12,31)-DATE(YEAR(Invoer!$A$5),1,1)+1))+2,1)</f>
        <v>82</v>
      </c>
      <c r="B1047" t="str">
        <f ca="1">TEXT(DATE(YEAR(Invoer!$A$5),1,1)+MOD(ROWS(B$2:B1047)-1,DATE(YEAR(Invoer!$A$5),12,31)-DATE(YEAR(Invoer!$A$5),1,1)+1),"jjjjmmdd")</f>
        <v>19431112</v>
      </c>
      <c r="C1047" s="18">
        <v>1</v>
      </c>
      <c r="D1047" s="23" t="str">
        <f t="shared" ca="1" si="32"/>
        <v>—</v>
      </c>
      <c r="E1047" s="24">
        <f t="shared" ca="1" si="33"/>
        <v>7</v>
      </c>
    </row>
    <row r="1048" spans="1:5" x14ac:dyDescent="0.25">
      <c r="A1048" s="17">
        <f ca="1">INDEX(Stations,INT((ROWS(A$2:A1048)-1)/(DATE(YEAR(Invoer!$A$5),12,31)-DATE(YEAR(Invoer!$A$5),1,1)+1))+2,1)</f>
        <v>82</v>
      </c>
      <c r="B1048" t="str">
        <f ca="1">TEXT(DATE(YEAR(Invoer!$A$5),1,1)+MOD(ROWS(B$2:B1048)-1,DATE(YEAR(Invoer!$A$5),12,31)-DATE(YEAR(Invoer!$A$5),1,1)+1),"jjjjmmdd")</f>
        <v>19431113</v>
      </c>
      <c r="C1048" s="18">
        <v>1</v>
      </c>
      <c r="D1048" s="23" t="str">
        <f t="shared" ca="1" si="32"/>
        <v>—</v>
      </c>
      <c r="E1048" s="24">
        <f t="shared" ca="1" si="33"/>
        <v>7</v>
      </c>
    </row>
    <row r="1049" spans="1:5" x14ac:dyDescent="0.25">
      <c r="A1049" s="17">
        <f ca="1">INDEX(Stations,INT((ROWS(A$2:A1049)-1)/(DATE(YEAR(Invoer!$A$5),12,31)-DATE(YEAR(Invoer!$A$5),1,1)+1))+2,1)</f>
        <v>82</v>
      </c>
      <c r="B1049" t="str">
        <f ca="1">TEXT(DATE(YEAR(Invoer!$A$5),1,1)+MOD(ROWS(B$2:B1049)-1,DATE(YEAR(Invoer!$A$5),12,31)-DATE(YEAR(Invoer!$A$5),1,1)+1),"jjjjmmdd")</f>
        <v>19431114</v>
      </c>
      <c r="C1049" s="18">
        <v>1</v>
      </c>
      <c r="D1049" s="23" t="str">
        <f t="shared" ca="1" si="32"/>
        <v>—</v>
      </c>
      <c r="E1049" s="24">
        <f t="shared" ca="1" si="33"/>
        <v>7</v>
      </c>
    </row>
    <row r="1050" spans="1:5" x14ac:dyDescent="0.25">
      <c r="A1050" s="17">
        <f ca="1">INDEX(Stations,INT((ROWS(A$2:A1050)-1)/(DATE(YEAR(Invoer!$A$5),12,31)-DATE(YEAR(Invoer!$A$5),1,1)+1))+2,1)</f>
        <v>82</v>
      </c>
      <c r="B1050" t="str">
        <f ca="1">TEXT(DATE(YEAR(Invoer!$A$5),1,1)+MOD(ROWS(B$2:B1050)-1,DATE(YEAR(Invoer!$A$5),12,31)-DATE(YEAR(Invoer!$A$5),1,1)+1),"jjjjmmdd")</f>
        <v>19431115</v>
      </c>
      <c r="C1050" s="18">
        <v>1</v>
      </c>
      <c r="D1050" s="23" t="str">
        <f t="shared" ca="1" si="32"/>
        <v>—</v>
      </c>
      <c r="E1050" s="24">
        <f t="shared" ca="1" si="33"/>
        <v>7</v>
      </c>
    </row>
    <row r="1051" spans="1:5" x14ac:dyDescent="0.25">
      <c r="A1051" s="17">
        <f ca="1">INDEX(Stations,INT((ROWS(A$2:A1051)-1)/(DATE(YEAR(Invoer!$A$5),12,31)-DATE(YEAR(Invoer!$A$5),1,1)+1))+2,1)</f>
        <v>82</v>
      </c>
      <c r="B1051" t="str">
        <f ca="1">TEXT(DATE(YEAR(Invoer!$A$5),1,1)+MOD(ROWS(B$2:B1051)-1,DATE(YEAR(Invoer!$A$5),12,31)-DATE(YEAR(Invoer!$A$5),1,1)+1),"jjjjmmdd")</f>
        <v>19431116</v>
      </c>
      <c r="C1051" s="18">
        <v>1</v>
      </c>
      <c r="D1051" s="23" t="str">
        <f t="shared" ca="1" si="32"/>
        <v>—</v>
      </c>
      <c r="E1051" s="24">
        <f t="shared" ca="1" si="33"/>
        <v>7</v>
      </c>
    </row>
    <row r="1052" spans="1:5" x14ac:dyDescent="0.25">
      <c r="A1052" s="17">
        <f ca="1">INDEX(Stations,INT((ROWS(A$2:A1052)-1)/(DATE(YEAR(Invoer!$A$5),12,31)-DATE(YEAR(Invoer!$A$5),1,1)+1))+2,1)</f>
        <v>82</v>
      </c>
      <c r="B1052" t="str">
        <f ca="1">TEXT(DATE(YEAR(Invoer!$A$5),1,1)+MOD(ROWS(B$2:B1052)-1,DATE(YEAR(Invoer!$A$5),12,31)-DATE(YEAR(Invoer!$A$5),1,1)+1),"jjjjmmdd")</f>
        <v>19431117</v>
      </c>
      <c r="C1052" s="18">
        <v>1</v>
      </c>
      <c r="D1052" s="23" t="str">
        <f t="shared" ca="1" si="32"/>
        <v>—</v>
      </c>
      <c r="E1052" s="24">
        <f t="shared" ca="1" si="33"/>
        <v>7</v>
      </c>
    </row>
    <row r="1053" spans="1:5" x14ac:dyDescent="0.25">
      <c r="A1053" s="17">
        <f ca="1">INDEX(Stations,INT((ROWS(A$2:A1053)-1)/(DATE(YEAR(Invoer!$A$5),12,31)-DATE(YEAR(Invoer!$A$5),1,1)+1))+2,1)</f>
        <v>82</v>
      </c>
      <c r="B1053" t="str">
        <f ca="1">TEXT(DATE(YEAR(Invoer!$A$5),1,1)+MOD(ROWS(B$2:B1053)-1,DATE(YEAR(Invoer!$A$5),12,31)-DATE(YEAR(Invoer!$A$5),1,1)+1),"jjjjmmdd")</f>
        <v>19431118</v>
      </c>
      <c r="C1053" s="18">
        <v>1</v>
      </c>
      <c r="D1053" s="23" t="str">
        <f t="shared" ca="1" si="32"/>
        <v>—</v>
      </c>
      <c r="E1053" s="24">
        <f t="shared" ca="1" si="33"/>
        <v>7</v>
      </c>
    </row>
    <row r="1054" spans="1:5" x14ac:dyDescent="0.25">
      <c r="A1054" s="17">
        <f ca="1">INDEX(Stations,INT((ROWS(A$2:A1054)-1)/(DATE(YEAR(Invoer!$A$5),12,31)-DATE(YEAR(Invoer!$A$5),1,1)+1))+2,1)</f>
        <v>82</v>
      </c>
      <c r="B1054" t="str">
        <f ca="1">TEXT(DATE(YEAR(Invoer!$A$5),1,1)+MOD(ROWS(B$2:B1054)-1,DATE(YEAR(Invoer!$A$5),12,31)-DATE(YEAR(Invoer!$A$5),1,1)+1),"jjjjmmdd")</f>
        <v>19431119</v>
      </c>
      <c r="C1054" s="18">
        <v>1</v>
      </c>
      <c r="D1054" s="23" t="str">
        <f t="shared" ca="1" si="32"/>
        <v>—</v>
      </c>
      <c r="E1054" s="24">
        <f t="shared" ca="1" si="33"/>
        <v>7</v>
      </c>
    </row>
    <row r="1055" spans="1:5" x14ac:dyDescent="0.25">
      <c r="A1055" s="17">
        <f ca="1">INDEX(Stations,INT((ROWS(A$2:A1055)-1)/(DATE(YEAR(Invoer!$A$5),12,31)-DATE(YEAR(Invoer!$A$5),1,1)+1))+2,1)</f>
        <v>82</v>
      </c>
      <c r="B1055" t="str">
        <f ca="1">TEXT(DATE(YEAR(Invoer!$A$5),1,1)+MOD(ROWS(B$2:B1055)-1,DATE(YEAR(Invoer!$A$5),12,31)-DATE(YEAR(Invoer!$A$5),1,1)+1),"jjjjmmdd")</f>
        <v>19431120</v>
      </c>
      <c r="C1055" s="18">
        <v>1</v>
      </c>
      <c r="D1055" s="23" t="str">
        <f t="shared" ca="1" si="32"/>
        <v>—</v>
      </c>
      <c r="E1055" s="24">
        <f t="shared" ca="1" si="33"/>
        <v>7</v>
      </c>
    </row>
    <row r="1056" spans="1:5" x14ac:dyDescent="0.25">
      <c r="A1056" s="17">
        <f ca="1">INDEX(Stations,INT((ROWS(A$2:A1056)-1)/(DATE(YEAR(Invoer!$A$5),12,31)-DATE(YEAR(Invoer!$A$5),1,1)+1))+2,1)</f>
        <v>82</v>
      </c>
      <c r="B1056" t="str">
        <f ca="1">TEXT(DATE(YEAR(Invoer!$A$5),1,1)+MOD(ROWS(B$2:B1056)-1,DATE(YEAR(Invoer!$A$5),12,31)-DATE(YEAR(Invoer!$A$5),1,1)+1),"jjjjmmdd")</f>
        <v>19431121</v>
      </c>
      <c r="C1056" s="18">
        <v>1</v>
      </c>
      <c r="D1056" s="23" t="str">
        <f t="shared" ca="1" si="32"/>
        <v>—</v>
      </c>
      <c r="E1056" s="24">
        <f t="shared" ca="1" si="33"/>
        <v>7</v>
      </c>
    </row>
    <row r="1057" spans="1:5" x14ac:dyDescent="0.25">
      <c r="A1057" s="17">
        <f ca="1">INDEX(Stations,INT((ROWS(A$2:A1057)-1)/(DATE(YEAR(Invoer!$A$5),12,31)-DATE(YEAR(Invoer!$A$5),1,1)+1))+2,1)</f>
        <v>82</v>
      </c>
      <c r="B1057" t="str">
        <f ca="1">TEXT(DATE(YEAR(Invoer!$A$5),1,1)+MOD(ROWS(B$2:B1057)-1,DATE(YEAR(Invoer!$A$5),12,31)-DATE(YEAR(Invoer!$A$5),1,1)+1),"jjjjmmdd")</f>
        <v>19431122</v>
      </c>
      <c r="C1057" s="18">
        <v>1</v>
      </c>
      <c r="D1057" s="23" t="str">
        <f t="shared" ca="1" si="32"/>
        <v>—</v>
      </c>
      <c r="E1057" s="24">
        <f t="shared" ca="1" si="33"/>
        <v>7</v>
      </c>
    </row>
    <row r="1058" spans="1:5" x14ac:dyDescent="0.25">
      <c r="A1058" s="17">
        <f ca="1">INDEX(Stations,INT((ROWS(A$2:A1058)-1)/(DATE(YEAR(Invoer!$A$5),12,31)-DATE(YEAR(Invoer!$A$5),1,1)+1))+2,1)</f>
        <v>82</v>
      </c>
      <c r="B1058" t="str">
        <f ca="1">TEXT(DATE(YEAR(Invoer!$A$5),1,1)+MOD(ROWS(B$2:B1058)-1,DATE(YEAR(Invoer!$A$5),12,31)-DATE(YEAR(Invoer!$A$5),1,1)+1),"jjjjmmdd")</f>
        <v>19431123</v>
      </c>
      <c r="C1058" s="18">
        <v>1</v>
      </c>
      <c r="D1058" s="23" t="str">
        <f t="shared" ca="1" si="32"/>
        <v>—</v>
      </c>
      <c r="E1058" s="24">
        <f t="shared" ca="1" si="33"/>
        <v>7</v>
      </c>
    </row>
    <row r="1059" spans="1:5" x14ac:dyDescent="0.25">
      <c r="A1059" s="17">
        <f ca="1">INDEX(Stations,INT((ROWS(A$2:A1059)-1)/(DATE(YEAR(Invoer!$A$5),12,31)-DATE(YEAR(Invoer!$A$5),1,1)+1))+2,1)</f>
        <v>82</v>
      </c>
      <c r="B1059" t="str">
        <f ca="1">TEXT(DATE(YEAR(Invoer!$A$5),1,1)+MOD(ROWS(B$2:B1059)-1,DATE(YEAR(Invoer!$A$5),12,31)-DATE(YEAR(Invoer!$A$5),1,1)+1),"jjjjmmdd")</f>
        <v>19431124</v>
      </c>
      <c r="C1059" s="18">
        <v>1</v>
      </c>
      <c r="D1059" s="23" t="str">
        <f t="shared" ca="1" si="32"/>
        <v>—</v>
      </c>
      <c r="E1059" s="24">
        <f t="shared" ca="1" si="33"/>
        <v>7</v>
      </c>
    </row>
    <row r="1060" spans="1:5" x14ac:dyDescent="0.25">
      <c r="A1060" s="17">
        <f ca="1">INDEX(Stations,INT((ROWS(A$2:A1060)-1)/(DATE(YEAR(Invoer!$A$5),12,31)-DATE(YEAR(Invoer!$A$5),1,1)+1))+2,1)</f>
        <v>82</v>
      </c>
      <c r="B1060" t="str">
        <f ca="1">TEXT(DATE(YEAR(Invoer!$A$5),1,1)+MOD(ROWS(B$2:B1060)-1,DATE(YEAR(Invoer!$A$5),12,31)-DATE(YEAR(Invoer!$A$5),1,1)+1),"jjjjmmdd")</f>
        <v>19431125</v>
      </c>
      <c r="C1060" s="18">
        <v>1</v>
      </c>
      <c r="D1060" s="23" t="str">
        <f t="shared" ca="1" si="32"/>
        <v>—</v>
      </c>
      <c r="E1060" s="24">
        <f t="shared" ca="1" si="33"/>
        <v>7</v>
      </c>
    </row>
    <row r="1061" spans="1:5" x14ac:dyDescent="0.25">
      <c r="A1061" s="17">
        <f ca="1">INDEX(Stations,INT((ROWS(A$2:A1061)-1)/(DATE(YEAR(Invoer!$A$5),12,31)-DATE(YEAR(Invoer!$A$5),1,1)+1))+2,1)</f>
        <v>82</v>
      </c>
      <c r="B1061" t="str">
        <f ca="1">TEXT(DATE(YEAR(Invoer!$A$5),1,1)+MOD(ROWS(B$2:B1061)-1,DATE(YEAR(Invoer!$A$5),12,31)-DATE(YEAR(Invoer!$A$5),1,1)+1),"jjjjmmdd")</f>
        <v>19431126</v>
      </c>
      <c r="C1061" s="18">
        <v>1</v>
      </c>
      <c r="D1061" s="23" t="str">
        <f t="shared" ca="1" si="32"/>
        <v>—</v>
      </c>
      <c r="E1061" s="24">
        <f t="shared" ca="1" si="33"/>
        <v>7</v>
      </c>
    </row>
    <row r="1062" spans="1:5" x14ac:dyDescent="0.25">
      <c r="A1062" s="17">
        <f ca="1">INDEX(Stations,INT((ROWS(A$2:A1062)-1)/(DATE(YEAR(Invoer!$A$5),12,31)-DATE(YEAR(Invoer!$A$5),1,1)+1))+2,1)</f>
        <v>82</v>
      </c>
      <c r="B1062" t="str">
        <f ca="1">TEXT(DATE(YEAR(Invoer!$A$5),1,1)+MOD(ROWS(B$2:B1062)-1,DATE(YEAR(Invoer!$A$5),12,31)-DATE(YEAR(Invoer!$A$5),1,1)+1),"jjjjmmdd")</f>
        <v>19431127</v>
      </c>
      <c r="C1062" s="18">
        <v>1</v>
      </c>
      <c r="D1062" s="23" t="str">
        <f t="shared" ca="1" si="32"/>
        <v>—</v>
      </c>
      <c r="E1062" s="24">
        <f t="shared" ca="1" si="33"/>
        <v>7</v>
      </c>
    </row>
    <row r="1063" spans="1:5" x14ac:dyDescent="0.25">
      <c r="A1063" s="17">
        <f ca="1">INDEX(Stations,INT((ROWS(A$2:A1063)-1)/(DATE(YEAR(Invoer!$A$5),12,31)-DATE(YEAR(Invoer!$A$5),1,1)+1))+2,1)</f>
        <v>82</v>
      </c>
      <c r="B1063" t="str">
        <f ca="1">TEXT(DATE(YEAR(Invoer!$A$5),1,1)+MOD(ROWS(B$2:B1063)-1,DATE(YEAR(Invoer!$A$5),12,31)-DATE(YEAR(Invoer!$A$5),1,1)+1),"jjjjmmdd")</f>
        <v>19431128</v>
      </c>
      <c r="C1063" s="18">
        <v>1</v>
      </c>
      <c r="D1063" s="23" t="str">
        <f t="shared" ca="1" si="32"/>
        <v>—</v>
      </c>
      <c r="E1063" s="24">
        <f t="shared" ca="1" si="33"/>
        <v>7</v>
      </c>
    </row>
    <row r="1064" spans="1:5" x14ac:dyDescent="0.25">
      <c r="A1064" s="17">
        <f ca="1">INDEX(Stations,INT((ROWS(A$2:A1064)-1)/(DATE(YEAR(Invoer!$A$5),12,31)-DATE(YEAR(Invoer!$A$5),1,1)+1))+2,1)</f>
        <v>82</v>
      </c>
      <c r="B1064" t="str">
        <f ca="1">TEXT(DATE(YEAR(Invoer!$A$5),1,1)+MOD(ROWS(B$2:B1064)-1,DATE(YEAR(Invoer!$A$5),12,31)-DATE(YEAR(Invoer!$A$5),1,1)+1),"jjjjmmdd")</f>
        <v>19431129</v>
      </c>
      <c r="C1064" s="18">
        <v>1</v>
      </c>
      <c r="D1064" s="23" t="str">
        <f t="shared" ca="1" si="32"/>
        <v>—</v>
      </c>
      <c r="E1064" s="24">
        <f t="shared" ca="1" si="33"/>
        <v>7</v>
      </c>
    </row>
    <row r="1065" spans="1:5" x14ac:dyDescent="0.25">
      <c r="A1065" s="17">
        <f ca="1">INDEX(Stations,INT((ROWS(A$2:A1065)-1)/(DATE(YEAR(Invoer!$A$5),12,31)-DATE(YEAR(Invoer!$A$5),1,1)+1))+2,1)</f>
        <v>82</v>
      </c>
      <c r="B1065" t="str">
        <f ca="1">TEXT(DATE(YEAR(Invoer!$A$5),1,1)+MOD(ROWS(B$2:B1065)-1,DATE(YEAR(Invoer!$A$5),12,31)-DATE(YEAR(Invoer!$A$5),1,1)+1),"jjjjmmdd")</f>
        <v>19431130</v>
      </c>
      <c r="C1065" s="18">
        <v>1</v>
      </c>
      <c r="D1065" s="23" t="str">
        <f t="shared" ca="1" si="32"/>
        <v>—</v>
      </c>
      <c r="E1065" s="24">
        <f t="shared" ca="1" si="33"/>
        <v>7</v>
      </c>
    </row>
    <row r="1066" spans="1:5" x14ac:dyDescent="0.25">
      <c r="A1066" s="17">
        <f ca="1">INDEX(Stations,INT((ROWS(A$2:A1066)-1)/(DATE(YEAR(Invoer!$A$5),12,31)-DATE(YEAR(Invoer!$A$5),1,1)+1))+2,1)</f>
        <v>82</v>
      </c>
      <c r="B1066" t="str">
        <f ca="1">TEXT(DATE(YEAR(Invoer!$A$5),1,1)+MOD(ROWS(B$2:B1066)-1,DATE(YEAR(Invoer!$A$5),12,31)-DATE(YEAR(Invoer!$A$5),1,1)+1),"jjjjmmdd")</f>
        <v>19431201</v>
      </c>
      <c r="C1066" s="18">
        <v>1</v>
      </c>
      <c r="D1066" s="23" t="str">
        <f t="shared" ca="1" si="32"/>
        <v>—</v>
      </c>
      <c r="E1066" s="24">
        <f t="shared" ca="1" si="33"/>
        <v>7</v>
      </c>
    </row>
    <row r="1067" spans="1:5" x14ac:dyDescent="0.25">
      <c r="A1067" s="17">
        <f ca="1">INDEX(Stations,INT((ROWS(A$2:A1067)-1)/(DATE(YEAR(Invoer!$A$5),12,31)-DATE(YEAR(Invoer!$A$5),1,1)+1))+2,1)</f>
        <v>82</v>
      </c>
      <c r="B1067" t="str">
        <f ca="1">TEXT(DATE(YEAR(Invoer!$A$5),1,1)+MOD(ROWS(B$2:B1067)-1,DATE(YEAR(Invoer!$A$5),12,31)-DATE(YEAR(Invoer!$A$5),1,1)+1),"jjjjmmdd")</f>
        <v>19431202</v>
      </c>
      <c r="C1067" s="18">
        <v>1</v>
      </c>
      <c r="D1067" s="23" t="str">
        <f t="shared" ca="1" si="32"/>
        <v>—</v>
      </c>
      <c r="E1067" s="24">
        <f t="shared" ca="1" si="33"/>
        <v>7</v>
      </c>
    </row>
    <row r="1068" spans="1:5" x14ac:dyDescent="0.25">
      <c r="A1068" s="17">
        <f ca="1">INDEX(Stations,INT((ROWS(A$2:A1068)-1)/(DATE(YEAR(Invoer!$A$5),12,31)-DATE(YEAR(Invoer!$A$5),1,1)+1))+2,1)</f>
        <v>82</v>
      </c>
      <c r="B1068" t="str">
        <f ca="1">TEXT(DATE(YEAR(Invoer!$A$5),1,1)+MOD(ROWS(B$2:B1068)-1,DATE(YEAR(Invoer!$A$5),12,31)-DATE(YEAR(Invoer!$A$5),1,1)+1),"jjjjmmdd")</f>
        <v>19431203</v>
      </c>
      <c r="C1068" s="18">
        <v>1</v>
      </c>
      <c r="D1068" s="23" t="str">
        <f t="shared" ca="1" si="32"/>
        <v>—</v>
      </c>
      <c r="E1068" s="24">
        <f t="shared" ca="1" si="33"/>
        <v>7</v>
      </c>
    </row>
    <row r="1069" spans="1:5" x14ac:dyDescent="0.25">
      <c r="A1069" s="17">
        <f ca="1">INDEX(Stations,INT((ROWS(A$2:A1069)-1)/(DATE(YEAR(Invoer!$A$5),12,31)-DATE(YEAR(Invoer!$A$5),1,1)+1))+2,1)</f>
        <v>82</v>
      </c>
      <c r="B1069" t="str">
        <f ca="1">TEXT(DATE(YEAR(Invoer!$A$5),1,1)+MOD(ROWS(B$2:B1069)-1,DATE(YEAR(Invoer!$A$5),12,31)-DATE(YEAR(Invoer!$A$5),1,1)+1),"jjjjmmdd")</f>
        <v>19431204</v>
      </c>
      <c r="C1069" s="18">
        <v>1</v>
      </c>
      <c r="D1069" s="23" t="str">
        <f t="shared" ca="1" si="32"/>
        <v>—</v>
      </c>
      <c r="E1069" s="24">
        <f t="shared" ca="1" si="33"/>
        <v>7</v>
      </c>
    </row>
    <row r="1070" spans="1:5" x14ac:dyDescent="0.25">
      <c r="A1070" s="17">
        <f ca="1">INDEX(Stations,INT((ROWS(A$2:A1070)-1)/(DATE(YEAR(Invoer!$A$5),12,31)-DATE(YEAR(Invoer!$A$5),1,1)+1))+2,1)</f>
        <v>82</v>
      </c>
      <c r="B1070" t="str">
        <f ca="1">TEXT(DATE(YEAR(Invoer!$A$5),1,1)+MOD(ROWS(B$2:B1070)-1,DATE(YEAR(Invoer!$A$5),12,31)-DATE(YEAR(Invoer!$A$5),1,1)+1),"jjjjmmdd")</f>
        <v>19431205</v>
      </c>
      <c r="C1070" s="18">
        <v>1</v>
      </c>
      <c r="D1070" s="23" t="str">
        <f t="shared" ca="1" si="32"/>
        <v>—</v>
      </c>
      <c r="E1070" s="24">
        <f t="shared" ca="1" si="33"/>
        <v>7</v>
      </c>
    </row>
    <row r="1071" spans="1:5" x14ac:dyDescent="0.25">
      <c r="A1071" s="17">
        <f ca="1">INDEX(Stations,INT((ROWS(A$2:A1071)-1)/(DATE(YEAR(Invoer!$A$5),12,31)-DATE(YEAR(Invoer!$A$5),1,1)+1))+2,1)</f>
        <v>82</v>
      </c>
      <c r="B1071" t="str">
        <f ca="1">TEXT(DATE(YEAR(Invoer!$A$5),1,1)+MOD(ROWS(B$2:B1071)-1,DATE(YEAR(Invoer!$A$5),12,31)-DATE(YEAR(Invoer!$A$5),1,1)+1),"jjjjmmdd")</f>
        <v>19431206</v>
      </c>
      <c r="C1071" s="18">
        <v>1</v>
      </c>
      <c r="D1071" s="23" t="str">
        <f t="shared" ca="1" si="32"/>
        <v>—</v>
      </c>
      <c r="E1071" s="24">
        <f t="shared" ca="1" si="33"/>
        <v>7</v>
      </c>
    </row>
    <row r="1072" spans="1:5" x14ac:dyDescent="0.25">
      <c r="A1072" s="17">
        <f ca="1">INDEX(Stations,INT((ROWS(A$2:A1072)-1)/(DATE(YEAR(Invoer!$A$5),12,31)-DATE(YEAR(Invoer!$A$5),1,1)+1))+2,1)</f>
        <v>82</v>
      </c>
      <c r="B1072" t="str">
        <f ca="1">TEXT(DATE(YEAR(Invoer!$A$5),1,1)+MOD(ROWS(B$2:B1072)-1,DATE(YEAR(Invoer!$A$5),12,31)-DATE(YEAR(Invoer!$A$5),1,1)+1),"jjjjmmdd")</f>
        <v>19431207</v>
      </c>
      <c r="C1072" s="18">
        <v>1</v>
      </c>
      <c r="D1072" s="23" t="str">
        <f t="shared" ca="1" si="32"/>
        <v>—</v>
      </c>
      <c r="E1072" s="24">
        <f t="shared" ca="1" si="33"/>
        <v>7</v>
      </c>
    </row>
    <row r="1073" spans="1:5" x14ac:dyDescent="0.25">
      <c r="A1073" s="17">
        <f ca="1">INDEX(Stations,INT((ROWS(A$2:A1073)-1)/(DATE(YEAR(Invoer!$A$5),12,31)-DATE(YEAR(Invoer!$A$5),1,1)+1))+2,1)</f>
        <v>82</v>
      </c>
      <c r="B1073" t="str">
        <f ca="1">TEXT(DATE(YEAR(Invoer!$A$5),1,1)+MOD(ROWS(B$2:B1073)-1,DATE(YEAR(Invoer!$A$5),12,31)-DATE(YEAR(Invoer!$A$5),1,1)+1),"jjjjmmdd")</f>
        <v>19431208</v>
      </c>
      <c r="C1073" s="18">
        <v>1</v>
      </c>
      <c r="D1073" s="23" t="str">
        <f t="shared" ca="1" si="32"/>
        <v>—</v>
      </c>
      <c r="E1073" s="24">
        <f t="shared" ca="1" si="33"/>
        <v>7</v>
      </c>
    </row>
    <row r="1074" spans="1:5" x14ac:dyDescent="0.25">
      <c r="A1074" s="17">
        <f ca="1">INDEX(Stations,INT((ROWS(A$2:A1074)-1)/(DATE(YEAR(Invoer!$A$5),12,31)-DATE(YEAR(Invoer!$A$5),1,1)+1))+2,1)</f>
        <v>82</v>
      </c>
      <c r="B1074" t="str">
        <f ca="1">TEXT(DATE(YEAR(Invoer!$A$5),1,1)+MOD(ROWS(B$2:B1074)-1,DATE(YEAR(Invoer!$A$5),12,31)-DATE(YEAR(Invoer!$A$5),1,1)+1),"jjjjmmdd")</f>
        <v>19431209</v>
      </c>
      <c r="C1074" s="18">
        <v>1</v>
      </c>
      <c r="D1074" s="23" t="str">
        <f t="shared" ca="1" si="32"/>
        <v>—</v>
      </c>
      <c r="E1074" s="24">
        <f t="shared" ca="1" si="33"/>
        <v>7</v>
      </c>
    </row>
    <row r="1075" spans="1:5" x14ac:dyDescent="0.25">
      <c r="A1075" s="17">
        <f ca="1">INDEX(Stations,INT((ROWS(A$2:A1075)-1)/(DATE(YEAR(Invoer!$A$5),12,31)-DATE(YEAR(Invoer!$A$5),1,1)+1))+2,1)</f>
        <v>82</v>
      </c>
      <c r="B1075" t="str">
        <f ca="1">TEXT(DATE(YEAR(Invoer!$A$5),1,1)+MOD(ROWS(B$2:B1075)-1,DATE(YEAR(Invoer!$A$5),12,31)-DATE(YEAR(Invoer!$A$5),1,1)+1),"jjjjmmdd")</f>
        <v>19431210</v>
      </c>
      <c r="C1075" s="18">
        <v>1</v>
      </c>
      <c r="D1075" s="23" t="str">
        <f t="shared" ca="1" si="32"/>
        <v>—</v>
      </c>
      <c r="E1075" s="24">
        <f t="shared" ca="1" si="33"/>
        <v>7</v>
      </c>
    </row>
    <row r="1076" spans="1:5" x14ac:dyDescent="0.25">
      <c r="A1076" s="17">
        <f ca="1">INDEX(Stations,INT((ROWS(A$2:A1076)-1)/(DATE(YEAR(Invoer!$A$5),12,31)-DATE(YEAR(Invoer!$A$5),1,1)+1))+2,1)</f>
        <v>82</v>
      </c>
      <c r="B1076" t="str">
        <f ca="1">TEXT(DATE(YEAR(Invoer!$A$5),1,1)+MOD(ROWS(B$2:B1076)-1,DATE(YEAR(Invoer!$A$5),12,31)-DATE(YEAR(Invoer!$A$5),1,1)+1),"jjjjmmdd")</f>
        <v>19431211</v>
      </c>
      <c r="C1076" s="18">
        <v>1</v>
      </c>
      <c r="D1076" s="23" t="str">
        <f t="shared" ca="1" si="32"/>
        <v>—</v>
      </c>
      <c r="E1076" s="24">
        <f t="shared" ca="1" si="33"/>
        <v>7</v>
      </c>
    </row>
    <row r="1077" spans="1:5" x14ac:dyDescent="0.25">
      <c r="A1077" s="17">
        <f ca="1">INDEX(Stations,INT((ROWS(A$2:A1077)-1)/(DATE(YEAR(Invoer!$A$5),12,31)-DATE(YEAR(Invoer!$A$5),1,1)+1))+2,1)</f>
        <v>82</v>
      </c>
      <c r="B1077" t="str">
        <f ca="1">TEXT(DATE(YEAR(Invoer!$A$5),1,1)+MOD(ROWS(B$2:B1077)-1,DATE(YEAR(Invoer!$A$5),12,31)-DATE(YEAR(Invoer!$A$5),1,1)+1),"jjjjmmdd")</f>
        <v>19431212</v>
      </c>
      <c r="C1077" s="18">
        <v>1</v>
      </c>
      <c r="D1077" s="23" t="str">
        <f t="shared" ca="1" si="32"/>
        <v>—</v>
      </c>
      <c r="E1077" s="24">
        <f t="shared" ca="1" si="33"/>
        <v>7</v>
      </c>
    </row>
    <row r="1078" spans="1:5" x14ac:dyDescent="0.25">
      <c r="A1078" s="17">
        <f ca="1">INDEX(Stations,INT((ROWS(A$2:A1078)-1)/(DATE(YEAR(Invoer!$A$5),12,31)-DATE(YEAR(Invoer!$A$5),1,1)+1))+2,1)</f>
        <v>82</v>
      </c>
      <c r="B1078" t="str">
        <f ca="1">TEXT(DATE(YEAR(Invoer!$A$5),1,1)+MOD(ROWS(B$2:B1078)-1,DATE(YEAR(Invoer!$A$5),12,31)-DATE(YEAR(Invoer!$A$5),1,1)+1),"jjjjmmdd")</f>
        <v>19431213</v>
      </c>
      <c r="C1078" s="18">
        <v>1</v>
      </c>
      <c r="D1078" s="23" t="str">
        <f t="shared" ca="1" si="32"/>
        <v>—</v>
      </c>
      <c r="E1078" s="24">
        <f t="shared" ca="1" si="33"/>
        <v>7</v>
      </c>
    </row>
    <row r="1079" spans="1:5" x14ac:dyDescent="0.25">
      <c r="A1079" s="17">
        <f ca="1">INDEX(Stations,INT((ROWS(A$2:A1079)-1)/(DATE(YEAR(Invoer!$A$5),12,31)-DATE(YEAR(Invoer!$A$5),1,1)+1))+2,1)</f>
        <v>82</v>
      </c>
      <c r="B1079" t="str">
        <f ca="1">TEXT(DATE(YEAR(Invoer!$A$5),1,1)+MOD(ROWS(B$2:B1079)-1,DATE(YEAR(Invoer!$A$5),12,31)-DATE(YEAR(Invoer!$A$5),1,1)+1),"jjjjmmdd")</f>
        <v>19431214</v>
      </c>
      <c r="C1079" s="18">
        <v>1</v>
      </c>
      <c r="D1079" s="23" t="str">
        <f t="shared" ca="1" si="32"/>
        <v>—</v>
      </c>
      <c r="E1079" s="24">
        <f t="shared" ca="1" si="33"/>
        <v>7</v>
      </c>
    </row>
    <row r="1080" spans="1:5" x14ac:dyDescent="0.25">
      <c r="A1080" s="17">
        <f ca="1">INDEX(Stations,INT((ROWS(A$2:A1080)-1)/(DATE(YEAR(Invoer!$A$5),12,31)-DATE(YEAR(Invoer!$A$5),1,1)+1))+2,1)</f>
        <v>82</v>
      </c>
      <c r="B1080" t="str">
        <f ca="1">TEXT(DATE(YEAR(Invoer!$A$5),1,1)+MOD(ROWS(B$2:B1080)-1,DATE(YEAR(Invoer!$A$5),12,31)-DATE(YEAR(Invoer!$A$5),1,1)+1),"jjjjmmdd")</f>
        <v>19431215</v>
      </c>
      <c r="C1080" s="18">
        <v>1</v>
      </c>
      <c r="D1080" s="23" t="str">
        <f t="shared" ca="1" si="32"/>
        <v>—</v>
      </c>
      <c r="E1080" s="24">
        <f t="shared" ca="1" si="33"/>
        <v>7</v>
      </c>
    </row>
    <row r="1081" spans="1:5" x14ac:dyDescent="0.25">
      <c r="A1081" s="17">
        <f ca="1">INDEX(Stations,INT((ROWS(A$2:A1081)-1)/(DATE(YEAR(Invoer!$A$5),12,31)-DATE(YEAR(Invoer!$A$5),1,1)+1))+2,1)</f>
        <v>82</v>
      </c>
      <c r="B1081" t="str">
        <f ca="1">TEXT(DATE(YEAR(Invoer!$A$5),1,1)+MOD(ROWS(B$2:B1081)-1,DATE(YEAR(Invoer!$A$5),12,31)-DATE(YEAR(Invoer!$A$5),1,1)+1),"jjjjmmdd")</f>
        <v>19431216</v>
      </c>
      <c r="C1081" s="18">
        <v>1</v>
      </c>
      <c r="D1081" s="23" t="str">
        <f t="shared" ca="1" si="32"/>
        <v>—</v>
      </c>
      <c r="E1081" s="24">
        <f t="shared" ca="1" si="33"/>
        <v>7</v>
      </c>
    </row>
    <row r="1082" spans="1:5" x14ac:dyDescent="0.25">
      <c r="A1082" s="17">
        <f ca="1">INDEX(Stations,INT((ROWS(A$2:A1082)-1)/(DATE(YEAR(Invoer!$A$5),12,31)-DATE(YEAR(Invoer!$A$5),1,1)+1))+2,1)</f>
        <v>82</v>
      </c>
      <c r="B1082" t="str">
        <f ca="1">TEXT(DATE(YEAR(Invoer!$A$5),1,1)+MOD(ROWS(B$2:B1082)-1,DATE(YEAR(Invoer!$A$5),12,31)-DATE(YEAR(Invoer!$A$5),1,1)+1),"jjjjmmdd")</f>
        <v>19431217</v>
      </c>
      <c r="C1082" s="18">
        <v>1</v>
      </c>
      <c r="D1082" s="23" t="str">
        <f t="shared" ca="1" si="32"/>
        <v>—</v>
      </c>
      <c r="E1082" s="24">
        <f t="shared" ca="1" si="33"/>
        <v>7</v>
      </c>
    </row>
    <row r="1083" spans="1:5" x14ac:dyDescent="0.25">
      <c r="A1083" s="17">
        <f ca="1">INDEX(Stations,INT((ROWS(A$2:A1083)-1)/(DATE(YEAR(Invoer!$A$5),12,31)-DATE(YEAR(Invoer!$A$5),1,1)+1))+2,1)</f>
        <v>82</v>
      </c>
      <c r="B1083" t="str">
        <f ca="1">TEXT(DATE(YEAR(Invoer!$A$5),1,1)+MOD(ROWS(B$2:B1083)-1,DATE(YEAR(Invoer!$A$5),12,31)-DATE(YEAR(Invoer!$A$5),1,1)+1),"jjjjmmdd")</f>
        <v>19431218</v>
      </c>
      <c r="C1083" s="18">
        <v>1</v>
      </c>
      <c r="D1083" s="23" t="str">
        <f t="shared" ca="1" si="32"/>
        <v>—</v>
      </c>
      <c r="E1083" s="24">
        <f t="shared" ca="1" si="33"/>
        <v>7</v>
      </c>
    </row>
    <row r="1084" spans="1:5" x14ac:dyDescent="0.25">
      <c r="A1084" s="17">
        <f ca="1">INDEX(Stations,INT((ROWS(A$2:A1084)-1)/(DATE(YEAR(Invoer!$A$5),12,31)-DATE(YEAR(Invoer!$A$5),1,1)+1))+2,1)</f>
        <v>82</v>
      </c>
      <c r="B1084" t="str">
        <f ca="1">TEXT(DATE(YEAR(Invoer!$A$5),1,1)+MOD(ROWS(B$2:B1084)-1,DATE(YEAR(Invoer!$A$5),12,31)-DATE(YEAR(Invoer!$A$5),1,1)+1),"jjjjmmdd")</f>
        <v>19431219</v>
      </c>
      <c r="C1084" s="18">
        <v>1</v>
      </c>
      <c r="D1084" s="23" t="str">
        <f t="shared" ca="1" si="32"/>
        <v>—</v>
      </c>
      <c r="E1084" s="24">
        <f t="shared" ca="1" si="33"/>
        <v>7</v>
      </c>
    </row>
    <row r="1085" spans="1:5" x14ac:dyDescent="0.25">
      <c r="A1085" s="17">
        <f ca="1">INDEX(Stations,INT((ROWS(A$2:A1085)-1)/(DATE(YEAR(Invoer!$A$5),12,31)-DATE(YEAR(Invoer!$A$5),1,1)+1))+2,1)</f>
        <v>82</v>
      </c>
      <c r="B1085" t="str">
        <f ca="1">TEXT(DATE(YEAR(Invoer!$A$5),1,1)+MOD(ROWS(B$2:B1085)-1,DATE(YEAR(Invoer!$A$5),12,31)-DATE(YEAR(Invoer!$A$5),1,1)+1),"jjjjmmdd")</f>
        <v>19431220</v>
      </c>
      <c r="C1085" s="18">
        <v>1</v>
      </c>
      <c r="D1085" s="23" t="str">
        <f t="shared" ca="1" si="32"/>
        <v>—</v>
      </c>
      <c r="E1085" s="24">
        <f t="shared" ca="1" si="33"/>
        <v>7</v>
      </c>
    </row>
    <row r="1086" spans="1:5" x14ac:dyDescent="0.25">
      <c r="A1086" s="17">
        <f ca="1">INDEX(Stations,INT((ROWS(A$2:A1086)-1)/(DATE(YEAR(Invoer!$A$5),12,31)-DATE(YEAR(Invoer!$A$5),1,1)+1))+2,1)</f>
        <v>82</v>
      </c>
      <c r="B1086" t="str">
        <f ca="1">TEXT(DATE(YEAR(Invoer!$A$5),1,1)+MOD(ROWS(B$2:B1086)-1,DATE(YEAR(Invoer!$A$5),12,31)-DATE(YEAR(Invoer!$A$5),1,1)+1),"jjjjmmdd")</f>
        <v>19431221</v>
      </c>
      <c r="C1086" s="18">
        <v>1</v>
      </c>
      <c r="D1086" s="23" t="str">
        <f t="shared" ca="1" si="32"/>
        <v>—</v>
      </c>
      <c r="E1086" s="24">
        <f t="shared" ca="1" si="33"/>
        <v>7</v>
      </c>
    </row>
    <row r="1087" spans="1:5" x14ac:dyDescent="0.25">
      <c r="A1087" s="17">
        <f ca="1">INDEX(Stations,INT((ROWS(A$2:A1087)-1)/(DATE(YEAR(Invoer!$A$5),12,31)-DATE(YEAR(Invoer!$A$5),1,1)+1))+2,1)</f>
        <v>82</v>
      </c>
      <c r="B1087" t="str">
        <f ca="1">TEXT(DATE(YEAR(Invoer!$A$5),1,1)+MOD(ROWS(B$2:B1087)-1,DATE(YEAR(Invoer!$A$5),12,31)-DATE(YEAR(Invoer!$A$5),1,1)+1),"jjjjmmdd")</f>
        <v>19431222</v>
      </c>
      <c r="C1087" s="18">
        <v>1</v>
      </c>
      <c r="D1087" s="23" t="str">
        <f t="shared" ca="1" si="32"/>
        <v>—</v>
      </c>
      <c r="E1087" s="24">
        <f t="shared" ca="1" si="33"/>
        <v>7</v>
      </c>
    </row>
    <row r="1088" spans="1:5" x14ac:dyDescent="0.25">
      <c r="A1088" s="17">
        <f ca="1">INDEX(Stations,INT((ROWS(A$2:A1088)-1)/(DATE(YEAR(Invoer!$A$5),12,31)-DATE(YEAR(Invoer!$A$5),1,1)+1))+2,1)</f>
        <v>82</v>
      </c>
      <c r="B1088" t="str">
        <f ca="1">TEXT(DATE(YEAR(Invoer!$A$5),1,1)+MOD(ROWS(B$2:B1088)-1,DATE(YEAR(Invoer!$A$5),12,31)-DATE(YEAR(Invoer!$A$5),1,1)+1),"jjjjmmdd")</f>
        <v>19431223</v>
      </c>
      <c r="C1088" s="18">
        <v>1</v>
      </c>
      <c r="D1088" s="23" t="str">
        <f t="shared" ca="1" si="32"/>
        <v>—</v>
      </c>
      <c r="E1088" s="24">
        <f t="shared" ca="1" si="33"/>
        <v>7</v>
      </c>
    </row>
    <row r="1089" spans="1:5" x14ac:dyDescent="0.25">
      <c r="A1089" s="17">
        <f ca="1">INDEX(Stations,INT((ROWS(A$2:A1089)-1)/(DATE(YEAR(Invoer!$A$5),12,31)-DATE(YEAR(Invoer!$A$5),1,1)+1))+2,1)</f>
        <v>82</v>
      </c>
      <c r="B1089" t="str">
        <f ca="1">TEXT(DATE(YEAR(Invoer!$A$5),1,1)+MOD(ROWS(B$2:B1089)-1,DATE(YEAR(Invoer!$A$5),12,31)-DATE(YEAR(Invoer!$A$5),1,1)+1),"jjjjmmdd")</f>
        <v>19431224</v>
      </c>
      <c r="C1089" s="18">
        <v>1</v>
      </c>
      <c r="D1089" s="23" t="str">
        <f t="shared" ca="1" si="32"/>
        <v>—</v>
      </c>
      <c r="E1089" s="24">
        <f t="shared" ca="1" si="33"/>
        <v>7</v>
      </c>
    </row>
    <row r="1090" spans="1:5" x14ac:dyDescent="0.25">
      <c r="A1090" s="17">
        <f ca="1">INDEX(Stations,INT((ROWS(A$2:A1090)-1)/(DATE(YEAR(Invoer!$A$5),12,31)-DATE(YEAR(Invoer!$A$5),1,1)+1))+2,1)</f>
        <v>82</v>
      </c>
      <c r="B1090" t="str">
        <f ca="1">TEXT(DATE(YEAR(Invoer!$A$5),1,1)+MOD(ROWS(B$2:B1090)-1,DATE(YEAR(Invoer!$A$5),12,31)-DATE(YEAR(Invoer!$A$5),1,1)+1),"jjjjmmdd")</f>
        <v>19431225</v>
      </c>
      <c r="C1090" s="18">
        <v>1</v>
      </c>
      <c r="D1090" s="23" t="str">
        <f t="shared" ref="D1090:D1096" ca="1" si="34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"—",VLOOKUP(DATEVALUE(LEFT(B1090,4)&amp;"-"&amp;MID(B1090,5,2)&amp;"-"&amp;RIGHT(B1090,2)),Data,MATCH(VLOOKUP(A1090,Stations,2,FALSE()),OFFSET(Data,1,0,1),0),FALSE()))</f>
        <v>—</v>
      </c>
      <c r="E1090" s="24">
        <f t="shared" ref="E1090:E1096" ca="1" si="35">IF(OR(ISBLANK(VLOOKUP(DATEVALUE(LEFT(B1090,4)&amp;"-"&amp;MID(B1090,5,2)&amp;"-"&amp;RIGHT(B1090,2)),Data,MATCH(VLOOKUP(A1090,Stations,2,FALSE()),OFFSET(Data,1,0,1),0),FALSE())),ISTEXT(VLOOKUP(DATEVALUE(LEFT(B1090,4)&amp;"-"&amp;MID(B1090,5,2)&amp;"-"&amp;RIGHT(B1090,2)),Data,MATCH(VLOOKUP(A1090,Stations,2,FALSE()),OFFSET(Data,1,0,1),0),FALSE()))),Lacking,IF(ISNA(MATCH(DATEVALUE(LEFT(B1090,4)&amp;"-"&amp;MID(B1090,5,2)&amp;"-"&amp;RIGHT(B1090,2)),OFFSET(Catalogus,0,0,,1),0)),Ok,VLOOKUP(DATEVALUE(LEFT(B1090,4)&amp;"-"&amp;MID(B1090,5,2)&amp;"-"&amp;RIGHT(B1090,2)),Catalogus,MATCH(VLOOKUP(A1090,Stations,2,FALSE()),OFFSET(Catalogus,1,0,1),0),FALSE())))</f>
        <v>7</v>
      </c>
    </row>
    <row r="1091" spans="1:5" x14ac:dyDescent="0.25">
      <c r="A1091" s="17">
        <f ca="1">INDEX(Stations,INT((ROWS(A$2:A1091)-1)/(DATE(YEAR(Invoer!$A$5),12,31)-DATE(YEAR(Invoer!$A$5),1,1)+1))+2,1)</f>
        <v>82</v>
      </c>
      <c r="B1091" t="str">
        <f ca="1">TEXT(DATE(YEAR(Invoer!$A$5),1,1)+MOD(ROWS(B$2:B1091)-1,DATE(YEAR(Invoer!$A$5),12,31)-DATE(YEAR(Invoer!$A$5),1,1)+1),"jjjjmmdd")</f>
        <v>19431226</v>
      </c>
      <c r="C1091" s="18">
        <v>1</v>
      </c>
      <c r="D1091" s="23" t="str">
        <f t="shared" ca="1" si="34"/>
        <v>—</v>
      </c>
      <c r="E1091" s="24">
        <f t="shared" ca="1" si="35"/>
        <v>7</v>
      </c>
    </row>
    <row r="1092" spans="1:5" x14ac:dyDescent="0.25">
      <c r="A1092" s="17">
        <f ca="1">INDEX(Stations,INT((ROWS(A$2:A1092)-1)/(DATE(YEAR(Invoer!$A$5),12,31)-DATE(YEAR(Invoer!$A$5),1,1)+1))+2,1)</f>
        <v>82</v>
      </c>
      <c r="B1092" t="str">
        <f ca="1">TEXT(DATE(YEAR(Invoer!$A$5),1,1)+MOD(ROWS(B$2:B1092)-1,DATE(YEAR(Invoer!$A$5),12,31)-DATE(YEAR(Invoer!$A$5),1,1)+1),"jjjjmmdd")</f>
        <v>19431227</v>
      </c>
      <c r="C1092" s="18">
        <v>1</v>
      </c>
      <c r="D1092" s="23" t="str">
        <f t="shared" ca="1" si="34"/>
        <v>—</v>
      </c>
      <c r="E1092" s="24">
        <f t="shared" ca="1" si="35"/>
        <v>7</v>
      </c>
    </row>
    <row r="1093" spans="1:5" x14ac:dyDescent="0.25">
      <c r="A1093" s="17">
        <f ca="1">INDEX(Stations,INT((ROWS(A$2:A1093)-1)/(DATE(YEAR(Invoer!$A$5),12,31)-DATE(YEAR(Invoer!$A$5),1,1)+1))+2,1)</f>
        <v>82</v>
      </c>
      <c r="B1093" t="str">
        <f ca="1">TEXT(DATE(YEAR(Invoer!$A$5),1,1)+MOD(ROWS(B$2:B1093)-1,DATE(YEAR(Invoer!$A$5),12,31)-DATE(YEAR(Invoer!$A$5),1,1)+1),"jjjjmmdd")</f>
        <v>19431228</v>
      </c>
      <c r="C1093" s="18">
        <v>1</v>
      </c>
      <c r="D1093" s="23" t="str">
        <f t="shared" ca="1" si="34"/>
        <v>—</v>
      </c>
      <c r="E1093" s="24">
        <f t="shared" ca="1" si="35"/>
        <v>7</v>
      </c>
    </row>
    <row r="1094" spans="1:5" x14ac:dyDescent="0.25">
      <c r="A1094" s="17">
        <f ca="1">INDEX(Stations,INT((ROWS(A$2:A1094)-1)/(DATE(YEAR(Invoer!$A$5),12,31)-DATE(YEAR(Invoer!$A$5),1,1)+1))+2,1)</f>
        <v>82</v>
      </c>
      <c r="B1094" t="str">
        <f ca="1">TEXT(DATE(YEAR(Invoer!$A$5),1,1)+MOD(ROWS(B$2:B1094)-1,DATE(YEAR(Invoer!$A$5),12,31)-DATE(YEAR(Invoer!$A$5),1,1)+1),"jjjjmmdd")</f>
        <v>19431229</v>
      </c>
      <c r="C1094" s="18">
        <v>1</v>
      </c>
      <c r="D1094" s="23" t="str">
        <f t="shared" ca="1" si="34"/>
        <v>—</v>
      </c>
      <c r="E1094" s="24">
        <f t="shared" ca="1" si="35"/>
        <v>7</v>
      </c>
    </row>
    <row r="1095" spans="1:5" x14ac:dyDescent="0.25">
      <c r="A1095" s="17">
        <f ca="1">INDEX(Stations,INT((ROWS(A$2:A1095)-1)/(DATE(YEAR(Invoer!$A$5),12,31)-DATE(YEAR(Invoer!$A$5),1,1)+1))+2,1)</f>
        <v>82</v>
      </c>
      <c r="B1095" t="str">
        <f ca="1">TEXT(DATE(YEAR(Invoer!$A$5),1,1)+MOD(ROWS(B$2:B1095)-1,DATE(YEAR(Invoer!$A$5),12,31)-DATE(YEAR(Invoer!$A$5),1,1)+1),"jjjjmmdd")</f>
        <v>19431230</v>
      </c>
      <c r="C1095" s="18">
        <v>1</v>
      </c>
      <c r="D1095" s="23" t="str">
        <f t="shared" ca="1" si="34"/>
        <v>—</v>
      </c>
      <c r="E1095" s="24">
        <f t="shared" ca="1" si="35"/>
        <v>7</v>
      </c>
    </row>
    <row r="1096" spans="1:5" x14ac:dyDescent="0.25">
      <c r="A1096" s="17">
        <f ca="1">INDEX(Stations,INT((ROWS(A$2:A1096)-1)/(DATE(YEAR(Invoer!$A$5),12,31)-DATE(YEAR(Invoer!$A$5),1,1)+1))+2,1)</f>
        <v>82</v>
      </c>
      <c r="B1096" t="str">
        <f ca="1">TEXT(DATE(YEAR(Invoer!$A$5),1,1)+MOD(ROWS(B$2:B1096)-1,DATE(YEAR(Invoer!$A$5),12,31)-DATE(YEAR(Invoer!$A$5),1,1)+1),"jjjjmmdd")</f>
        <v>19431231</v>
      </c>
      <c r="C1096" s="18">
        <v>1</v>
      </c>
      <c r="D1096" s="23" t="str">
        <f t="shared" ca="1" si="34"/>
        <v>—</v>
      </c>
      <c r="E1096" s="24">
        <f t="shared" ca="1" si="35"/>
        <v>7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1096"/>
  <sheetViews>
    <sheetView workbookViewId="0"/>
  </sheetViews>
  <sheetFormatPr defaultRowHeight="15" x14ac:dyDescent="0.25"/>
  <sheetData>
    <row r="1" spans="1:7" x14ac:dyDescent="0.25">
      <c r="A1" s="16" t="s">
        <v>11</v>
      </c>
      <c r="B1" s="15" t="s">
        <v>6</v>
      </c>
      <c r="C1" s="16" t="s">
        <v>15</v>
      </c>
      <c r="D1" s="16" t="s">
        <v>16</v>
      </c>
      <c r="E1" s="16" t="s">
        <v>17</v>
      </c>
      <c r="F1" s="16" t="s">
        <v>18</v>
      </c>
      <c r="G1" s="16" t="s">
        <v>19</v>
      </c>
    </row>
    <row r="2" spans="1:7" x14ac:dyDescent="0.25">
      <c r="A2" s="17">
        <f t="shared" ref="A2:A65" si="0">INDEX(Stations,2,1)</f>
        <v>81</v>
      </c>
      <c r="B2" t="str">
        <f ca="1">TEXT(DATE(YEAR(Invoer!$A$5),1,1)+INT((ROWS(B$2:B2)-1)/3),"jjjjmmdd")</f>
        <v>19430101</v>
      </c>
      <c r="C2" s="35" t="str">
        <f>INDEX(Data,2,2+MOD(ROWS(C$2:C2)-1,3))</f>
        <v>07.45</v>
      </c>
      <c r="D2" s="23" t="str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—</v>
      </c>
      <c r="E2" s="40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7</v>
      </c>
      <c r="F2" s="23" t="str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)</f>
        <v>—</v>
      </c>
      <c r="G2" s="40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7</v>
      </c>
    </row>
    <row r="3" spans="1:7" x14ac:dyDescent="0.25">
      <c r="A3" s="17">
        <f t="shared" si="0"/>
        <v>81</v>
      </c>
      <c r="B3" t="str">
        <f ca="1">TEXT(DATE(YEAR(Invoer!$A$5),1,1)+INT((ROWS(B$2:B3)-1)/3),"jjjjmmdd")</f>
        <v>19430101</v>
      </c>
      <c r="C3" s="35" t="str">
        <f>INDEX(Data,2,2+MOD(ROWS(C$2:C3)-1,3))</f>
        <v>13.45</v>
      </c>
      <c r="D3" s="23" t="str">
        <f t="shared" ca="1" si="1"/>
        <v>—</v>
      </c>
      <c r="E3" s="40">
        <f t="shared" ca="1" si="2"/>
        <v>7</v>
      </c>
      <c r="F3" s="23" t="str">
        <f t="shared" ca="1" si="3"/>
        <v>—</v>
      </c>
      <c r="G3" s="40">
        <f t="shared" ca="1" si="4"/>
        <v>7</v>
      </c>
    </row>
    <row r="4" spans="1:7" x14ac:dyDescent="0.25">
      <c r="A4" s="17">
        <f t="shared" si="0"/>
        <v>81</v>
      </c>
      <c r="B4" t="str">
        <f ca="1">TEXT(DATE(YEAR(Invoer!$A$5),1,1)+INT((ROWS(B$2:B4)-1)/3),"jjjjmmdd")</f>
        <v>19430101</v>
      </c>
      <c r="C4" s="35" t="str">
        <f>INDEX(Data,2,2+MOD(ROWS(C$2:C4)-1,3))</f>
        <v>19.45</v>
      </c>
      <c r="D4" s="23" t="str">
        <f t="shared" ca="1" si="1"/>
        <v>—</v>
      </c>
      <c r="E4" s="40">
        <f t="shared" ca="1" si="2"/>
        <v>7</v>
      </c>
      <c r="F4" s="23" t="str">
        <f t="shared" ca="1" si="3"/>
        <v>—</v>
      </c>
      <c r="G4" s="40">
        <f t="shared" ca="1" si="4"/>
        <v>7</v>
      </c>
    </row>
    <row r="5" spans="1:7" x14ac:dyDescent="0.25">
      <c r="A5" s="17">
        <f t="shared" si="0"/>
        <v>81</v>
      </c>
      <c r="B5" t="str">
        <f ca="1">TEXT(DATE(YEAR(Invoer!$A$5),1,1)+INT((ROWS(B$2:B5)-1)/3),"jjjjmmdd")</f>
        <v>19430102</v>
      </c>
      <c r="C5" s="35" t="str">
        <f>INDEX(Data,2,2+MOD(ROWS(C$2:C5)-1,3))</f>
        <v>07.45</v>
      </c>
      <c r="D5" s="23" t="str">
        <f t="shared" ca="1" si="1"/>
        <v>—</v>
      </c>
      <c r="E5" s="40">
        <f t="shared" ca="1" si="2"/>
        <v>7</v>
      </c>
      <c r="F5" s="23" t="str">
        <f t="shared" ca="1" si="3"/>
        <v>—</v>
      </c>
      <c r="G5" s="40">
        <f t="shared" ca="1" si="4"/>
        <v>7</v>
      </c>
    </row>
    <row r="6" spans="1:7" x14ac:dyDescent="0.25">
      <c r="A6" s="17">
        <f t="shared" si="0"/>
        <v>81</v>
      </c>
      <c r="B6" t="str">
        <f ca="1">TEXT(DATE(YEAR(Invoer!$A$5),1,1)+INT((ROWS(B$2:B6)-1)/3),"jjjjmmdd")</f>
        <v>19430102</v>
      </c>
      <c r="C6" s="35" t="str">
        <f>INDEX(Data,2,2+MOD(ROWS(C$2:C6)-1,3))</f>
        <v>13.45</v>
      </c>
      <c r="D6" s="23" t="str">
        <f t="shared" ca="1" si="1"/>
        <v>—</v>
      </c>
      <c r="E6" s="40">
        <f t="shared" ca="1" si="2"/>
        <v>7</v>
      </c>
      <c r="F6" s="23" t="str">
        <f t="shared" ca="1" si="3"/>
        <v>—</v>
      </c>
      <c r="G6" s="40">
        <f t="shared" ca="1" si="4"/>
        <v>7</v>
      </c>
    </row>
    <row r="7" spans="1:7" x14ac:dyDescent="0.25">
      <c r="A7" s="17">
        <f t="shared" si="0"/>
        <v>81</v>
      </c>
      <c r="B7" t="str">
        <f ca="1">TEXT(DATE(YEAR(Invoer!$A$5),1,1)+INT((ROWS(B$2:B7)-1)/3),"jjjjmmdd")</f>
        <v>19430102</v>
      </c>
      <c r="C7" s="35" t="str">
        <f>INDEX(Data,2,2+MOD(ROWS(C$2:C7)-1,3))</f>
        <v>19.45</v>
      </c>
      <c r="D7" s="23" t="str">
        <f t="shared" ca="1" si="1"/>
        <v>—</v>
      </c>
      <c r="E7" s="40">
        <f t="shared" ca="1" si="2"/>
        <v>7</v>
      </c>
      <c r="F7" s="23" t="str">
        <f t="shared" ca="1" si="3"/>
        <v>—</v>
      </c>
      <c r="G7" s="40">
        <f t="shared" ca="1" si="4"/>
        <v>7</v>
      </c>
    </row>
    <row r="8" spans="1:7" x14ac:dyDescent="0.25">
      <c r="A8" s="17">
        <f t="shared" si="0"/>
        <v>81</v>
      </c>
      <c r="B8" t="str">
        <f ca="1">TEXT(DATE(YEAR(Invoer!$A$5),1,1)+INT((ROWS(B$2:B8)-1)/3),"jjjjmmdd")</f>
        <v>19430103</v>
      </c>
      <c r="C8" s="35" t="str">
        <f>INDEX(Data,2,2+MOD(ROWS(C$2:C8)-1,3))</f>
        <v>07.45</v>
      </c>
      <c r="D8" s="23" t="str">
        <f t="shared" ca="1" si="1"/>
        <v>—</v>
      </c>
      <c r="E8" s="40">
        <f t="shared" ca="1" si="2"/>
        <v>7</v>
      </c>
      <c r="F8" s="23" t="str">
        <f t="shared" ca="1" si="3"/>
        <v>—</v>
      </c>
      <c r="G8" s="40">
        <f t="shared" ca="1" si="4"/>
        <v>7</v>
      </c>
    </row>
    <row r="9" spans="1:7" x14ac:dyDescent="0.25">
      <c r="A9" s="17">
        <f t="shared" si="0"/>
        <v>81</v>
      </c>
      <c r="B9" t="str">
        <f ca="1">TEXT(DATE(YEAR(Invoer!$A$5),1,1)+INT((ROWS(B$2:B9)-1)/3),"jjjjmmdd")</f>
        <v>19430103</v>
      </c>
      <c r="C9" s="35" t="str">
        <f>INDEX(Data,2,2+MOD(ROWS(C$2:C9)-1,3))</f>
        <v>13.45</v>
      </c>
      <c r="D9" s="23" t="str">
        <f t="shared" ca="1" si="1"/>
        <v>—</v>
      </c>
      <c r="E9" s="40">
        <f t="shared" ca="1" si="2"/>
        <v>7</v>
      </c>
      <c r="F9" s="23" t="str">
        <f t="shared" ca="1" si="3"/>
        <v>—</v>
      </c>
      <c r="G9" s="40">
        <f t="shared" ca="1" si="4"/>
        <v>7</v>
      </c>
    </row>
    <row r="10" spans="1:7" x14ac:dyDescent="0.25">
      <c r="A10" s="17">
        <f t="shared" si="0"/>
        <v>81</v>
      </c>
      <c r="B10" t="str">
        <f ca="1">TEXT(DATE(YEAR(Invoer!$A$5),1,1)+INT((ROWS(B$2:B10)-1)/3),"jjjjmmdd")</f>
        <v>19430103</v>
      </c>
      <c r="C10" s="35" t="str">
        <f>INDEX(Data,2,2+MOD(ROWS(C$2:C10)-1,3))</f>
        <v>19.45</v>
      </c>
      <c r="D10" s="23" t="str">
        <f t="shared" ca="1" si="1"/>
        <v>—</v>
      </c>
      <c r="E10" s="40">
        <f t="shared" ca="1" si="2"/>
        <v>7</v>
      </c>
      <c r="F10" s="23" t="str">
        <f t="shared" ca="1" si="3"/>
        <v>—</v>
      </c>
      <c r="G10" s="40">
        <f t="shared" ca="1" si="4"/>
        <v>7</v>
      </c>
    </row>
    <row r="11" spans="1:7" x14ac:dyDescent="0.25">
      <c r="A11" s="17">
        <f t="shared" si="0"/>
        <v>81</v>
      </c>
      <c r="B11" t="str">
        <f ca="1">TEXT(DATE(YEAR(Invoer!$A$5),1,1)+INT((ROWS(B$2:B11)-1)/3),"jjjjmmdd")</f>
        <v>19430104</v>
      </c>
      <c r="C11" s="35" t="str">
        <f>INDEX(Data,2,2+MOD(ROWS(C$2:C11)-1,3))</f>
        <v>07.45</v>
      </c>
      <c r="D11" s="23" t="str">
        <f t="shared" ca="1" si="1"/>
        <v>—</v>
      </c>
      <c r="E11" s="40">
        <f t="shared" ca="1" si="2"/>
        <v>7</v>
      </c>
      <c r="F11" s="23" t="str">
        <f t="shared" ca="1" si="3"/>
        <v>—</v>
      </c>
      <c r="G11" s="40">
        <f t="shared" ca="1" si="4"/>
        <v>7</v>
      </c>
    </row>
    <row r="12" spans="1:7" x14ac:dyDescent="0.25">
      <c r="A12" s="17">
        <f t="shared" si="0"/>
        <v>81</v>
      </c>
      <c r="B12" t="str">
        <f ca="1">TEXT(DATE(YEAR(Invoer!$A$5),1,1)+INT((ROWS(B$2:B12)-1)/3),"jjjjmmdd")</f>
        <v>19430104</v>
      </c>
      <c r="C12" s="35" t="str">
        <f>INDEX(Data,2,2+MOD(ROWS(C$2:C12)-1,3))</f>
        <v>13.45</v>
      </c>
      <c r="D12" s="23" t="str">
        <f t="shared" ca="1" si="1"/>
        <v>—</v>
      </c>
      <c r="E12" s="40">
        <f t="shared" ca="1" si="2"/>
        <v>7</v>
      </c>
      <c r="F12" s="23" t="str">
        <f t="shared" ca="1" si="3"/>
        <v>—</v>
      </c>
      <c r="G12" s="40">
        <f t="shared" ca="1" si="4"/>
        <v>7</v>
      </c>
    </row>
    <row r="13" spans="1:7" x14ac:dyDescent="0.25">
      <c r="A13" s="17">
        <f t="shared" si="0"/>
        <v>81</v>
      </c>
      <c r="B13" t="str">
        <f ca="1">TEXT(DATE(YEAR(Invoer!$A$5),1,1)+INT((ROWS(B$2:B13)-1)/3),"jjjjmmdd")</f>
        <v>19430104</v>
      </c>
      <c r="C13" s="35" t="str">
        <f>INDEX(Data,2,2+MOD(ROWS(C$2:C13)-1,3))</f>
        <v>19.45</v>
      </c>
      <c r="D13" s="23" t="str">
        <f t="shared" ca="1" si="1"/>
        <v>—</v>
      </c>
      <c r="E13" s="40">
        <f t="shared" ca="1" si="2"/>
        <v>7</v>
      </c>
      <c r="F13" s="23" t="str">
        <f t="shared" ca="1" si="3"/>
        <v>—</v>
      </c>
      <c r="G13" s="40">
        <f t="shared" ca="1" si="4"/>
        <v>7</v>
      </c>
    </row>
    <row r="14" spans="1:7" x14ac:dyDescent="0.25">
      <c r="A14" s="17">
        <f t="shared" si="0"/>
        <v>81</v>
      </c>
      <c r="B14" t="str">
        <f ca="1">TEXT(DATE(YEAR(Invoer!$A$5),1,1)+INT((ROWS(B$2:B14)-1)/3),"jjjjmmdd")</f>
        <v>19430105</v>
      </c>
      <c r="C14" s="35" t="str">
        <f>INDEX(Data,2,2+MOD(ROWS(C$2:C14)-1,3))</f>
        <v>07.45</v>
      </c>
      <c r="D14" s="23" t="str">
        <f t="shared" ca="1" si="1"/>
        <v>—</v>
      </c>
      <c r="E14" s="40">
        <f t="shared" ca="1" si="2"/>
        <v>7</v>
      </c>
      <c r="F14" s="23" t="str">
        <f t="shared" ca="1" si="3"/>
        <v>—</v>
      </c>
      <c r="G14" s="40">
        <f t="shared" ca="1" si="4"/>
        <v>7</v>
      </c>
    </row>
    <row r="15" spans="1:7" x14ac:dyDescent="0.25">
      <c r="A15" s="17">
        <f t="shared" si="0"/>
        <v>81</v>
      </c>
      <c r="B15" t="str">
        <f ca="1">TEXT(DATE(YEAR(Invoer!$A$5),1,1)+INT((ROWS(B$2:B15)-1)/3),"jjjjmmdd")</f>
        <v>19430105</v>
      </c>
      <c r="C15" s="35" t="str">
        <f>INDEX(Data,2,2+MOD(ROWS(C$2:C15)-1,3))</f>
        <v>13.45</v>
      </c>
      <c r="D15" s="23" t="str">
        <f t="shared" ca="1" si="1"/>
        <v>—</v>
      </c>
      <c r="E15" s="40">
        <f t="shared" ca="1" si="2"/>
        <v>7</v>
      </c>
      <c r="F15" s="23" t="str">
        <f t="shared" ca="1" si="3"/>
        <v>—</v>
      </c>
      <c r="G15" s="40">
        <f t="shared" ca="1" si="4"/>
        <v>7</v>
      </c>
    </row>
    <row r="16" spans="1:7" x14ac:dyDescent="0.25">
      <c r="A16" s="17">
        <f t="shared" si="0"/>
        <v>81</v>
      </c>
      <c r="B16" t="str">
        <f ca="1">TEXT(DATE(YEAR(Invoer!$A$5),1,1)+INT((ROWS(B$2:B16)-1)/3),"jjjjmmdd")</f>
        <v>19430105</v>
      </c>
      <c r="C16" s="35" t="str">
        <f>INDEX(Data,2,2+MOD(ROWS(C$2:C16)-1,3))</f>
        <v>19.45</v>
      </c>
      <c r="D16" s="23" t="str">
        <f t="shared" ca="1" si="1"/>
        <v>—</v>
      </c>
      <c r="E16" s="40">
        <f t="shared" ca="1" si="2"/>
        <v>7</v>
      </c>
      <c r="F16" s="23" t="str">
        <f t="shared" ca="1" si="3"/>
        <v>—</v>
      </c>
      <c r="G16" s="40">
        <f t="shared" ca="1" si="4"/>
        <v>7</v>
      </c>
    </row>
    <row r="17" spans="1:7" x14ac:dyDescent="0.25">
      <c r="A17" s="17">
        <f t="shared" si="0"/>
        <v>81</v>
      </c>
      <c r="B17" t="str">
        <f ca="1">TEXT(DATE(YEAR(Invoer!$A$5),1,1)+INT((ROWS(B$2:B17)-1)/3),"jjjjmmdd")</f>
        <v>19430106</v>
      </c>
      <c r="C17" s="35" t="str">
        <f>INDEX(Data,2,2+MOD(ROWS(C$2:C17)-1,3))</f>
        <v>07.45</v>
      </c>
      <c r="D17" s="23" t="str">
        <f t="shared" ca="1" si="1"/>
        <v>—</v>
      </c>
      <c r="E17" s="40">
        <f t="shared" ca="1" si="2"/>
        <v>7</v>
      </c>
      <c r="F17" s="23" t="str">
        <f t="shared" ca="1" si="3"/>
        <v>—</v>
      </c>
      <c r="G17" s="40">
        <f t="shared" ca="1" si="4"/>
        <v>7</v>
      </c>
    </row>
    <row r="18" spans="1:7" x14ac:dyDescent="0.25">
      <c r="A18" s="17">
        <f t="shared" si="0"/>
        <v>81</v>
      </c>
      <c r="B18" t="str">
        <f ca="1">TEXT(DATE(YEAR(Invoer!$A$5),1,1)+INT((ROWS(B$2:B18)-1)/3),"jjjjmmdd")</f>
        <v>19430106</v>
      </c>
      <c r="C18" s="35" t="str">
        <f>INDEX(Data,2,2+MOD(ROWS(C$2:C18)-1,3))</f>
        <v>13.45</v>
      </c>
      <c r="D18" s="23" t="str">
        <f t="shared" ca="1" si="1"/>
        <v>—</v>
      </c>
      <c r="E18" s="40">
        <f t="shared" ca="1" si="2"/>
        <v>7</v>
      </c>
      <c r="F18" s="23" t="str">
        <f t="shared" ca="1" si="3"/>
        <v>—</v>
      </c>
      <c r="G18" s="40">
        <f t="shared" ca="1" si="4"/>
        <v>7</v>
      </c>
    </row>
    <row r="19" spans="1:7" x14ac:dyDescent="0.25">
      <c r="A19" s="17">
        <f t="shared" si="0"/>
        <v>81</v>
      </c>
      <c r="B19" t="str">
        <f ca="1">TEXT(DATE(YEAR(Invoer!$A$5),1,1)+INT((ROWS(B$2:B19)-1)/3),"jjjjmmdd")</f>
        <v>19430106</v>
      </c>
      <c r="C19" s="35" t="str">
        <f>INDEX(Data,2,2+MOD(ROWS(C$2:C19)-1,3))</f>
        <v>19.45</v>
      </c>
      <c r="D19" s="23" t="str">
        <f t="shared" ca="1" si="1"/>
        <v>—</v>
      </c>
      <c r="E19" s="40">
        <f t="shared" ca="1" si="2"/>
        <v>7</v>
      </c>
      <c r="F19" s="23" t="str">
        <f t="shared" ca="1" si="3"/>
        <v>—</v>
      </c>
      <c r="G19" s="40">
        <f t="shared" ca="1" si="4"/>
        <v>7</v>
      </c>
    </row>
    <row r="20" spans="1:7" x14ac:dyDescent="0.25">
      <c r="A20" s="17">
        <f t="shared" si="0"/>
        <v>81</v>
      </c>
      <c r="B20" t="str">
        <f ca="1">TEXT(DATE(YEAR(Invoer!$A$5),1,1)+INT((ROWS(B$2:B20)-1)/3),"jjjjmmdd")</f>
        <v>19430107</v>
      </c>
      <c r="C20" s="35" t="str">
        <f>INDEX(Data,2,2+MOD(ROWS(C$2:C20)-1,3))</f>
        <v>07.45</v>
      </c>
      <c r="D20" s="23" t="str">
        <f t="shared" ca="1" si="1"/>
        <v>—</v>
      </c>
      <c r="E20" s="40">
        <f t="shared" ca="1" si="2"/>
        <v>7</v>
      </c>
      <c r="F20" s="23" t="str">
        <f t="shared" ca="1" si="3"/>
        <v>—</v>
      </c>
      <c r="G20" s="40">
        <f t="shared" ca="1" si="4"/>
        <v>7</v>
      </c>
    </row>
    <row r="21" spans="1:7" x14ac:dyDescent="0.25">
      <c r="A21" s="17">
        <f t="shared" si="0"/>
        <v>81</v>
      </c>
      <c r="B21" t="str">
        <f ca="1">TEXT(DATE(YEAR(Invoer!$A$5),1,1)+INT((ROWS(B$2:B21)-1)/3),"jjjjmmdd")</f>
        <v>19430107</v>
      </c>
      <c r="C21" s="35" t="str">
        <f>INDEX(Data,2,2+MOD(ROWS(C$2:C21)-1,3))</f>
        <v>13.45</v>
      </c>
      <c r="D21" s="23" t="str">
        <f t="shared" ca="1" si="1"/>
        <v>—</v>
      </c>
      <c r="E21" s="40">
        <f t="shared" ca="1" si="2"/>
        <v>7</v>
      </c>
      <c r="F21" s="23" t="str">
        <f t="shared" ca="1" si="3"/>
        <v>—</v>
      </c>
      <c r="G21" s="40">
        <f t="shared" ca="1" si="4"/>
        <v>7</v>
      </c>
    </row>
    <row r="22" spans="1:7" x14ac:dyDescent="0.25">
      <c r="A22" s="17">
        <f t="shared" si="0"/>
        <v>81</v>
      </c>
      <c r="B22" t="str">
        <f ca="1">TEXT(DATE(YEAR(Invoer!$A$5),1,1)+INT((ROWS(B$2:B22)-1)/3),"jjjjmmdd")</f>
        <v>19430107</v>
      </c>
      <c r="C22" s="35" t="str">
        <f>INDEX(Data,2,2+MOD(ROWS(C$2:C22)-1,3))</f>
        <v>19.45</v>
      </c>
      <c r="D22" s="23" t="str">
        <f t="shared" ca="1" si="1"/>
        <v>—</v>
      </c>
      <c r="E22" s="40">
        <f t="shared" ca="1" si="2"/>
        <v>7</v>
      </c>
      <c r="F22" s="23" t="str">
        <f t="shared" ca="1" si="3"/>
        <v>—</v>
      </c>
      <c r="G22" s="40">
        <f t="shared" ca="1" si="4"/>
        <v>7</v>
      </c>
    </row>
    <row r="23" spans="1:7" x14ac:dyDescent="0.25">
      <c r="A23" s="17">
        <f t="shared" si="0"/>
        <v>81</v>
      </c>
      <c r="B23" t="str">
        <f ca="1">TEXT(DATE(YEAR(Invoer!$A$5),1,1)+INT((ROWS(B$2:B23)-1)/3),"jjjjmmdd")</f>
        <v>19430108</v>
      </c>
      <c r="C23" s="35" t="str">
        <f>INDEX(Data,2,2+MOD(ROWS(C$2:C23)-1,3))</f>
        <v>07.45</v>
      </c>
      <c r="D23" s="23" t="str">
        <f t="shared" ca="1" si="1"/>
        <v>—</v>
      </c>
      <c r="E23" s="40">
        <f t="shared" ca="1" si="2"/>
        <v>7</v>
      </c>
      <c r="F23" s="23" t="str">
        <f t="shared" ca="1" si="3"/>
        <v>—</v>
      </c>
      <c r="G23" s="40">
        <f t="shared" ca="1" si="4"/>
        <v>7</v>
      </c>
    </row>
    <row r="24" spans="1:7" x14ac:dyDescent="0.25">
      <c r="A24" s="17">
        <f t="shared" si="0"/>
        <v>81</v>
      </c>
      <c r="B24" t="str">
        <f ca="1">TEXT(DATE(YEAR(Invoer!$A$5),1,1)+INT((ROWS(B$2:B24)-1)/3),"jjjjmmdd")</f>
        <v>19430108</v>
      </c>
      <c r="C24" s="35" t="str">
        <f>INDEX(Data,2,2+MOD(ROWS(C$2:C24)-1,3))</f>
        <v>13.45</v>
      </c>
      <c r="D24" s="23" t="str">
        <f t="shared" ca="1" si="1"/>
        <v>—</v>
      </c>
      <c r="E24" s="40">
        <f t="shared" ca="1" si="2"/>
        <v>7</v>
      </c>
      <c r="F24" s="23" t="str">
        <f t="shared" ca="1" si="3"/>
        <v>—</v>
      </c>
      <c r="G24" s="40">
        <f t="shared" ca="1" si="4"/>
        <v>7</v>
      </c>
    </row>
    <row r="25" spans="1:7" x14ac:dyDescent="0.25">
      <c r="A25" s="17">
        <f t="shared" si="0"/>
        <v>81</v>
      </c>
      <c r="B25" t="str">
        <f ca="1">TEXT(DATE(YEAR(Invoer!$A$5),1,1)+INT((ROWS(B$2:B25)-1)/3),"jjjjmmdd")</f>
        <v>19430108</v>
      </c>
      <c r="C25" s="35" t="str">
        <f>INDEX(Data,2,2+MOD(ROWS(C$2:C25)-1,3))</f>
        <v>19.45</v>
      </c>
      <c r="D25" s="23" t="str">
        <f t="shared" ca="1" si="1"/>
        <v>—</v>
      </c>
      <c r="E25" s="40">
        <f t="shared" ca="1" si="2"/>
        <v>7</v>
      </c>
      <c r="F25" s="23" t="str">
        <f t="shared" ca="1" si="3"/>
        <v>—</v>
      </c>
      <c r="G25" s="40">
        <f t="shared" ca="1" si="4"/>
        <v>7</v>
      </c>
    </row>
    <row r="26" spans="1:7" x14ac:dyDescent="0.25">
      <c r="A26" s="17">
        <f t="shared" si="0"/>
        <v>81</v>
      </c>
      <c r="B26" t="str">
        <f ca="1">TEXT(DATE(YEAR(Invoer!$A$5),1,1)+INT((ROWS(B$2:B26)-1)/3),"jjjjmmdd")</f>
        <v>19430109</v>
      </c>
      <c r="C26" s="35" t="str">
        <f>INDEX(Data,2,2+MOD(ROWS(C$2:C26)-1,3))</f>
        <v>07.45</v>
      </c>
      <c r="D26" s="23" t="str">
        <f t="shared" ca="1" si="1"/>
        <v>—</v>
      </c>
      <c r="E26" s="40">
        <f t="shared" ca="1" si="2"/>
        <v>7</v>
      </c>
      <c r="F26" s="23" t="str">
        <f t="shared" ca="1" si="3"/>
        <v>—</v>
      </c>
      <c r="G26" s="40">
        <f t="shared" ca="1" si="4"/>
        <v>7</v>
      </c>
    </row>
    <row r="27" spans="1:7" x14ac:dyDescent="0.25">
      <c r="A27" s="17">
        <f t="shared" si="0"/>
        <v>81</v>
      </c>
      <c r="B27" t="str">
        <f ca="1">TEXT(DATE(YEAR(Invoer!$A$5),1,1)+INT((ROWS(B$2:B27)-1)/3),"jjjjmmdd")</f>
        <v>19430109</v>
      </c>
      <c r="C27" s="35" t="str">
        <f>INDEX(Data,2,2+MOD(ROWS(C$2:C27)-1,3))</f>
        <v>13.45</v>
      </c>
      <c r="D27" s="23" t="str">
        <f t="shared" ca="1" si="1"/>
        <v>—</v>
      </c>
      <c r="E27" s="40">
        <f t="shared" ca="1" si="2"/>
        <v>7</v>
      </c>
      <c r="F27" s="23" t="str">
        <f t="shared" ca="1" si="3"/>
        <v>—</v>
      </c>
      <c r="G27" s="40">
        <f t="shared" ca="1" si="4"/>
        <v>7</v>
      </c>
    </row>
    <row r="28" spans="1:7" x14ac:dyDescent="0.25">
      <c r="A28" s="17">
        <f t="shared" si="0"/>
        <v>81</v>
      </c>
      <c r="B28" t="str">
        <f ca="1">TEXT(DATE(YEAR(Invoer!$A$5),1,1)+INT((ROWS(B$2:B28)-1)/3),"jjjjmmdd")</f>
        <v>19430109</v>
      </c>
      <c r="C28" s="35" t="str">
        <f>INDEX(Data,2,2+MOD(ROWS(C$2:C28)-1,3))</f>
        <v>19.45</v>
      </c>
      <c r="D28" s="23" t="str">
        <f t="shared" ca="1" si="1"/>
        <v>—</v>
      </c>
      <c r="E28" s="40">
        <f t="shared" ca="1" si="2"/>
        <v>7</v>
      </c>
      <c r="F28" s="23" t="str">
        <f t="shared" ca="1" si="3"/>
        <v>—</v>
      </c>
      <c r="G28" s="40">
        <f t="shared" ca="1" si="4"/>
        <v>7</v>
      </c>
    </row>
    <row r="29" spans="1:7" x14ac:dyDescent="0.25">
      <c r="A29" s="17">
        <f t="shared" si="0"/>
        <v>81</v>
      </c>
      <c r="B29" t="str">
        <f ca="1">TEXT(DATE(YEAR(Invoer!$A$5),1,1)+INT((ROWS(B$2:B29)-1)/3),"jjjjmmdd")</f>
        <v>19430110</v>
      </c>
      <c r="C29" s="35" t="str">
        <f>INDEX(Data,2,2+MOD(ROWS(C$2:C29)-1,3))</f>
        <v>07.45</v>
      </c>
      <c r="D29" s="23" t="str">
        <f t="shared" ca="1" si="1"/>
        <v>—</v>
      </c>
      <c r="E29" s="40">
        <f t="shared" ca="1" si="2"/>
        <v>7</v>
      </c>
      <c r="F29" s="23" t="str">
        <f t="shared" ca="1" si="3"/>
        <v>—</v>
      </c>
      <c r="G29" s="40">
        <f t="shared" ca="1" si="4"/>
        <v>7</v>
      </c>
    </row>
    <row r="30" spans="1:7" x14ac:dyDescent="0.25">
      <c r="A30" s="17">
        <f t="shared" si="0"/>
        <v>81</v>
      </c>
      <c r="B30" t="str">
        <f ca="1">TEXT(DATE(YEAR(Invoer!$A$5),1,1)+INT((ROWS(B$2:B30)-1)/3),"jjjjmmdd")</f>
        <v>19430110</v>
      </c>
      <c r="C30" s="35" t="str">
        <f>INDEX(Data,2,2+MOD(ROWS(C$2:C30)-1,3))</f>
        <v>13.45</v>
      </c>
      <c r="D30" s="23" t="str">
        <f t="shared" ca="1" si="1"/>
        <v>—</v>
      </c>
      <c r="E30" s="40">
        <f t="shared" ca="1" si="2"/>
        <v>7</v>
      </c>
      <c r="F30" s="23" t="str">
        <f t="shared" ca="1" si="3"/>
        <v>—</v>
      </c>
      <c r="G30" s="40">
        <f t="shared" ca="1" si="4"/>
        <v>7</v>
      </c>
    </row>
    <row r="31" spans="1:7" x14ac:dyDescent="0.25">
      <c r="A31" s="17">
        <f t="shared" si="0"/>
        <v>81</v>
      </c>
      <c r="B31" t="str">
        <f ca="1">TEXT(DATE(YEAR(Invoer!$A$5),1,1)+INT((ROWS(B$2:B31)-1)/3),"jjjjmmdd")</f>
        <v>19430110</v>
      </c>
      <c r="C31" s="35" t="str">
        <f>INDEX(Data,2,2+MOD(ROWS(C$2:C31)-1,3))</f>
        <v>19.45</v>
      </c>
      <c r="D31" s="23" t="str">
        <f t="shared" ca="1" si="1"/>
        <v>—</v>
      </c>
      <c r="E31" s="40">
        <f t="shared" ca="1" si="2"/>
        <v>7</v>
      </c>
      <c r="F31" s="23" t="str">
        <f t="shared" ca="1" si="3"/>
        <v>—</v>
      </c>
      <c r="G31" s="40">
        <f t="shared" ca="1" si="4"/>
        <v>7</v>
      </c>
    </row>
    <row r="32" spans="1:7" x14ac:dyDescent="0.25">
      <c r="A32" s="17">
        <f t="shared" si="0"/>
        <v>81</v>
      </c>
      <c r="B32" t="str">
        <f ca="1">TEXT(DATE(YEAR(Invoer!$A$5),1,1)+INT((ROWS(B$2:B32)-1)/3),"jjjjmmdd")</f>
        <v>19430111</v>
      </c>
      <c r="C32" s="35" t="str">
        <f>INDEX(Data,2,2+MOD(ROWS(C$2:C32)-1,3))</f>
        <v>07.45</v>
      </c>
      <c r="D32" s="23" t="str">
        <f t="shared" ca="1" si="1"/>
        <v>—</v>
      </c>
      <c r="E32" s="40">
        <f t="shared" ca="1" si="2"/>
        <v>7</v>
      </c>
      <c r="F32" s="23" t="str">
        <f t="shared" ca="1" si="3"/>
        <v>—</v>
      </c>
      <c r="G32" s="40">
        <f t="shared" ca="1" si="4"/>
        <v>7</v>
      </c>
    </row>
    <row r="33" spans="1:7" x14ac:dyDescent="0.25">
      <c r="A33" s="17">
        <f t="shared" si="0"/>
        <v>81</v>
      </c>
      <c r="B33" t="str">
        <f ca="1">TEXT(DATE(YEAR(Invoer!$A$5),1,1)+INT((ROWS(B$2:B33)-1)/3),"jjjjmmdd")</f>
        <v>19430111</v>
      </c>
      <c r="C33" s="35" t="str">
        <f>INDEX(Data,2,2+MOD(ROWS(C$2:C33)-1,3))</f>
        <v>13.45</v>
      </c>
      <c r="D33" s="23" t="str">
        <f t="shared" ca="1" si="1"/>
        <v>—</v>
      </c>
      <c r="E33" s="40">
        <f t="shared" ca="1" si="2"/>
        <v>7</v>
      </c>
      <c r="F33" s="23" t="str">
        <f t="shared" ca="1" si="3"/>
        <v>—</v>
      </c>
      <c r="G33" s="40">
        <f t="shared" ca="1" si="4"/>
        <v>7</v>
      </c>
    </row>
    <row r="34" spans="1:7" x14ac:dyDescent="0.25">
      <c r="A34" s="17">
        <f t="shared" si="0"/>
        <v>81</v>
      </c>
      <c r="B34" t="str">
        <f ca="1">TEXT(DATE(YEAR(Invoer!$A$5),1,1)+INT((ROWS(B$2:B34)-1)/3),"jjjjmmdd")</f>
        <v>19430111</v>
      </c>
      <c r="C34" s="35" t="str">
        <f>INDEX(Data,2,2+MOD(ROWS(C$2:C34)-1,3))</f>
        <v>19.45</v>
      </c>
      <c r="D34" s="23" t="str">
        <f t="shared" ca="1" si="1"/>
        <v>—</v>
      </c>
      <c r="E34" s="40">
        <f t="shared" ca="1" si="2"/>
        <v>7</v>
      </c>
      <c r="F34" s="23" t="str">
        <f t="shared" ca="1" si="3"/>
        <v>—</v>
      </c>
      <c r="G34" s="40">
        <f t="shared" ca="1" si="4"/>
        <v>7</v>
      </c>
    </row>
    <row r="35" spans="1:7" x14ac:dyDescent="0.25">
      <c r="A35" s="17">
        <f t="shared" si="0"/>
        <v>81</v>
      </c>
      <c r="B35" t="str">
        <f ca="1">TEXT(DATE(YEAR(Invoer!$A$5),1,1)+INT((ROWS(B$2:B35)-1)/3),"jjjjmmdd")</f>
        <v>19430112</v>
      </c>
      <c r="C35" s="35" t="str">
        <f>INDEX(Data,2,2+MOD(ROWS(C$2:C35)-1,3))</f>
        <v>07.45</v>
      </c>
      <c r="D35" s="23" t="str">
        <f t="shared" ca="1" si="1"/>
        <v>—</v>
      </c>
      <c r="E35" s="40">
        <f t="shared" ca="1" si="2"/>
        <v>7</v>
      </c>
      <c r="F35" s="23" t="str">
        <f t="shared" ca="1" si="3"/>
        <v>—</v>
      </c>
      <c r="G35" s="40">
        <f t="shared" ca="1" si="4"/>
        <v>7</v>
      </c>
    </row>
    <row r="36" spans="1:7" x14ac:dyDescent="0.25">
      <c r="A36" s="17">
        <f t="shared" si="0"/>
        <v>81</v>
      </c>
      <c r="B36" t="str">
        <f ca="1">TEXT(DATE(YEAR(Invoer!$A$5),1,1)+INT((ROWS(B$2:B36)-1)/3),"jjjjmmdd")</f>
        <v>19430112</v>
      </c>
      <c r="C36" s="35" t="str">
        <f>INDEX(Data,2,2+MOD(ROWS(C$2:C36)-1,3))</f>
        <v>13.45</v>
      </c>
      <c r="D36" s="23" t="str">
        <f t="shared" ca="1" si="1"/>
        <v>—</v>
      </c>
      <c r="E36" s="40">
        <f t="shared" ca="1" si="2"/>
        <v>7</v>
      </c>
      <c r="F36" s="23" t="str">
        <f t="shared" ca="1" si="3"/>
        <v>—</v>
      </c>
      <c r="G36" s="40">
        <f t="shared" ca="1" si="4"/>
        <v>7</v>
      </c>
    </row>
    <row r="37" spans="1:7" x14ac:dyDescent="0.25">
      <c r="A37" s="17">
        <f t="shared" si="0"/>
        <v>81</v>
      </c>
      <c r="B37" t="str">
        <f ca="1">TEXT(DATE(YEAR(Invoer!$A$5),1,1)+INT((ROWS(B$2:B37)-1)/3),"jjjjmmdd")</f>
        <v>19430112</v>
      </c>
      <c r="C37" s="35" t="str">
        <f>INDEX(Data,2,2+MOD(ROWS(C$2:C37)-1,3))</f>
        <v>19.45</v>
      </c>
      <c r="D37" s="23" t="str">
        <f t="shared" ca="1" si="1"/>
        <v>—</v>
      </c>
      <c r="E37" s="40">
        <f t="shared" ca="1" si="2"/>
        <v>7</v>
      </c>
      <c r="F37" s="23" t="str">
        <f t="shared" ca="1" si="3"/>
        <v>—</v>
      </c>
      <c r="G37" s="40">
        <f t="shared" ca="1" si="4"/>
        <v>7</v>
      </c>
    </row>
    <row r="38" spans="1:7" x14ac:dyDescent="0.25">
      <c r="A38" s="17">
        <f t="shared" si="0"/>
        <v>81</v>
      </c>
      <c r="B38" t="str">
        <f ca="1">TEXT(DATE(YEAR(Invoer!$A$5),1,1)+INT((ROWS(B$2:B38)-1)/3),"jjjjmmdd")</f>
        <v>19430113</v>
      </c>
      <c r="C38" s="35" t="str">
        <f>INDEX(Data,2,2+MOD(ROWS(C$2:C38)-1,3))</f>
        <v>07.45</v>
      </c>
      <c r="D38" s="23" t="str">
        <f t="shared" ca="1" si="1"/>
        <v>—</v>
      </c>
      <c r="E38" s="40">
        <f t="shared" ca="1" si="2"/>
        <v>7</v>
      </c>
      <c r="F38" s="23" t="str">
        <f t="shared" ca="1" si="3"/>
        <v>—</v>
      </c>
      <c r="G38" s="40">
        <f t="shared" ca="1" si="4"/>
        <v>7</v>
      </c>
    </row>
    <row r="39" spans="1:7" x14ac:dyDescent="0.25">
      <c r="A39" s="17">
        <f t="shared" si="0"/>
        <v>81</v>
      </c>
      <c r="B39" t="str">
        <f ca="1">TEXT(DATE(YEAR(Invoer!$A$5),1,1)+INT((ROWS(B$2:B39)-1)/3),"jjjjmmdd")</f>
        <v>19430113</v>
      </c>
      <c r="C39" s="35" t="str">
        <f>INDEX(Data,2,2+MOD(ROWS(C$2:C39)-1,3))</f>
        <v>13.45</v>
      </c>
      <c r="D39" s="23" t="str">
        <f t="shared" ca="1" si="1"/>
        <v>—</v>
      </c>
      <c r="E39" s="40">
        <f t="shared" ca="1" si="2"/>
        <v>7</v>
      </c>
      <c r="F39" s="23" t="str">
        <f t="shared" ca="1" si="3"/>
        <v>—</v>
      </c>
      <c r="G39" s="40">
        <f t="shared" ca="1" si="4"/>
        <v>7</v>
      </c>
    </row>
    <row r="40" spans="1:7" x14ac:dyDescent="0.25">
      <c r="A40" s="17">
        <f t="shared" si="0"/>
        <v>81</v>
      </c>
      <c r="B40" t="str">
        <f ca="1">TEXT(DATE(YEAR(Invoer!$A$5),1,1)+INT((ROWS(B$2:B40)-1)/3),"jjjjmmdd")</f>
        <v>19430113</v>
      </c>
      <c r="C40" s="35" t="str">
        <f>INDEX(Data,2,2+MOD(ROWS(C$2:C40)-1,3))</f>
        <v>19.45</v>
      </c>
      <c r="D40" s="23" t="str">
        <f t="shared" ca="1" si="1"/>
        <v>—</v>
      </c>
      <c r="E40" s="40">
        <f t="shared" ca="1" si="2"/>
        <v>7</v>
      </c>
      <c r="F40" s="23" t="str">
        <f t="shared" ca="1" si="3"/>
        <v>—</v>
      </c>
      <c r="G40" s="40">
        <f t="shared" ca="1" si="4"/>
        <v>7</v>
      </c>
    </row>
    <row r="41" spans="1:7" x14ac:dyDescent="0.25">
      <c r="A41" s="17">
        <f t="shared" si="0"/>
        <v>81</v>
      </c>
      <c r="B41" t="str">
        <f ca="1">TEXT(DATE(YEAR(Invoer!$A$5),1,1)+INT((ROWS(B$2:B41)-1)/3),"jjjjmmdd")</f>
        <v>19430114</v>
      </c>
      <c r="C41" s="35" t="str">
        <f>INDEX(Data,2,2+MOD(ROWS(C$2:C41)-1,3))</f>
        <v>07.45</v>
      </c>
      <c r="D41" s="23" t="str">
        <f t="shared" ca="1" si="1"/>
        <v>—</v>
      </c>
      <c r="E41" s="40">
        <f t="shared" ca="1" si="2"/>
        <v>7</v>
      </c>
      <c r="F41" s="23" t="str">
        <f t="shared" ca="1" si="3"/>
        <v>—</v>
      </c>
      <c r="G41" s="40">
        <f t="shared" ca="1" si="4"/>
        <v>7</v>
      </c>
    </row>
    <row r="42" spans="1:7" x14ac:dyDescent="0.25">
      <c r="A42" s="17">
        <f t="shared" si="0"/>
        <v>81</v>
      </c>
      <c r="B42" t="str">
        <f ca="1">TEXT(DATE(YEAR(Invoer!$A$5),1,1)+INT((ROWS(B$2:B42)-1)/3),"jjjjmmdd")</f>
        <v>19430114</v>
      </c>
      <c r="C42" s="35" t="str">
        <f>INDEX(Data,2,2+MOD(ROWS(C$2:C42)-1,3))</f>
        <v>13.45</v>
      </c>
      <c r="D42" s="23" t="str">
        <f t="shared" ca="1" si="1"/>
        <v>—</v>
      </c>
      <c r="E42" s="40">
        <f t="shared" ca="1" si="2"/>
        <v>7</v>
      </c>
      <c r="F42" s="23" t="str">
        <f t="shared" ca="1" si="3"/>
        <v>—</v>
      </c>
      <c r="G42" s="40">
        <f t="shared" ca="1" si="4"/>
        <v>7</v>
      </c>
    </row>
    <row r="43" spans="1:7" x14ac:dyDescent="0.25">
      <c r="A43" s="17">
        <f t="shared" si="0"/>
        <v>81</v>
      </c>
      <c r="B43" t="str">
        <f ca="1">TEXT(DATE(YEAR(Invoer!$A$5),1,1)+INT((ROWS(B$2:B43)-1)/3),"jjjjmmdd")</f>
        <v>19430114</v>
      </c>
      <c r="C43" s="35" t="str">
        <f>INDEX(Data,2,2+MOD(ROWS(C$2:C43)-1,3))</f>
        <v>19.45</v>
      </c>
      <c r="D43" s="23" t="str">
        <f t="shared" ca="1" si="1"/>
        <v>—</v>
      </c>
      <c r="E43" s="40">
        <f t="shared" ca="1" si="2"/>
        <v>7</v>
      </c>
      <c r="F43" s="23" t="str">
        <f t="shared" ca="1" si="3"/>
        <v>—</v>
      </c>
      <c r="G43" s="40">
        <f t="shared" ca="1" si="4"/>
        <v>7</v>
      </c>
    </row>
    <row r="44" spans="1:7" x14ac:dyDescent="0.25">
      <c r="A44" s="17">
        <f t="shared" si="0"/>
        <v>81</v>
      </c>
      <c r="B44" t="str">
        <f ca="1">TEXT(DATE(YEAR(Invoer!$A$5),1,1)+INT((ROWS(B$2:B44)-1)/3),"jjjjmmdd")</f>
        <v>19430115</v>
      </c>
      <c r="C44" s="35" t="str">
        <f>INDEX(Data,2,2+MOD(ROWS(C$2:C44)-1,3))</f>
        <v>07.45</v>
      </c>
      <c r="D44" s="23" t="str">
        <f t="shared" ca="1" si="1"/>
        <v>—</v>
      </c>
      <c r="E44" s="40">
        <f t="shared" ca="1" si="2"/>
        <v>7</v>
      </c>
      <c r="F44" s="23" t="str">
        <f t="shared" ca="1" si="3"/>
        <v>—</v>
      </c>
      <c r="G44" s="40">
        <f t="shared" ca="1" si="4"/>
        <v>7</v>
      </c>
    </row>
    <row r="45" spans="1:7" x14ac:dyDescent="0.25">
      <c r="A45" s="17">
        <f t="shared" si="0"/>
        <v>81</v>
      </c>
      <c r="B45" t="str">
        <f ca="1">TEXT(DATE(YEAR(Invoer!$A$5),1,1)+INT((ROWS(B$2:B45)-1)/3),"jjjjmmdd")</f>
        <v>19430115</v>
      </c>
      <c r="C45" s="35" t="str">
        <f>INDEX(Data,2,2+MOD(ROWS(C$2:C45)-1,3))</f>
        <v>13.45</v>
      </c>
      <c r="D45" s="23" t="str">
        <f t="shared" ca="1" si="1"/>
        <v>—</v>
      </c>
      <c r="E45" s="40">
        <f t="shared" ca="1" si="2"/>
        <v>7</v>
      </c>
      <c r="F45" s="23" t="str">
        <f t="shared" ca="1" si="3"/>
        <v>—</v>
      </c>
      <c r="G45" s="40">
        <f t="shared" ca="1" si="4"/>
        <v>7</v>
      </c>
    </row>
    <row r="46" spans="1:7" x14ac:dyDescent="0.25">
      <c r="A46" s="17">
        <f t="shared" si="0"/>
        <v>81</v>
      </c>
      <c r="B46" t="str">
        <f ca="1">TEXT(DATE(YEAR(Invoer!$A$5),1,1)+INT((ROWS(B$2:B46)-1)/3),"jjjjmmdd")</f>
        <v>19430115</v>
      </c>
      <c r="C46" s="35" t="str">
        <f>INDEX(Data,2,2+MOD(ROWS(C$2:C46)-1,3))</f>
        <v>19.45</v>
      </c>
      <c r="D46" s="23" t="str">
        <f t="shared" ca="1" si="1"/>
        <v>—</v>
      </c>
      <c r="E46" s="40">
        <f t="shared" ca="1" si="2"/>
        <v>7</v>
      </c>
      <c r="F46" s="23" t="str">
        <f t="shared" ca="1" si="3"/>
        <v>—</v>
      </c>
      <c r="G46" s="40">
        <f t="shared" ca="1" si="4"/>
        <v>7</v>
      </c>
    </row>
    <row r="47" spans="1:7" x14ac:dyDescent="0.25">
      <c r="A47" s="17">
        <f t="shared" si="0"/>
        <v>81</v>
      </c>
      <c r="B47" t="str">
        <f ca="1">TEXT(DATE(YEAR(Invoer!$A$5),1,1)+INT((ROWS(B$2:B47)-1)/3),"jjjjmmdd")</f>
        <v>19430116</v>
      </c>
      <c r="C47" s="35" t="str">
        <f>INDEX(Data,2,2+MOD(ROWS(C$2:C47)-1,3))</f>
        <v>07.45</v>
      </c>
      <c r="D47" s="23" t="str">
        <f t="shared" ca="1" si="1"/>
        <v>—</v>
      </c>
      <c r="E47" s="40">
        <f t="shared" ca="1" si="2"/>
        <v>7</v>
      </c>
      <c r="F47" s="23" t="str">
        <f t="shared" ca="1" si="3"/>
        <v>—</v>
      </c>
      <c r="G47" s="40">
        <f t="shared" ca="1" si="4"/>
        <v>7</v>
      </c>
    </row>
    <row r="48" spans="1:7" x14ac:dyDescent="0.25">
      <c r="A48" s="17">
        <f t="shared" si="0"/>
        <v>81</v>
      </c>
      <c r="B48" t="str">
        <f ca="1">TEXT(DATE(YEAR(Invoer!$A$5),1,1)+INT((ROWS(B$2:B48)-1)/3),"jjjjmmdd")</f>
        <v>19430116</v>
      </c>
      <c r="C48" s="35" t="str">
        <f>INDEX(Data,2,2+MOD(ROWS(C$2:C48)-1,3))</f>
        <v>13.45</v>
      </c>
      <c r="D48" s="23" t="str">
        <f t="shared" ca="1" si="1"/>
        <v>—</v>
      </c>
      <c r="E48" s="40">
        <f t="shared" ca="1" si="2"/>
        <v>7</v>
      </c>
      <c r="F48" s="23" t="str">
        <f t="shared" ca="1" si="3"/>
        <v>—</v>
      </c>
      <c r="G48" s="40">
        <f t="shared" ca="1" si="4"/>
        <v>7</v>
      </c>
    </row>
    <row r="49" spans="1:7" x14ac:dyDescent="0.25">
      <c r="A49" s="17">
        <f t="shared" si="0"/>
        <v>81</v>
      </c>
      <c r="B49" t="str">
        <f ca="1">TEXT(DATE(YEAR(Invoer!$A$5),1,1)+INT((ROWS(B$2:B49)-1)/3),"jjjjmmdd")</f>
        <v>19430116</v>
      </c>
      <c r="C49" s="35" t="str">
        <f>INDEX(Data,2,2+MOD(ROWS(C$2:C49)-1,3))</f>
        <v>19.45</v>
      </c>
      <c r="D49" s="23" t="str">
        <f t="shared" ca="1" si="1"/>
        <v>—</v>
      </c>
      <c r="E49" s="40">
        <f t="shared" ca="1" si="2"/>
        <v>7</v>
      </c>
      <c r="F49" s="23" t="str">
        <f t="shared" ca="1" si="3"/>
        <v>—</v>
      </c>
      <c r="G49" s="40">
        <f t="shared" ca="1" si="4"/>
        <v>7</v>
      </c>
    </row>
    <row r="50" spans="1:7" x14ac:dyDescent="0.25">
      <c r="A50" s="17">
        <f t="shared" si="0"/>
        <v>81</v>
      </c>
      <c r="B50" t="str">
        <f ca="1">TEXT(DATE(YEAR(Invoer!$A$5),1,1)+INT((ROWS(B$2:B50)-1)/3),"jjjjmmdd")</f>
        <v>19430117</v>
      </c>
      <c r="C50" s="35" t="str">
        <f>INDEX(Data,2,2+MOD(ROWS(C$2:C50)-1,3))</f>
        <v>07.45</v>
      </c>
      <c r="D50" s="23" t="str">
        <f t="shared" ca="1" si="1"/>
        <v>—</v>
      </c>
      <c r="E50" s="40">
        <f t="shared" ca="1" si="2"/>
        <v>7</v>
      </c>
      <c r="F50" s="23" t="str">
        <f t="shared" ca="1" si="3"/>
        <v>—</v>
      </c>
      <c r="G50" s="40">
        <f t="shared" ca="1" si="4"/>
        <v>7</v>
      </c>
    </row>
    <row r="51" spans="1:7" x14ac:dyDescent="0.25">
      <c r="A51" s="17">
        <f t="shared" si="0"/>
        <v>81</v>
      </c>
      <c r="B51" t="str">
        <f ca="1">TEXT(DATE(YEAR(Invoer!$A$5),1,1)+INT((ROWS(B$2:B51)-1)/3),"jjjjmmdd")</f>
        <v>19430117</v>
      </c>
      <c r="C51" s="35" t="str">
        <f>INDEX(Data,2,2+MOD(ROWS(C$2:C51)-1,3))</f>
        <v>13.45</v>
      </c>
      <c r="D51" s="23" t="str">
        <f t="shared" ca="1" si="1"/>
        <v>—</v>
      </c>
      <c r="E51" s="40">
        <f t="shared" ca="1" si="2"/>
        <v>7</v>
      </c>
      <c r="F51" s="23" t="str">
        <f t="shared" ca="1" si="3"/>
        <v>—</v>
      </c>
      <c r="G51" s="40">
        <f t="shared" ca="1" si="4"/>
        <v>7</v>
      </c>
    </row>
    <row r="52" spans="1:7" x14ac:dyDescent="0.25">
      <c r="A52" s="17">
        <f t="shared" si="0"/>
        <v>81</v>
      </c>
      <c r="B52" t="str">
        <f ca="1">TEXT(DATE(YEAR(Invoer!$A$5),1,1)+INT((ROWS(B$2:B52)-1)/3),"jjjjmmdd")</f>
        <v>19430117</v>
      </c>
      <c r="C52" s="35" t="str">
        <f>INDEX(Data,2,2+MOD(ROWS(C$2:C52)-1,3))</f>
        <v>19.45</v>
      </c>
      <c r="D52" s="23" t="str">
        <f t="shared" ca="1" si="1"/>
        <v>—</v>
      </c>
      <c r="E52" s="40">
        <f t="shared" ca="1" si="2"/>
        <v>7</v>
      </c>
      <c r="F52" s="23" t="str">
        <f t="shared" ca="1" si="3"/>
        <v>—</v>
      </c>
      <c r="G52" s="40">
        <f t="shared" ca="1" si="4"/>
        <v>7</v>
      </c>
    </row>
    <row r="53" spans="1:7" x14ac:dyDescent="0.25">
      <c r="A53" s="17">
        <f t="shared" si="0"/>
        <v>81</v>
      </c>
      <c r="B53" t="str">
        <f ca="1">TEXT(DATE(YEAR(Invoer!$A$5),1,1)+INT((ROWS(B$2:B53)-1)/3),"jjjjmmdd")</f>
        <v>19430118</v>
      </c>
      <c r="C53" s="35" t="str">
        <f>INDEX(Data,2,2+MOD(ROWS(C$2:C53)-1,3))</f>
        <v>07.45</v>
      </c>
      <c r="D53" s="23" t="str">
        <f t="shared" ca="1" si="1"/>
        <v>—</v>
      </c>
      <c r="E53" s="40">
        <f t="shared" ca="1" si="2"/>
        <v>7</v>
      </c>
      <c r="F53" s="23" t="str">
        <f t="shared" ca="1" si="3"/>
        <v>—</v>
      </c>
      <c r="G53" s="40">
        <f t="shared" ca="1" si="4"/>
        <v>7</v>
      </c>
    </row>
    <row r="54" spans="1:7" x14ac:dyDescent="0.25">
      <c r="A54" s="17">
        <f t="shared" si="0"/>
        <v>81</v>
      </c>
      <c r="B54" t="str">
        <f ca="1">TEXT(DATE(YEAR(Invoer!$A$5),1,1)+INT((ROWS(B$2:B54)-1)/3),"jjjjmmdd")</f>
        <v>19430118</v>
      </c>
      <c r="C54" s="35" t="str">
        <f>INDEX(Data,2,2+MOD(ROWS(C$2:C54)-1,3))</f>
        <v>13.45</v>
      </c>
      <c r="D54" s="23" t="str">
        <f t="shared" ca="1" si="1"/>
        <v>—</v>
      </c>
      <c r="E54" s="40">
        <f t="shared" ca="1" si="2"/>
        <v>7</v>
      </c>
      <c r="F54" s="23" t="str">
        <f t="shared" ca="1" si="3"/>
        <v>—</v>
      </c>
      <c r="G54" s="40">
        <f t="shared" ca="1" si="4"/>
        <v>7</v>
      </c>
    </row>
    <row r="55" spans="1:7" x14ac:dyDescent="0.25">
      <c r="A55" s="17">
        <f t="shared" si="0"/>
        <v>81</v>
      </c>
      <c r="B55" t="str">
        <f ca="1">TEXT(DATE(YEAR(Invoer!$A$5),1,1)+INT((ROWS(B$2:B55)-1)/3),"jjjjmmdd")</f>
        <v>19430118</v>
      </c>
      <c r="C55" s="35" t="str">
        <f>INDEX(Data,2,2+MOD(ROWS(C$2:C55)-1,3))</f>
        <v>19.45</v>
      </c>
      <c r="D55" s="23" t="str">
        <f t="shared" ca="1" si="1"/>
        <v>—</v>
      </c>
      <c r="E55" s="40">
        <f t="shared" ca="1" si="2"/>
        <v>7</v>
      </c>
      <c r="F55" s="23" t="str">
        <f t="shared" ca="1" si="3"/>
        <v>—</v>
      </c>
      <c r="G55" s="40">
        <f t="shared" ca="1" si="4"/>
        <v>7</v>
      </c>
    </row>
    <row r="56" spans="1:7" x14ac:dyDescent="0.25">
      <c r="A56" s="17">
        <f t="shared" si="0"/>
        <v>81</v>
      </c>
      <c r="B56" t="str">
        <f ca="1">TEXT(DATE(YEAR(Invoer!$A$5),1,1)+INT((ROWS(B$2:B56)-1)/3),"jjjjmmdd")</f>
        <v>19430119</v>
      </c>
      <c r="C56" s="35" t="str">
        <f>INDEX(Data,2,2+MOD(ROWS(C$2:C56)-1,3))</f>
        <v>07.45</v>
      </c>
      <c r="D56" s="23" t="str">
        <f t="shared" ca="1" si="1"/>
        <v>—</v>
      </c>
      <c r="E56" s="40">
        <f t="shared" ca="1" si="2"/>
        <v>7</v>
      </c>
      <c r="F56" s="23" t="str">
        <f t="shared" ca="1" si="3"/>
        <v>—</v>
      </c>
      <c r="G56" s="40">
        <f t="shared" ca="1" si="4"/>
        <v>7</v>
      </c>
    </row>
    <row r="57" spans="1:7" x14ac:dyDescent="0.25">
      <c r="A57" s="17">
        <f t="shared" si="0"/>
        <v>81</v>
      </c>
      <c r="B57" t="str">
        <f ca="1">TEXT(DATE(YEAR(Invoer!$A$5),1,1)+INT((ROWS(B$2:B57)-1)/3),"jjjjmmdd")</f>
        <v>19430119</v>
      </c>
      <c r="C57" s="35" t="str">
        <f>INDEX(Data,2,2+MOD(ROWS(C$2:C57)-1,3))</f>
        <v>13.45</v>
      </c>
      <c r="D57" s="23" t="str">
        <f t="shared" ca="1" si="1"/>
        <v>—</v>
      </c>
      <c r="E57" s="40">
        <f t="shared" ca="1" si="2"/>
        <v>7</v>
      </c>
      <c r="F57" s="23" t="str">
        <f t="shared" ca="1" si="3"/>
        <v>—</v>
      </c>
      <c r="G57" s="40">
        <f t="shared" ca="1" si="4"/>
        <v>7</v>
      </c>
    </row>
    <row r="58" spans="1:7" x14ac:dyDescent="0.25">
      <c r="A58" s="17">
        <f t="shared" si="0"/>
        <v>81</v>
      </c>
      <c r="B58" t="str">
        <f ca="1">TEXT(DATE(YEAR(Invoer!$A$5),1,1)+INT((ROWS(B$2:B58)-1)/3),"jjjjmmdd")</f>
        <v>19430119</v>
      </c>
      <c r="C58" s="35" t="str">
        <f>INDEX(Data,2,2+MOD(ROWS(C$2:C58)-1,3))</f>
        <v>19.45</v>
      </c>
      <c r="D58" s="23" t="str">
        <f t="shared" ca="1" si="1"/>
        <v>—</v>
      </c>
      <c r="E58" s="40">
        <f t="shared" ca="1" si="2"/>
        <v>7</v>
      </c>
      <c r="F58" s="23" t="str">
        <f t="shared" ca="1" si="3"/>
        <v>—</v>
      </c>
      <c r="G58" s="40">
        <f t="shared" ca="1" si="4"/>
        <v>7</v>
      </c>
    </row>
    <row r="59" spans="1:7" x14ac:dyDescent="0.25">
      <c r="A59" s="17">
        <f t="shared" si="0"/>
        <v>81</v>
      </c>
      <c r="B59" t="str">
        <f ca="1">TEXT(DATE(YEAR(Invoer!$A$5),1,1)+INT((ROWS(B$2:B59)-1)/3),"jjjjmmdd")</f>
        <v>19430120</v>
      </c>
      <c r="C59" s="35" t="str">
        <f>INDEX(Data,2,2+MOD(ROWS(C$2:C59)-1,3))</f>
        <v>07.45</v>
      </c>
      <c r="D59" s="23" t="str">
        <f t="shared" ca="1" si="1"/>
        <v>—</v>
      </c>
      <c r="E59" s="40">
        <f t="shared" ca="1" si="2"/>
        <v>7</v>
      </c>
      <c r="F59" s="23" t="str">
        <f t="shared" ca="1" si="3"/>
        <v>—</v>
      </c>
      <c r="G59" s="40">
        <f t="shared" ca="1" si="4"/>
        <v>7</v>
      </c>
    </row>
    <row r="60" spans="1:7" x14ac:dyDescent="0.25">
      <c r="A60" s="17">
        <f t="shared" si="0"/>
        <v>81</v>
      </c>
      <c r="B60" t="str">
        <f ca="1">TEXT(DATE(YEAR(Invoer!$A$5),1,1)+INT((ROWS(B$2:B60)-1)/3),"jjjjmmdd")</f>
        <v>19430120</v>
      </c>
      <c r="C60" s="35" t="str">
        <f>INDEX(Data,2,2+MOD(ROWS(C$2:C60)-1,3))</f>
        <v>13.45</v>
      </c>
      <c r="D60" s="23" t="str">
        <f t="shared" ca="1" si="1"/>
        <v>—</v>
      </c>
      <c r="E60" s="40">
        <f t="shared" ca="1" si="2"/>
        <v>7</v>
      </c>
      <c r="F60" s="23" t="str">
        <f t="shared" ca="1" si="3"/>
        <v>—</v>
      </c>
      <c r="G60" s="40">
        <f t="shared" ca="1" si="4"/>
        <v>7</v>
      </c>
    </row>
    <row r="61" spans="1:7" x14ac:dyDescent="0.25">
      <c r="A61" s="17">
        <f t="shared" si="0"/>
        <v>81</v>
      </c>
      <c r="B61" t="str">
        <f ca="1">TEXT(DATE(YEAR(Invoer!$A$5),1,1)+INT((ROWS(B$2:B61)-1)/3),"jjjjmmdd")</f>
        <v>19430120</v>
      </c>
      <c r="C61" s="35" t="str">
        <f>INDEX(Data,2,2+MOD(ROWS(C$2:C61)-1,3))</f>
        <v>19.45</v>
      </c>
      <c r="D61" s="23" t="str">
        <f t="shared" ca="1" si="1"/>
        <v>—</v>
      </c>
      <c r="E61" s="40">
        <f t="shared" ca="1" si="2"/>
        <v>7</v>
      </c>
      <c r="F61" s="23" t="str">
        <f t="shared" ca="1" si="3"/>
        <v>—</v>
      </c>
      <c r="G61" s="40">
        <f t="shared" ca="1" si="4"/>
        <v>7</v>
      </c>
    </row>
    <row r="62" spans="1:7" x14ac:dyDescent="0.25">
      <c r="A62" s="17">
        <f t="shared" si="0"/>
        <v>81</v>
      </c>
      <c r="B62" t="str">
        <f ca="1">TEXT(DATE(YEAR(Invoer!$A$5),1,1)+INT((ROWS(B$2:B62)-1)/3),"jjjjmmdd")</f>
        <v>19430121</v>
      </c>
      <c r="C62" s="35" t="str">
        <f>INDEX(Data,2,2+MOD(ROWS(C$2:C62)-1,3))</f>
        <v>07.45</v>
      </c>
      <c r="D62" s="23" t="str">
        <f t="shared" ca="1" si="1"/>
        <v>—</v>
      </c>
      <c r="E62" s="40">
        <f t="shared" ca="1" si="2"/>
        <v>7</v>
      </c>
      <c r="F62" s="23" t="str">
        <f t="shared" ca="1" si="3"/>
        <v>—</v>
      </c>
      <c r="G62" s="40">
        <f t="shared" ca="1" si="4"/>
        <v>7</v>
      </c>
    </row>
    <row r="63" spans="1:7" x14ac:dyDescent="0.25">
      <c r="A63" s="17">
        <f t="shared" si="0"/>
        <v>81</v>
      </c>
      <c r="B63" t="str">
        <f ca="1">TEXT(DATE(YEAR(Invoer!$A$5),1,1)+INT((ROWS(B$2:B63)-1)/3),"jjjjmmdd")</f>
        <v>19430121</v>
      </c>
      <c r="C63" s="35" t="str">
        <f>INDEX(Data,2,2+MOD(ROWS(C$2:C63)-1,3))</f>
        <v>13.45</v>
      </c>
      <c r="D63" s="23" t="str">
        <f t="shared" ca="1" si="1"/>
        <v>—</v>
      </c>
      <c r="E63" s="40">
        <f t="shared" ca="1" si="2"/>
        <v>7</v>
      </c>
      <c r="F63" s="23" t="str">
        <f t="shared" ca="1" si="3"/>
        <v>—</v>
      </c>
      <c r="G63" s="40">
        <f t="shared" ca="1" si="4"/>
        <v>7</v>
      </c>
    </row>
    <row r="64" spans="1:7" x14ac:dyDescent="0.25">
      <c r="A64" s="17">
        <f t="shared" si="0"/>
        <v>81</v>
      </c>
      <c r="B64" t="str">
        <f ca="1">TEXT(DATE(YEAR(Invoer!$A$5),1,1)+INT((ROWS(B$2:B64)-1)/3),"jjjjmmdd")</f>
        <v>19430121</v>
      </c>
      <c r="C64" s="35" t="str">
        <f>INDEX(Data,2,2+MOD(ROWS(C$2:C64)-1,3))</f>
        <v>19.45</v>
      </c>
      <c r="D64" s="23" t="str">
        <f t="shared" ca="1" si="1"/>
        <v>—</v>
      </c>
      <c r="E64" s="40">
        <f t="shared" ca="1" si="2"/>
        <v>7</v>
      </c>
      <c r="F64" s="23" t="str">
        <f t="shared" ca="1" si="3"/>
        <v>—</v>
      </c>
      <c r="G64" s="40">
        <f t="shared" ca="1" si="4"/>
        <v>7</v>
      </c>
    </row>
    <row r="65" spans="1:7" x14ac:dyDescent="0.25">
      <c r="A65" s="17">
        <f t="shared" si="0"/>
        <v>81</v>
      </c>
      <c r="B65" t="str">
        <f ca="1">TEXT(DATE(YEAR(Invoer!$A$5),1,1)+INT((ROWS(B$2:B65)-1)/3),"jjjjmmdd")</f>
        <v>19430122</v>
      </c>
      <c r="C65" s="35" t="str">
        <f>INDEX(Data,2,2+MOD(ROWS(C$2:C65)-1,3))</f>
        <v>07.45</v>
      </c>
      <c r="D65" s="23" t="str">
        <f t="shared" ca="1" si="1"/>
        <v>—</v>
      </c>
      <c r="E65" s="40">
        <f t="shared" ca="1" si="2"/>
        <v>7</v>
      </c>
      <c r="F65" s="23" t="str">
        <f t="shared" ca="1" si="3"/>
        <v>—</v>
      </c>
      <c r="G65" s="40">
        <f t="shared" ca="1" si="4"/>
        <v>7</v>
      </c>
    </row>
    <row r="66" spans="1:7" x14ac:dyDescent="0.25">
      <c r="A66" s="17">
        <f t="shared" ref="A66:A129" si="5">INDEX(Stations,2,1)</f>
        <v>81</v>
      </c>
      <c r="B66" t="str">
        <f ca="1">TEXT(DATE(YEAR(Invoer!$A$5),1,1)+INT((ROWS(B$2:B66)-1)/3),"jjjjmmdd")</f>
        <v>19430122</v>
      </c>
      <c r="C66" s="35" t="str">
        <f>INDEX(Data,2,2+MOD(ROWS(C$2:C66)-1,3))</f>
        <v>13.45</v>
      </c>
      <c r="D66" s="23" t="str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—</v>
      </c>
      <c r="E66" s="40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7</v>
      </c>
      <c r="F66" s="23" t="str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)</f>
        <v>—</v>
      </c>
      <c r="G66" s="40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7</v>
      </c>
    </row>
    <row r="67" spans="1:7" x14ac:dyDescent="0.25">
      <c r="A67" s="17">
        <f t="shared" si="5"/>
        <v>81</v>
      </c>
      <c r="B67" t="str">
        <f ca="1">TEXT(DATE(YEAR(Invoer!$A$5),1,1)+INT((ROWS(B$2:B67)-1)/3),"jjjjmmdd")</f>
        <v>19430122</v>
      </c>
      <c r="C67" s="35" t="str">
        <f>INDEX(Data,2,2+MOD(ROWS(C$2:C67)-1,3))</f>
        <v>19.45</v>
      </c>
      <c r="D67" s="23" t="str">
        <f t="shared" ca="1" si="6"/>
        <v>—</v>
      </c>
      <c r="E67" s="40">
        <f t="shared" ca="1" si="7"/>
        <v>7</v>
      </c>
      <c r="F67" s="23" t="str">
        <f t="shared" ca="1" si="8"/>
        <v>—</v>
      </c>
      <c r="G67" s="40">
        <f t="shared" ca="1" si="9"/>
        <v>7</v>
      </c>
    </row>
    <row r="68" spans="1:7" x14ac:dyDescent="0.25">
      <c r="A68" s="17">
        <f t="shared" si="5"/>
        <v>81</v>
      </c>
      <c r="B68" t="str">
        <f ca="1">TEXT(DATE(YEAR(Invoer!$A$5),1,1)+INT((ROWS(B$2:B68)-1)/3),"jjjjmmdd")</f>
        <v>19430123</v>
      </c>
      <c r="C68" s="35" t="str">
        <f>INDEX(Data,2,2+MOD(ROWS(C$2:C68)-1,3))</f>
        <v>07.45</v>
      </c>
      <c r="D68" s="23" t="str">
        <f t="shared" ca="1" si="6"/>
        <v>—</v>
      </c>
      <c r="E68" s="40">
        <f t="shared" ca="1" si="7"/>
        <v>7</v>
      </c>
      <c r="F68" s="23" t="str">
        <f t="shared" ca="1" si="8"/>
        <v>—</v>
      </c>
      <c r="G68" s="40">
        <f t="shared" ca="1" si="9"/>
        <v>7</v>
      </c>
    </row>
    <row r="69" spans="1:7" x14ac:dyDescent="0.25">
      <c r="A69" s="17">
        <f t="shared" si="5"/>
        <v>81</v>
      </c>
      <c r="B69" t="str">
        <f ca="1">TEXT(DATE(YEAR(Invoer!$A$5),1,1)+INT((ROWS(B$2:B69)-1)/3),"jjjjmmdd")</f>
        <v>19430123</v>
      </c>
      <c r="C69" s="35" t="str">
        <f>INDEX(Data,2,2+MOD(ROWS(C$2:C69)-1,3))</f>
        <v>13.45</v>
      </c>
      <c r="D69" s="23" t="str">
        <f t="shared" ca="1" si="6"/>
        <v>—</v>
      </c>
      <c r="E69" s="40">
        <f t="shared" ca="1" si="7"/>
        <v>7</v>
      </c>
      <c r="F69" s="23" t="str">
        <f t="shared" ca="1" si="8"/>
        <v>—</v>
      </c>
      <c r="G69" s="40">
        <f t="shared" ca="1" si="9"/>
        <v>7</v>
      </c>
    </row>
    <row r="70" spans="1:7" x14ac:dyDescent="0.25">
      <c r="A70" s="17">
        <f t="shared" si="5"/>
        <v>81</v>
      </c>
      <c r="B70" t="str">
        <f ca="1">TEXT(DATE(YEAR(Invoer!$A$5),1,1)+INT((ROWS(B$2:B70)-1)/3),"jjjjmmdd")</f>
        <v>19430123</v>
      </c>
      <c r="C70" s="35" t="str">
        <f>INDEX(Data,2,2+MOD(ROWS(C$2:C70)-1,3))</f>
        <v>19.45</v>
      </c>
      <c r="D70" s="23" t="str">
        <f t="shared" ca="1" si="6"/>
        <v>—</v>
      </c>
      <c r="E70" s="40">
        <f t="shared" ca="1" si="7"/>
        <v>7</v>
      </c>
      <c r="F70" s="23" t="str">
        <f t="shared" ca="1" si="8"/>
        <v>—</v>
      </c>
      <c r="G70" s="40">
        <f t="shared" ca="1" si="9"/>
        <v>7</v>
      </c>
    </row>
    <row r="71" spans="1:7" x14ac:dyDescent="0.25">
      <c r="A71" s="17">
        <f t="shared" si="5"/>
        <v>81</v>
      </c>
      <c r="B71" t="str">
        <f ca="1">TEXT(DATE(YEAR(Invoer!$A$5),1,1)+INT((ROWS(B$2:B71)-1)/3),"jjjjmmdd")</f>
        <v>19430124</v>
      </c>
      <c r="C71" s="35" t="str">
        <f>INDEX(Data,2,2+MOD(ROWS(C$2:C71)-1,3))</f>
        <v>07.45</v>
      </c>
      <c r="D71" s="23" t="str">
        <f t="shared" ca="1" si="6"/>
        <v>—</v>
      </c>
      <c r="E71" s="40">
        <f t="shared" ca="1" si="7"/>
        <v>7</v>
      </c>
      <c r="F71" s="23" t="str">
        <f t="shared" ca="1" si="8"/>
        <v>—</v>
      </c>
      <c r="G71" s="40">
        <f t="shared" ca="1" si="9"/>
        <v>7</v>
      </c>
    </row>
    <row r="72" spans="1:7" x14ac:dyDescent="0.25">
      <c r="A72" s="17">
        <f t="shared" si="5"/>
        <v>81</v>
      </c>
      <c r="B72" t="str">
        <f ca="1">TEXT(DATE(YEAR(Invoer!$A$5),1,1)+INT((ROWS(B$2:B72)-1)/3),"jjjjmmdd")</f>
        <v>19430124</v>
      </c>
      <c r="C72" s="35" t="str">
        <f>INDEX(Data,2,2+MOD(ROWS(C$2:C72)-1,3))</f>
        <v>13.45</v>
      </c>
      <c r="D72" s="23" t="str">
        <f t="shared" ca="1" si="6"/>
        <v>—</v>
      </c>
      <c r="E72" s="40">
        <f t="shared" ca="1" si="7"/>
        <v>7</v>
      </c>
      <c r="F72" s="23" t="str">
        <f t="shared" ca="1" si="8"/>
        <v>—</v>
      </c>
      <c r="G72" s="40">
        <f t="shared" ca="1" si="9"/>
        <v>7</v>
      </c>
    </row>
    <row r="73" spans="1:7" x14ac:dyDescent="0.25">
      <c r="A73" s="17">
        <f t="shared" si="5"/>
        <v>81</v>
      </c>
      <c r="B73" t="str">
        <f ca="1">TEXT(DATE(YEAR(Invoer!$A$5),1,1)+INT((ROWS(B$2:B73)-1)/3),"jjjjmmdd")</f>
        <v>19430124</v>
      </c>
      <c r="C73" s="35" t="str">
        <f>INDEX(Data,2,2+MOD(ROWS(C$2:C73)-1,3))</f>
        <v>19.45</v>
      </c>
      <c r="D73" s="23" t="str">
        <f t="shared" ca="1" si="6"/>
        <v>—</v>
      </c>
      <c r="E73" s="40">
        <f t="shared" ca="1" si="7"/>
        <v>7</v>
      </c>
      <c r="F73" s="23" t="str">
        <f t="shared" ca="1" si="8"/>
        <v>—</v>
      </c>
      <c r="G73" s="40">
        <f t="shared" ca="1" si="9"/>
        <v>7</v>
      </c>
    </row>
    <row r="74" spans="1:7" x14ac:dyDescent="0.25">
      <c r="A74" s="17">
        <f t="shared" si="5"/>
        <v>81</v>
      </c>
      <c r="B74" t="str">
        <f ca="1">TEXT(DATE(YEAR(Invoer!$A$5),1,1)+INT((ROWS(B$2:B74)-1)/3),"jjjjmmdd")</f>
        <v>19430125</v>
      </c>
      <c r="C74" s="35" t="str">
        <f>INDEX(Data,2,2+MOD(ROWS(C$2:C74)-1,3))</f>
        <v>07.45</v>
      </c>
      <c r="D74" s="23" t="str">
        <f t="shared" ca="1" si="6"/>
        <v>—</v>
      </c>
      <c r="E74" s="40">
        <f t="shared" ca="1" si="7"/>
        <v>7</v>
      </c>
      <c r="F74" s="23" t="str">
        <f t="shared" ca="1" si="8"/>
        <v>—</v>
      </c>
      <c r="G74" s="40">
        <f t="shared" ca="1" si="9"/>
        <v>7</v>
      </c>
    </row>
    <row r="75" spans="1:7" x14ac:dyDescent="0.25">
      <c r="A75" s="17">
        <f t="shared" si="5"/>
        <v>81</v>
      </c>
      <c r="B75" t="str">
        <f ca="1">TEXT(DATE(YEAR(Invoer!$A$5),1,1)+INT((ROWS(B$2:B75)-1)/3),"jjjjmmdd")</f>
        <v>19430125</v>
      </c>
      <c r="C75" s="35" t="str">
        <f>INDEX(Data,2,2+MOD(ROWS(C$2:C75)-1,3))</f>
        <v>13.45</v>
      </c>
      <c r="D75" s="23" t="str">
        <f t="shared" ca="1" si="6"/>
        <v>—</v>
      </c>
      <c r="E75" s="40">
        <f t="shared" ca="1" si="7"/>
        <v>7</v>
      </c>
      <c r="F75" s="23" t="str">
        <f t="shared" ca="1" si="8"/>
        <v>—</v>
      </c>
      <c r="G75" s="40">
        <f t="shared" ca="1" si="9"/>
        <v>7</v>
      </c>
    </row>
    <row r="76" spans="1:7" x14ac:dyDescent="0.25">
      <c r="A76" s="17">
        <f t="shared" si="5"/>
        <v>81</v>
      </c>
      <c r="B76" t="str">
        <f ca="1">TEXT(DATE(YEAR(Invoer!$A$5),1,1)+INT((ROWS(B$2:B76)-1)/3),"jjjjmmdd")</f>
        <v>19430125</v>
      </c>
      <c r="C76" s="35" t="str">
        <f>INDEX(Data,2,2+MOD(ROWS(C$2:C76)-1,3))</f>
        <v>19.45</v>
      </c>
      <c r="D76" s="23" t="str">
        <f t="shared" ca="1" si="6"/>
        <v>—</v>
      </c>
      <c r="E76" s="40">
        <f t="shared" ca="1" si="7"/>
        <v>7</v>
      </c>
      <c r="F76" s="23" t="str">
        <f t="shared" ca="1" si="8"/>
        <v>—</v>
      </c>
      <c r="G76" s="40">
        <f t="shared" ca="1" si="9"/>
        <v>7</v>
      </c>
    </row>
    <row r="77" spans="1:7" x14ac:dyDescent="0.25">
      <c r="A77" s="17">
        <f t="shared" si="5"/>
        <v>81</v>
      </c>
      <c r="B77" t="str">
        <f ca="1">TEXT(DATE(YEAR(Invoer!$A$5),1,1)+INT((ROWS(B$2:B77)-1)/3),"jjjjmmdd")</f>
        <v>19430126</v>
      </c>
      <c r="C77" s="35" t="str">
        <f>INDEX(Data,2,2+MOD(ROWS(C$2:C77)-1,3))</f>
        <v>07.45</v>
      </c>
      <c r="D77" s="23" t="str">
        <f t="shared" ca="1" si="6"/>
        <v>—</v>
      </c>
      <c r="E77" s="40">
        <f t="shared" ca="1" si="7"/>
        <v>7</v>
      </c>
      <c r="F77" s="23" t="str">
        <f t="shared" ca="1" si="8"/>
        <v>—</v>
      </c>
      <c r="G77" s="40">
        <f t="shared" ca="1" si="9"/>
        <v>7</v>
      </c>
    </row>
    <row r="78" spans="1:7" x14ac:dyDescent="0.25">
      <c r="A78" s="17">
        <f t="shared" si="5"/>
        <v>81</v>
      </c>
      <c r="B78" t="str">
        <f ca="1">TEXT(DATE(YEAR(Invoer!$A$5),1,1)+INT((ROWS(B$2:B78)-1)/3),"jjjjmmdd")</f>
        <v>19430126</v>
      </c>
      <c r="C78" s="35" t="str">
        <f>INDEX(Data,2,2+MOD(ROWS(C$2:C78)-1,3))</f>
        <v>13.45</v>
      </c>
      <c r="D78" s="23" t="str">
        <f t="shared" ca="1" si="6"/>
        <v>—</v>
      </c>
      <c r="E78" s="40">
        <f t="shared" ca="1" si="7"/>
        <v>7</v>
      </c>
      <c r="F78" s="23" t="str">
        <f t="shared" ca="1" si="8"/>
        <v>—</v>
      </c>
      <c r="G78" s="40">
        <f t="shared" ca="1" si="9"/>
        <v>7</v>
      </c>
    </row>
    <row r="79" spans="1:7" x14ac:dyDescent="0.25">
      <c r="A79" s="17">
        <f t="shared" si="5"/>
        <v>81</v>
      </c>
      <c r="B79" t="str">
        <f ca="1">TEXT(DATE(YEAR(Invoer!$A$5),1,1)+INT((ROWS(B$2:B79)-1)/3),"jjjjmmdd")</f>
        <v>19430126</v>
      </c>
      <c r="C79" s="35" t="str">
        <f>INDEX(Data,2,2+MOD(ROWS(C$2:C79)-1,3))</f>
        <v>19.45</v>
      </c>
      <c r="D79" s="23" t="str">
        <f t="shared" ca="1" si="6"/>
        <v>—</v>
      </c>
      <c r="E79" s="40">
        <f t="shared" ca="1" si="7"/>
        <v>7</v>
      </c>
      <c r="F79" s="23" t="str">
        <f t="shared" ca="1" si="8"/>
        <v>—</v>
      </c>
      <c r="G79" s="40">
        <f t="shared" ca="1" si="9"/>
        <v>7</v>
      </c>
    </row>
    <row r="80" spans="1:7" x14ac:dyDescent="0.25">
      <c r="A80" s="17">
        <f t="shared" si="5"/>
        <v>81</v>
      </c>
      <c r="B80" t="str">
        <f ca="1">TEXT(DATE(YEAR(Invoer!$A$5),1,1)+INT((ROWS(B$2:B80)-1)/3),"jjjjmmdd")</f>
        <v>19430127</v>
      </c>
      <c r="C80" s="35" t="str">
        <f>INDEX(Data,2,2+MOD(ROWS(C$2:C80)-1,3))</f>
        <v>07.45</v>
      </c>
      <c r="D80" s="23" t="str">
        <f t="shared" ca="1" si="6"/>
        <v>—</v>
      </c>
      <c r="E80" s="40">
        <f t="shared" ca="1" si="7"/>
        <v>7</v>
      </c>
      <c r="F80" s="23" t="str">
        <f t="shared" ca="1" si="8"/>
        <v>—</v>
      </c>
      <c r="G80" s="40">
        <f t="shared" ca="1" si="9"/>
        <v>7</v>
      </c>
    </row>
    <row r="81" spans="1:7" x14ac:dyDescent="0.25">
      <c r="A81" s="17">
        <f t="shared" si="5"/>
        <v>81</v>
      </c>
      <c r="B81" t="str">
        <f ca="1">TEXT(DATE(YEAR(Invoer!$A$5),1,1)+INT((ROWS(B$2:B81)-1)/3),"jjjjmmdd")</f>
        <v>19430127</v>
      </c>
      <c r="C81" s="35" t="str">
        <f>INDEX(Data,2,2+MOD(ROWS(C$2:C81)-1,3))</f>
        <v>13.45</v>
      </c>
      <c r="D81" s="23" t="str">
        <f t="shared" ca="1" si="6"/>
        <v>—</v>
      </c>
      <c r="E81" s="40">
        <f t="shared" ca="1" si="7"/>
        <v>7</v>
      </c>
      <c r="F81" s="23" t="str">
        <f t="shared" ca="1" si="8"/>
        <v>—</v>
      </c>
      <c r="G81" s="40">
        <f t="shared" ca="1" si="9"/>
        <v>7</v>
      </c>
    </row>
    <row r="82" spans="1:7" x14ac:dyDescent="0.25">
      <c r="A82" s="17">
        <f t="shared" si="5"/>
        <v>81</v>
      </c>
      <c r="B82" t="str">
        <f ca="1">TEXT(DATE(YEAR(Invoer!$A$5),1,1)+INT((ROWS(B$2:B82)-1)/3),"jjjjmmdd")</f>
        <v>19430127</v>
      </c>
      <c r="C82" s="35" t="str">
        <f>INDEX(Data,2,2+MOD(ROWS(C$2:C82)-1,3))</f>
        <v>19.45</v>
      </c>
      <c r="D82" s="23" t="str">
        <f t="shared" ca="1" si="6"/>
        <v>—</v>
      </c>
      <c r="E82" s="40">
        <f t="shared" ca="1" si="7"/>
        <v>7</v>
      </c>
      <c r="F82" s="23" t="str">
        <f t="shared" ca="1" si="8"/>
        <v>—</v>
      </c>
      <c r="G82" s="40">
        <f t="shared" ca="1" si="9"/>
        <v>7</v>
      </c>
    </row>
    <row r="83" spans="1:7" x14ac:dyDescent="0.25">
      <c r="A83" s="17">
        <f t="shared" si="5"/>
        <v>81</v>
      </c>
      <c r="B83" t="str">
        <f ca="1">TEXT(DATE(YEAR(Invoer!$A$5),1,1)+INT((ROWS(B$2:B83)-1)/3),"jjjjmmdd")</f>
        <v>19430128</v>
      </c>
      <c r="C83" s="35" t="str">
        <f>INDEX(Data,2,2+MOD(ROWS(C$2:C83)-1,3))</f>
        <v>07.45</v>
      </c>
      <c r="D83" s="23" t="str">
        <f t="shared" ca="1" si="6"/>
        <v>—</v>
      </c>
      <c r="E83" s="40">
        <f t="shared" ca="1" si="7"/>
        <v>7</v>
      </c>
      <c r="F83" s="23" t="str">
        <f t="shared" ca="1" si="8"/>
        <v>—</v>
      </c>
      <c r="G83" s="40">
        <f t="shared" ca="1" si="9"/>
        <v>7</v>
      </c>
    </row>
    <row r="84" spans="1:7" x14ac:dyDescent="0.25">
      <c r="A84" s="17">
        <f t="shared" si="5"/>
        <v>81</v>
      </c>
      <c r="B84" t="str">
        <f ca="1">TEXT(DATE(YEAR(Invoer!$A$5),1,1)+INT((ROWS(B$2:B84)-1)/3),"jjjjmmdd")</f>
        <v>19430128</v>
      </c>
      <c r="C84" s="35" t="str">
        <f>INDEX(Data,2,2+MOD(ROWS(C$2:C84)-1,3))</f>
        <v>13.45</v>
      </c>
      <c r="D84" s="23" t="str">
        <f t="shared" ca="1" si="6"/>
        <v>—</v>
      </c>
      <c r="E84" s="40">
        <f t="shared" ca="1" si="7"/>
        <v>7</v>
      </c>
      <c r="F84" s="23" t="str">
        <f t="shared" ca="1" si="8"/>
        <v>—</v>
      </c>
      <c r="G84" s="40">
        <f t="shared" ca="1" si="9"/>
        <v>7</v>
      </c>
    </row>
    <row r="85" spans="1:7" x14ac:dyDescent="0.25">
      <c r="A85" s="17">
        <f t="shared" si="5"/>
        <v>81</v>
      </c>
      <c r="B85" t="str">
        <f ca="1">TEXT(DATE(YEAR(Invoer!$A$5),1,1)+INT((ROWS(B$2:B85)-1)/3),"jjjjmmdd")</f>
        <v>19430128</v>
      </c>
      <c r="C85" s="35" t="str">
        <f>INDEX(Data,2,2+MOD(ROWS(C$2:C85)-1,3))</f>
        <v>19.45</v>
      </c>
      <c r="D85" s="23" t="str">
        <f t="shared" ca="1" si="6"/>
        <v>—</v>
      </c>
      <c r="E85" s="40">
        <f t="shared" ca="1" si="7"/>
        <v>7</v>
      </c>
      <c r="F85" s="23" t="str">
        <f t="shared" ca="1" si="8"/>
        <v>—</v>
      </c>
      <c r="G85" s="40">
        <f t="shared" ca="1" si="9"/>
        <v>7</v>
      </c>
    </row>
    <row r="86" spans="1:7" x14ac:dyDescent="0.25">
      <c r="A86" s="17">
        <f t="shared" si="5"/>
        <v>81</v>
      </c>
      <c r="B86" t="str">
        <f ca="1">TEXT(DATE(YEAR(Invoer!$A$5),1,1)+INT((ROWS(B$2:B86)-1)/3),"jjjjmmdd")</f>
        <v>19430129</v>
      </c>
      <c r="C86" s="35" t="str">
        <f>INDEX(Data,2,2+MOD(ROWS(C$2:C86)-1,3))</f>
        <v>07.45</v>
      </c>
      <c r="D86" s="23" t="str">
        <f t="shared" ca="1" si="6"/>
        <v>—</v>
      </c>
      <c r="E86" s="40">
        <f t="shared" ca="1" si="7"/>
        <v>7</v>
      </c>
      <c r="F86" s="23" t="str">
        <f t="shared" ca="1" si="8"/>
        <v>—</v>
      </c>
      <c r="G86" s="40">
        <f t="shared" ca="1" si="9"/>
        <v>7</v>
      </c>
    </row>
    <row r="87" spans="1:7" x14ac:dyDescent="0.25">
      <c r="A87" s="17">
        <f t="shared" si="5"/>
        <v>81</v>
      </c>
      <c r="B87" t="str">
        <f ca="1">TEXT(DATE(YEAR(Invoer!$A$5),1,1)+INT((ROWS(B$2:B87)-1)/3),"jjjjmmdd")</f>
        <v>19430129</v>
      </c>
      <c r="C87" s="35" t="str">
        <f>INDEX(Data,2,2+MOD(ROWS(C$2:C87)-1,3))</f>
        <v>13.45</v>
      </c>
      <c r="D87" s="23" t="str">
        <f t="shared" ca="1" si="6"/>
        <v>—</v>
      </c>
      <c r="E87" s="40">
        <f t="shared" ca="1" si="7"/>
        <v>7</v>
      </c>
      <c r="F87" s="23" t="str">
        <f t="shared" ca="1" si="8"/>
        <v>—</v>
      </c>
      <c r="G87" s="40">
        <f t="shared" ca="1" si="9"/>
        <v>7</v>
      </c>
    </row>
    <row r="88" spans="1:7" x14ac:dyDescent="0.25">
      <c r="A88" s="17">
        <f t="shared" si="5"/>
        <v>81</v>
      </c>
      <c r="B88" t="str">
        <f ca="1">TEXT(DATE(YEAR(Invoer!$A$5),1,1)+INT((ROWS(B$2:B88)-1)/3),"jjjjmmdd")</f>
        <v>19430129</v>
      </c>
      <c r="C88" s="35" t="str">
        <f>INDEX(Data,2,2+MOD(ROWS(C$2:C88)-1,3))</f>
        <v>19.45</v>
      </c>
      <c r="D88" s="23" t="str">
        <f t="shared" ca="1" si="6"/>
        <v>—</v>
      </c>
      <c r="E88" s="40">
        <f t="shared" ca="1" si="7"/>
        <v>7</v>
      </c>
      <c r="F88" s="23" t="str">
        <f t="shared" ca="1" si="8"/>
        <v>—</v>
      </c>
      <c r="G88" s="40">
        <f t="shared" ca="1" si="9"/>
        <v>7</v>
      </c>
    </row>
    <row r="89" spans="1:7" x14ac:dyDescent="0.25">
      <c r="A89" s="17">
        <f t="shared" si="5"/>
        <v>81</v>
      </c>
      <c r="B89" t="str">
        <f ca="1">TEXT(DATE(YEAR(Invoer!$A$5),1,1)+INT((ROWS(B$2:B89)-1)/3),"jjjjmmdd")</f>
        <v>19430130</v>
      </c>
      <c r="C89" s="35" t="str">
        <f>INDEX(Data,2,2+MOD(ROWS(C$2:C89)-1,3))</f>
        <v>07.45</v>
      </c>
      <c r="D89" s="23" t="str">
        <f t="shared" ca="1" si="6"/>
        <v>—</v>
      </c>
      <c r="E89" s="40">
        <f t="shared" ca="1" si="7"/>
        <v>7</v>
      </c>
      <c r="F89" s="23" t="str">
        <f t="shared" ca="1" si="8"/>
        <v>—</v>
      </c>
      <c r="G89" s="40">
        <f t="shared" ca="1" si="9"/>
        <v>7</v>
      </c>
    </row>
    <row r="90" spans="1:7" x14ac:dyDescent="0.25">
      <c r="A90" s="17">
        <f t="shared" si="5"/>
        <v>81</v>
      </c>
      <c r="B90" t="str">
        <f ca="1">TEXT(DATE(YEAR(Invoer!$A$5),1,1)+INT((ROWS(B$2:B90)-1)/3),"jjjjmmdd")</f>
        <v>19430130</v>
      </c>
      <c r="C90" s="35" t="str">
        <f>INDEX(Data,2,2+MOD(ROWS(C$2:C90)-1,3))</f>
        <v>13.45</v>
      </c>
      <c r="D90" s="23" t="str">
        <f t="shared" ca="1" si="6"/>
        <v>—</v>
      </c>
      <c r="E90" s="40">
        <f t="shared" ca="1" si="7"/>
        <v>7</v>
      </c>
      <c r="F90" s="23" t="str">
        <f t="shared" ca="1" si="8"/>
        <v>—</v>
      </c>
      <c r="G90" s="40">
        <f t="shared" ca="1" si="9"/>
        <v>7</v>
      </c>
    </row>
    <row r="91" spans="1:7" x14ac:dyDescent="0.25">
      <c r="A91" s="17">
        <f t="shared" si="5"/>
        <v>81</v>
      </c>
      <c r="B91" t="str">
        <f ca="1">TEXT(DATE(YEAR(Invoer!$A$5),1,1)+INT((ROWS(B$2:B91)-1)/3),"jjjjmmdd")</f>
        <v>19430130</v>
      </c>
      <c r="C91" s="35" t="str">
        <f>INDEX(Data,2,2+MOD(ROWS(C$2:C91)-1,3))</f>
        <v>19.45</v>
      </c>
      <c r="D91" s="23" t="str">
        <f t="shared" ca="1" si="6"/>
        <v>—</v>
      </c>
      <c r="E91" s="40">
        <f t="shared" ca="1" si="7"/>
        <v>7</v>
      </c>
      <c r="F91" s="23" t="str">
        <f t="shared" ca="1" si="8"/>
        <v>—</v>
      </c>
      <c r="G91" s="40">
        <f t="shared" ca="1" si="9"/>
        <v>7</v>
      </c>
    </row>
    <row r="92" spans="1:7" x14ac:dyDescent="0.25">
      <c r="A92" s="17">
        <f t="shared" si="5"/>
        <v>81</v>
      </c>
      <c r="B92" t="str">
        <f ca="1">TEXT(DATE(YEAR(Invoer!$A$5),1,1)+INT((ROWS(B$2:B92)-1)/3),"jjjjmmdd")</f>
        <v>19430131</v>
      </c>
      <c r="C92" s="35" t="str">
        <f>INDEX(Data,2,2+MOD(ROWS(C$2:C92)-1,3))</f>
        <v>07.45</v>
      </c>
      <c r="D92" s="23" t="str">
        <f t="shared" ca="1" si="6"/>
        <v>—</v>
      </c>
      <c r="E92" s="40">
        <f t="shared" ca="1" si="7"/>
        <v>7</v>
      </c>
      <c r="F92" s="23" t="str">
        <f t="shared" ca="1" si="8"/>
        <v>—</v>
      </c>
      <c r="G92" s="40">
        <f t="shared" ca="1" si="9"/>
        <v>7</v>
      </c>
    </row>
    <row r="93" spans="1:7" x14ac:dyDescent="0.25">
      <c r="A93" s="17">
        <f t="shared" si="5"/>
        <v>81</v>
      </c>
      <c r="B93" t="str">
        <f ca="1">TEXT(DATE(YEAR(Invoer!$A$5),1,1)+INT((ROWS(B$2:B93)-1)/3),"jjjjmmdd")</f>
        <v>19430131</v>
      </c>
      <c r="C93" s="35" t="str">
        <f>INDEX(Data,2,2+MOD(ROWS(C$2:C93)-1,3))</f>
        <v>13.45</v>
      </c>
      <c r="D93" s="23" t="str">
        <f t="shared" ca="1" si="6"/>
        <v>—</v>
      </c>
      <c r="E93" s="40">
        <f t="shared" ca="1" si="7"/>
        <v>7</v>
      </c>
      <c r="F93" s="23" t="str">
        <f t="shared" ca="1" si="8"/>
        <v>—</v>
      </c>
      <c r="G93" s="40">
        <f t="shared" ca="1" si="9"/>
        <v>7</v>
      </c>
    </row>
    <row r="94" spans="1:7" x14ac:dyDescent="0.25">
      <c r="A94" s="17">
        <f t="shared" si="5"/>
        <v>81</v>
      </c>
      <c r="B94" t="str">
        <f ca="1">TEXT(DATE(YEAR(Invoer!$A$5),1,1)+INT((ROWS(B$2:B94)-1)/3),"jjjjmmdd")</f>
        <v>19430131</v>
      </c>
      <c r="C94" s="35" t="str">
        <f>INDEX(Data,2,2+MOD(ROWS(C$2:C94)-1,3))</f>
        <v>19.45</v>
      </c>
      <c r="D94" s="23" t="str">
        <f t="shared" ca="1" si="6"/>
        <v>—</v>
      </c>
      <c r="E94" s="40">
        <f t="shared" ca="1" si="7"/>
        <v>7</v>
      </c>
      <c r="F94" s="23" t="str">
        <f t="shared" ca="1" si="8"/>
        <v>—</v>
      </c>
      <c r="G94" s="40">
        <f t="shared" ca="1" si="9"/>
        <v>7</v>
      </c>
    </row>
    <row r="95" spans="1:7" x14ac:dyDescent="0.25">
      <c r="A95" s="17">
        <f t="shared" si="5"/>
        <v>81</v>
      </c>
      <c r="B95" t="str">
        <f ca="1">TEXT(DATE(YEAR(Invoer!$A$5),1,1)+INT((ROWS(B$2:B95)-1)/3),"jjjjmmdd")</f>
        <v>19430201</v>
      </c>
      <c r="C95" s="35" t="str">
        <f>INDEX(Data,2,2+MOD(ROWS(C$2:C95)-1,3))</f>
        <v>07.45</v>
      </c>
      <c r="D95" s="23" t="str">
        <f t="shared" ca="1" si="6"/>
        <v>—</v>
      </c>
      <c r="E95" s="40">
        <f t="shared" ca="1" si="7"/>
        <v>7</v>
      </c>
      <c r="F95" s="23" t="str">
        <f t="shared" ca="1" si="8"/>
        <v>—</v>
      </c>
      <c r="G95" s="40">
        <f t="shared" ca="1" si="9"/>
        <v>7</v>
      </c>
    </row>
    <row r="96" spans="1:7" x14ac:dyDescent="0.25">
      <c r="A96" s="17">
        <f t="shared" si="5"/>
        <v>81</v>
      </c>
      <c r="B96" t="str">
        <f ca="1">TEXT(DATE(YEAR(Invoer!$A$5),1,1)+INT((ROWS(B$2:B96)-1)/3),"jjjjmmdd")</f>
        <v>19430201</v>
      </c>
      <c r="C96" s="35" t="str">
        <f>INDEX(Data,2,2+MOD(ROWS(C$2:C96)-1,3))</f>
        <v>13.45</v>
      </c>
      <c r="D96" s="23" t="str">
        <f t="shared" ca="1" si="6"/>
        <v>—</v>
      </c>
      <c r="E96" s="40">
        <f t="shared" ca="1" si="7"/>
        <v>7</v>
      </c>
      <c r="F96" s="23" t="str">
        <f t="shared" ca="1" si="8"/>
        <v>—</v>
      </c>
      <c r="G96" s="40">
        <f t="shared" ca="1" si="9"/>
        <v>7</v>
      </c>
    </row>
    <row r="97" spans="1:7" x14ac:dyDescent="0.25">
      <c r="A97" s="17">
        <f t="shared" si="5"/>
        <v>81</v>
      </c>
      <c r="B97" t="str">
        <f ca="1">TEXT(DATE(YEAR(Invoer!$A$5),1,1)+INT((ROWS(B$2:B97)-1)/3),"jjjjmmdd")</f>
        <v>19430201</v>
      </c>
      <c r="C97" s="35" t="str">
        <f>INDEX(Data,2,2+MOD(ROWS(C$2:C97)-1,3))</f>
        <v>19.45</v>
      </c>
      <c r="D97" s="23" t="str">
        <f t="shared" ca="1" si="6"/>
        <v>—</v>
      </c>
      <c r="E97" s="40">
        <f t="shared" ca="1" si="7"/>
        <v>7</v>
      </c>
      <c r="F97" s="23" t="str">
        <f t="shared" ca="1" si="8"/>
        <v>—</v>
      </c>
      <c r="G97" s="40">
        <f t="shared" ca="1" si="9"/>
        <v>7</v>
      </c>
    </row>
    <row r="98" spans="1:7" x14ac:dyDescent="0.25">
      <c r="A98" s="17">
        <f t="shared" si="5"/>
        <v>81</v>
      </c>
      <c r="B98" t="str">
        <f ca="1">TEXT(DATE(YEAR(Invoer!$A$5),1,1)+INT((ROWS(B$2:B98)-1)/3),"jjjjmmdd")</f>
        <v>19430202</v>
      </c>
      <c r="C98" s="35" t="str">
        <f>INDEX(Data,2,2+MOD(ROWS(C$2:C98)-1,3))</f>
        <v>07.45</v>
      </c>
      <c r="D98" s="23" t="str">
        <f t="shared" ca="1" si="6"/>
        <v>—</v>
      </c>
      <c r="E98" s="40">
        <f t="shared" ca="1" si="7"/>
        <v>7</v>
      </c>
      <c r="F98" s="23" t="str">
        <f t="shared" ca="1" si="8"/>
        <v>—</v>
      </c>
      <c r="G98" s="40">
        <f t="shared" ca="1" si="9"/>
        <v>7</v>
      </c>
    </row>
    <row r="99" spans="1:7" x14ac:dyDescent="0.25">
      <c r="A99" s="17">
        <f t="shared" si="5"/>
        <v>81</v>
      </c>
      <c r="B99" t="str">
        <f ca="1">TEXT(DATE(YEAR(Invoer!$A$5),1,1)+INT((ROWS(B$2:B99)-1)/3),"jjjjmmdd")</f>
        <v>19430202</v>
      </c>
      <c r="C99" s="35" t="str">
        <f>INDEX(Data,2,2+MOD(ROWS(C$2:C99)-1,3))</f>
        <v>13.45</v>
      </c>
      <c r="D99" s="23" t="str">
        <f t="shared" ca="1" si="6"/>
        <v>—</v>
      </c>
      <c r="E99" s="40">
        <f t="shared" ca="1" si="7"/>
        <v>7</v>
      </c>
      <c r="F99" s="23" t="str">
        <f t="shared" ca="1" si="8"/>
        <v>—</v>
      </c>
      <c r="G99" s="40">
        <f t="shared" ca="1" si="9"/>
        <v>7</v>
      </c>
    </row>
    <row r="100" spans="1:7" x14ac:dyDescent="0.25">
      <c r="A100" s="17">
        <f t="shared" si="5"/>
        <v>81</v>
      </c>
      <c r="B100" t="str">
        <f ca="1">TEXT(DATE(YEAR(Invoer!$A$5),1,1)+INT((ROWS(B$2:B100)-1)/3),"jjjjmmdd")</f>
        <v>19430202</v>
      </c>
      <c r="C100" s="35" t="str">
        <f>INDEX(Data,2,2+MOD(ROWS(C$2:C100)-1,3))</f>
        <v>19.45</v>
      </c>
      <c r="D100" s="23" t="str">
        <f t="shared" ca="1" si="6"/>
        <v>—</v>
      </c>
      <c r="E100" s="40">
        <f t="shared" ca="1" si="7"/>
        <v>7</v>
      </c>
      <c r="F100" s="23" t="str">
        <f t="shared" ca="1" si="8"/>
        <v>—</v>
      </c>
      <c r="G100" s="40">
        <f t="shared" ca="1" si="9"/>
        <v>7</v>
      </c>
    </row>
    <row r="101" spans="1:7" x14ac:dyDescent="0.25">
      <c r="A101" s="17">
        <f t="shared" si="5"/>
        <v>81</v>
      </c>
      <c r="B101" t="str">
        <f ca="1">TEXT(DATE(YEAR(Invoer!$A$5),1,1)+INT((ROWS(B$2:B101)-1)/3),"jjjjmmdd")</f>
        <v>19430203</v>
      </c>
      <c r="C101" s="35" t="str">
        <f>INDEX(Data,2,2+MOD(ROWS(C$2:C101)-1,3))</f>
        <v>07.45</v>
      </c>
      <c r="D101" s="23" t="str">
        <f t="shared" ca="1" si="6"/>
        <v>—</v>
      </c>
      <c r="E101" s="40">
        <f t="shared" ca="1" si="7"/>
        <v>7</v>
      </c>
      <c r="F101" s="23" t="str">
        <f t="shared" ca="1" si="8"/>
        <v>—</v>
      </c>
      <c r="G101" s="40">
        <f t="shared" ca="1" si="9"/>
        <v>7</v>
      </c>
    </row>
    <row r="102" spans="1:7" x14ac:dyDescent="0.25">
      <c r="A102" s="17">
        <f t="shared" si="5"/>
        <v>81</v>
      </c>
      <c r="B102" t="str">
        <f ca="1">TEXT(DATE(YEAR(Invoer!$A$5),1,1)+INT((ROWS(B$2:B102)-1)/3),"jjjjmmdd")</f>
        <v>19430203</v>
      </c>
      <c r="C102" s="35" t="str">
        <f>INDEX(Data,2,2+MOD(ROWS(C$2:C102)-1,3))</f>
        <v>13.45</v>
      </c>
      <c r="D102" s="23" t="str">
        <f t="shared" ca="1" si="6"/>
        <v>—</v>
      </c>
      <c r="E102" s="40">
        <f t="shared" ca="1" si="7"/>
        <v>7</v>
      </c>
      <c r="F102" s="23" t="str">
        <f t="shared" ca="1" si="8"/>
        <v>—</v>
      </c>
      <c r="G102" s="40">
        <f t="shared" ca="1" si="9"/>
        <v>7</v>
      </c>
    </row>
    <row r="103" spans="1:7" x14ac:dyDescent="0.25">
      <c r="A103" s="17">
        <f t="shared" si="5"/>
        <v>81</v>
      </c>
      <c r="B103" t="str">
        <f ca="1">TEXT(DATE(YEAR(Invoer!$A$5),1,1)+INT((ROWS(B$2:B103)-1)/3),"jjjjmmdd")</f>
        <v>19430203</v>
      </c>
      <c r="C103" s="35" t="str">
        <f>INDEX(Data,2,2+MOD(ROWS(C$2:C103)-1,3))</f>
        <v>19.45</v>
      </c>
      <c r="D103" s="23" t="str">
        <f t="shared" ca="1" si="6"/>
        <v>—</v>
      </c>
      <c r="E103" s="40">
        <f t="shared" ca="1" si="7"/>
        <v>7</v>
      </c>
      <c r="F103" s="23" t="str">
        <f t="shared" ca="1" si="8"/>
        <v>—</v>
      </c>
      <c r="G103" s="40">
        <f t="shared" ca="1" si="9"/>
        <v>7</v>
      </c>
    </row>
    <row r="104" spans="1:7" x14ac:dyDescent="0.25">
      <c r="A104" s="17">
        <f t="shared" si="5"/>
        <v>81</v>
      </c>
      <c r="B104" t="str">
        <f ca="1">TEXT(DATE(YEAR(Invoer!$A$5),1,1)+INT((ROWS(B$2:B104)-1)/3),"jjjjmmdd")</f>
        <v>19430204</v>
      </c>
      <c r="C104" s="35" t="str">
        <f>INDEX(Data,2,2+MOD(ROWS(C$2:C104)-1,3))</f>
        <v>07.45</v>
      </c>
      <c r="D104" s="23" t="str">
        <f t="shared" ca="1" si="6"/>
        <v>—</v>
      </c>
      <c r="E104" s="40">
        <f t="shared" ca="1" si="7"/>
        <v>7</v>
      </c>
      <c r="F104" s="23" t="str">
        <f t="shared" ca="1" si="8"/>
        <v>—</v>
      </c>
      <c r="G104" s="40">
        <f t="shared" ca="1" si="9"/>
        <v>7</v>
      </c>
    </row>
    <row r="105" spans="1:7" x14ac:dyDescent="0.25">
      <c r="A105" s="17">
        <f t="shared" si="5"/>
        <v>81</v>
      </c>
      <c r="B105" t="str">
        <f ca="1">TEXT(DATE(YEAR(Invoer!$A$5),1,1)+INT((ROWS(B$2:B105)-1)/3),"jjjjmmdd")</f>
        <v>19430204</v>
      </c>
      <c r="C105" s="35" t="str">
        <f>INDEX(Data,2,2+MOD(ROWS(C$2:C105)-1,3))</f>
        <v>13.45</v>
      </c>
      <c r="D105" s="23" t="str">
        <f t="shared" ca="1" si="6"/>
        <v>—</v>
      </c>
      <c r="E105" s="40">
        <f t="shared" ca="1" si="7"/>
        <v>7</v>
      </c>
      <c r="F105" s="23" t="str">
        <f t="shared" ca="1" si="8"/>
        <v>—</v>
      </c>
      <c r="G105" s="40">
        <f t="shared" ca="1" si="9"/>
        <v>7</v>
      </c>
    </row>
    <row r="106" spans="1:7" x14ac:dyDescent="0.25">
      <c r="A106" s="17">
        <f t="shared" si="5"/>
        <v>81</v>
      </c>
      <c r="B106" t="str">
        <f ca="1">TEXT(DATE(YEAR(Invoer!$A$5),1,1)+INT((ROWS(B$2:B106)-1)/3),"jjjjmmdd")</f>
        <v>19430204</v>
      </c>
      <c r="C106" s="35" t="str">
        <f>INDEX(Data,2,2+MOD(ROWS(C$2:C106)-1,3))</f>
        <v>19.45</v>
      </c>
      <c r="D106" s="23" t="str">
        <f t="shared" ca="1" si="6"/>
        <v>—</v>
      </c>
      <c r="E106" s="40">
        <f t="shared" ca="1" si="7"/>
        <v>7</v>
      </c>
      <c r="F106" s="23" t="str">
        <f t="shared" ca="1" si="8"/>
        <v>—</v>
      </c>
      <c r="G106" s="40">
        <f t="shared" ca="1" si="9"/>
        <v>7</v>
      </c>
    </row>
    <row r="107" spans="1:7" x14ac:dyDescent="0.25">
      <c r="A107" s="17">
        <f t="shared" si="5"/>
        <v>81</v>
      </c>
      <c r="B107" t="str">
        <f ca="1">TEXT(DATE(YEAR(Invoer!$A$5),1,1)+INT((ROWS(B$2:B107)-1)/3),"jjjjmmdd")</f>
        <v>19430205</v>
      </c>
      <c r="C107" s="35" t="str">
        <f>INDEX(Data,2,2+MOD(ROWS(C$2:C107)-1,3))</f>
        <v>07.45</v>
      </c>
      <c r="D107" s="23" t="str">
        <f t="shared" ca="1" si="6"/>
        <v>—</v>
      </c>
      <c r="E107" s="40">
        <f t="shared" ca="1" si="7"/>
        <v>7</v>
      </c>
      <c r="F107" s="23" t="str">
        <f t="shared" ca="1" si="8"/>
        <v>—</v>
      </c>
      <c r="G107" s="40">
        <f t="shared" ca="1" si="9"/>
        <v>7</v>
      </c>
    </row>
    <row r="108" spans="1:7" x14ac:dyDescent="0.25">
      <c r="A108" s="17">
        <f t="shared" si="5"/>
        <v>81</v>
      </c>
      <c r="B108" t="str">
        <f ca="1">TEXT(DATE(YEAR(Invoer!$A$5),1,1)+INT((ROWS(B$2:B108)-1)/3),"jjjjmmdd")</f>
        <v>19430205</v>
      </c>
      <c r="C108" s="35" t="str">
        <f>INDEX(Data,2,2+MOD(ROWS(C$2:C108)-1,3))</f>
        <v>13.45</v>
      </c>
      <c r="D108" s="23" t="str">
        <f t="shared" ca="1" si="6"/>
        <v>—</v>
      </c>
      <c r="E108" s="40">
        <f t="shared" ca="1" si="7"/>
        <v>7</v>
      </c>
      <c r="F108" s="23" t="str">
        <f t="shared" ca="1" si="8"/>
        <v>—</v>
      </c>
      <c r="G108" s="40">
        <f t="shared" ca="1" si="9"/>
        <v>7</v>
      </c>
    </row>
    <row r="109" spans="1:7" x14ac:dyDescent="0.25">
      <c r="A109" s="17">
        <f t="shared" si="5"/>
        <v>81</v>
      </c>
      <c r="B109" t="str">
        <f ca="1">TEXT(DATE(YEAR(Invoer!$A$5),1,1)+INT((ROWS(B$2:B109)-1)/3),"jjjjmmdd")</f>
        <v>19430205</v>
      </c>
      <c r="C109" s="35" t="str">
        <f>INDEX(Data,2,2+MOD(ROWS(C$2:C109)-1,3))</f>
        <v>19.45</v>
      </c>
      <c r="D109" s="23" t="str">
        <f t="shared" ca="1" si="6"/>
        <v>—</v>
      </c>
      <c r="E109" s="40">
        <f t="shared" ca="1" si="7"/>
        <v>7</v>
      </c>
      <c r="F109" s="23" t="str">
        <f t="shared" ca="1" si="8"/>
        <v>—</v>
      </c>
      <c r="G109" s="40">
        <f t="shared" ca="1" si="9"/>
        <v>7</v>
      </c>
    </row>
    <row r="110" spans="1:7" x14ac:dyDescent="0.25">
      <c r="A110" s="17">
        <f t="shared" si="5"/>
        <v>81</v>
      </c>
      <c r="B110" t="str">
        <f ca="1">TEXT(DATE(YEAR(Invoer!$A$5),1,1)+INT((ROWS(B$2:B110)-1)/3),"jjjjmmdd")</f>
        <v>19430206</v>
      </c>
      <c r="C110" s="35" t="str">
        <f>INDEX(Data,2,2+MOD(ROWS(C$2:C110)-1,3))</f>
        <v>07.45</v>
      </c>
      <c r="D110" s="23" t="str">
        <f t="shared" ca="1" si="6"/>
        <v>—</v>
      </c>
      <c r="E110" s="40">
        <f t="shared" ca="1" si="7"/>
        <v>7</v>
      </c>
      <c r="F110" s="23" t="str">
        <f t="shared" ca="1" si="8"/>
        <v>—</v>
      </c>
      <c r="G110" s="40">
        <f t="shared" ca="1" si="9"/>
        <v>7</v>
      </c>
    </row>
    <row r="111" spans="1:7" x14ac:dyDescent="0.25">
      <c r="A111" s="17">
        <f t="shared" si="5"/>
        <v>81</v>
      </c>
      <c r="B111" t="str">
        <f ca="1">TEXT(DATE(YEAR(Invoer!$A$5),1,1)+INT((ROWS(B$2:B111)-1)/3),"jjjjmmdd")</f>
        <v>19430206</v>
      </c>
      <c r="C111" s="35" t="str">
        <f>INDEX(Data,2,2+MOD(ROWS(C$2:C111)-1,3))</f>
        <v>13.45</v>
      </c>
      <c r="D111" s="23" t="str">
        <f t="shared" ca="1" si="6"/>
        <v>—</v>
      </c>
      <c r="E111" s="40">
        <f t="shared" ca="1" si="7"/>
        <v>7</v>
      </c>
      <c r="F111" s="23" t="str">
        <f t="shared" ca="1" si="8"/>
        <v>—</v>
      </c>
      <c r="G111" s="40">
        <f t="shared" ca="1" si="9"/>
        <v>7</v>
      </c>
    </row>
    <row r="112" spans="1:7" x14ac:dyDescent="0.25">
      <c r="A112" s="17">
        <f t="shared" si="5"/>
        <v>81</v>
      </c>
      <c r="B112" t="str">
        <f ca="1">TEXT(DATE(YEAR(Invoer!$A$5),1,1)+INT((ROWS(B$2:B112)-1)/3),"jjjjmmdd")</f>
        <v>19430206</v>
      </c>
      <c r="C112" s="35" t="str">
        <f>INDEX(Data,2,2+MOD(ROWS(C$2:C112)-1,3))</f>
        <v>19.45</v>
      </c>
      <c r="D112" s="23" t="str">
        <f t="shared" ca="1" si="6"/>
        <v>—</v>
      </c>
      <c r="E112" s="40">
        <f t="shared" ca="1" si="7"/>
        <v>7</v>
      </c>
      <c r="F112" s="23" t="str">
        <f t="shared" ca="1" si="8"/>
        <v>—</v>
      </c>
      <c r="G112" s="40">
        <f t="shared" ca="1" si="9"/>
        <v>7</v>
      </c>
    </row>
    <row r="113" spans="1:7" x14ac:dyDescent="0.25">
      <c r="A113" s="17">
        <f t="shared" si="5"/>
        <v>81</v>
      </c>
      <c r="B113" t="str">
        <f ca="1">TEXT(DATE(YEAR(Invoer!$A$5),1,1)+INT((ROWS(B$2:B113)-1)/3),"jjjjmmdd")</f>
        <v>19430207</v>
      </c>
      <c r="C113" s="35" t="str">
        <f>INDEX(Data,2,2+MOD(ROWS(C$2:C113)-1,3))</f>
        <v>07.45</v>
      </c>
      <c r="D113" s="23" t="str">
        <f t="shared" ca="1" si="6"/>
        <v>—</v>
      </c>
      <c r="E113" s="40">
        <f t="shared" ca="1" si="7"/>
        <v>7</v>
      </c>
      <c r="F113" s="23" t="str">
        <f t="shared" ca="1" si="8"/>
        <v>—</v>
      </c>
      <c r="G113" s="40">
        <f t="shared" ca="1" si="9"/>
        <v>7</v>
      </c>
    </row>
    <row r="114" spans="1:7" x14ac:dyDescent="0.25">
      <c r="A114" s="17">
        <f t="shared" si="5"/>
        <v>81</v>
      </c>
      <c r="B114" t="str">
        <f ca="1">TEXT(DATE(YEAR(Invoer!$A$5),1,1)+INT((ROWS(B$2:B114)-1)/3),"jjjjmmdd")</f>
        <v>19430207</v>
      </c>
      <c r="C114" s="35" t="str">
        <f>INDEX(Data,2,2+MOD(ROWS(C$2:C114)-1,3))</f>
        <v>13.45</v>
      </c>
      <c r="D114" s="23" t="str">
        <f t="shared" ca="1" si="6"/>
        <v>—</v>
      </c>
      <c r="E114" s="40">
        <f t="shared" ca="1" si="7"/>
        <v>7</v>
      </c>
      <c r="F114" s="23" t="str">
        <f t="shared" ca="1" si="8"/>
        <v>—</v>
      </c>
      <c r="G114" s="40">
        <f t="shared" ca="1" si="9"/>
        <v>7</v>
      </c>
    </row>
    <row r="115" spans="1:7" x14ac:dyDescent="0.25">
      <c r="A115" s="17">
        <f t="shared" si="5"/>
        <v>81</v>
      </c>
      <c r="B115" t="str">
        <f ca="1">TEXT(DATE(YEAR(Invoer!$A$5),1,1)+INT((ROWS(B$2:B115)-1)/3),"jjjjmmdd")</f>
        <v>19430207</v>
      </c>
      <c r="C115" s="35" t="str">
        <f>INDEX(Data,2,2+MOD(ROWS(C$2:C115)-1,3))</f>
        <v>19.45</v>
      </c>
      <c r="D115" s="23" t="str">
        <f t="shared" ca="1" si="6"/>
        <v>—</v>
      </c>
      <c r="E115" s="40">
        <f t="shared" ca="1" si="7"/>
        <v>7</v>
      </c>
      <c r="F115" s="23" t="str">
        <f t="shared" ca="1" si="8"/>
        <v>—</v>
      </c>
      <c r="G115" s="40">
        <f t="shared" ca="1" si="9"/>
        <v>7</v>
      </c>
    </row>
    <row r="116" spans="1:7" x14ac:dyDescent="0.25">
      <c r="A116" s="17">
        <f t="shared" si="5"/>
        <v>81</v>
      </c>
      <c r="B116" t="str">
        <f ca="1">TEXT(DATE(YEAR(Invoer!$A$5),1,1)+INT((ROWS(B$2:B116)-1)/3),"jjjjmmdd")</f>
        <v>19430208</v>
      </c>
      <c r="C116" s="35" t="str">
        <f>INDEX(Data,2,2+MOD(ROWS(C$2:C116)-1,3))</f>
        <v>07.45</v>
      </c>
      <c r="D116" s="23" t="str">
        <f t="shared" ca="1" si="6"/>
        <v>—</v>
      </c>
      <c r="E116" s="40">
        <f t="shared" ca="1" si="7"/>
        <v>7</v>
      </c>
      <c r="F116" s="23" t="str">
        <f t="shared" ca="1" si="8"/>
        <v>—</v>
      </c>
      <c r="G116" s="40">
        <f t="shared" ca="1" si="9"/>
        <v>7</v>
      </c>
    </row>
    <row r="117" spans="1:7" x14ac:dyDescent="0.25">
      <c r="A117" s="17">
        <f t="shared" si="5"/>
        <v>81</v>
      </c>
      <c r="B117" t="str">
        <f ca="1">TEXT(DATE(YEAR(Invoer!$A$5),1,1)+INT((ROWS(B$2:B117)-1)/3),"jjjjmmdd")</f>
        <v>19430208</v>
      </c>
      <c r="C117" s="35" t="str">
        <f>INDEX(Data,2,2+MOD(ROWS(C$2:C117)-1,3))</f>
        <v>13.45</v>
      </c>
      <c r="D117" s="23" t="str">
        <f t="shared" ca="1" si="6"/>
        <v>—</v>
      </c>
      <c r="E117" s="40">
        <f t="shared" ca="1" si="7"/>
        <v>7</v>
      </c>
      <c r="F117" s="23" t="str">
        <f t="shared" ca="1" si="8"/>
        <v>—</v>
      </c>
      <c r="G117" s="40">
        <f t="shared" ca="1" si="9"/>
        <v>7</v>
      </c>
    </row>
    <row r="118" spans="1:7" x14ac:dyDescent="0.25">
      <c r="A118" s="17">
        <f t="shared" si="5"/>
        <v>81</v>
      </c>
      <c r="B118" t="str">
        <f ca="1">TEXT(DATE(YEAR(Invoer!$A$5),1,1)+INT((ROWS(B$2:B118)-1)/3),"jjjjmmdd")</f>
        <v>19430208</v>
      </c>
      <c r="C118" s="35" t="str">
        <f>INDEX(Data,2,2+MOD(ROWS(C$2:C118)-1,3))</f>
        <v>19.45</v>
      </c>
      <c r="D118" s="23" t="str">
        <f t="shared" ca="1" si="6"/>
        <v>—</v>
      </c>
      <c r="E118" s="40">
        <f t="shared" ca="1" si="7"/>
        <v>7</v>
      </c>
      <c r="F118" s="23" t="str">
        <f t="shared" ca="1" si="8"/>
        <v>—</v>
      </c>
      <c r="G118" s="40">
        <f t="shared" ca="1" si="9"/>
        <v>7</v>
      </c>
    </row>
    <row r="119" spans="1:7" x14ac:dyDescent="0.25">
      <c r="A119" s="17">
        <f t="shared" si="5"/>
        <v>81</v>
      </c>
      <c r="B119" t="str">
        <f ca="1">TEXT(DATE(YEAR(Invoer!$A$5),1,1)+INT((ROWS(B$2:B119)-1)/3),"jjjjmmdd")</f>
        <v>19430209</v>
      </c>
      <c r="C119" s="35" t="str">
        <f>INDEX(Data,2,2+MOD(ROWS(C$2:C119)-1,3))</f>
        <v>07.45</v>
      </c>
      <c r="D119" s="23" t="str">
        <f t="shared" ca="1" si="6"/>
        <v>—</v>
      </c>
      <c r="E119" s="40">
        <f t="shared" ca="1" si="7"/>
        <v>7</v>
      </c>
      <c r="F119" s="23" t="str">
        <f t="shared" ca="1" si="8"/>
        <v>—</v>
      </c>
      <c r="G119" s="40">
        <f t="shared" ca="1" si="9"/>
        <v>7</v>
      </c>
    </row>
    <row r="120" spans="1:7" x14ac:dyDescent="0.25">
      <c r="A120" s="17">
        <f t="shared" si="5"/>
        <v>81</v>
      </c>
      <c r="B120" t="str">
        <f ca="1">TEXT(DATE(YEAR(Invoer!$A$5),1,1)+INT((ROWS(B$2:B120)-1)/3),"jjjjmmdd")</f>
        <v>19430209</v>
      </c>
      <c r="C120" s="35" t="str">
        <f>INDEX(Data,2,2+MOD(ROWS(C$2:C120)-1,3))</f>
        <v>13.45</v>
      </c>
      <c r="D120" s="23" t="str">
        <f t="shared" ca="1" si="6"/>
        <v>—</v>
      </c>
      <c r="E120" s="40">
        <f t="shared" ca="1" si="7"/>
        <v>7</v>
      </c>
      <c r="F120" s="23" t="str">
        <f t="shared" ca="1" si="8"/>
        <v>—</v>
      </c>
      <c r="G120" s="40">
        <f t="shared" ca="1" si="9"/>
        <v>7</v>
      </c>
    </row>
    <row r="121" spans="1:7" x14ac:dyDescent="0.25">
      <c r="A121" s="17">
        <f t="shared" si="5"/>
        <v>81</v>
      </c>
      <c r="B121" t="str">
        <f ca="1">TEXT(DATE(YEAR(Invoer!$A$5),1,1)+INT((ROWS(B$2:B121)-1)/3),"jjjjmmdd")</f>
        <v>19430209</v>
      </c>
      <c r="C121" s="35" t="str">
        <f>INDEX(Data,2,2+MOD(ROWS(C$2:C121)-1,3))</f>
        <v>19.45</v>
      </c>
      <c r="D121" s="23" t="str">
        <f t="shared" ca="1" si="6"/>
        <v>—</v>
      </c>
      <c r="E121" s="40">
        <f t="shared" ca="1" si="7"/>
        <v>7</v>
      </c>
      <c r="F121" s="23" t="str">
        <f t="shared" ca="1" si="8"/>
        <v>—</v>
      </c>
      <c r="G121" s="40">
        <f t="shared" ca="1" si="9"/>
        <v>7</v>
      </c>
    </row>
    <row r="122" spans="1:7" x14ac:dyDescent="0.25">
      <c r="A122" s="17">
        <f t="shared" si="5"/>
        <v>81</v>
      </c>
      <c r="B122" t="str">
        <f ca="1">TEXT(DATE(YEAR(Invoer!$A$5),1,1)+INT((ROWS(B$2:B122)-1)/3),"jjjjmmdd")</f>
        <v>19430210</v>
      </c>
      <c r="C122" s="35" t="str">
        <f>INDEX(Data,2,2+MOD(ROWS(C$2:C122)-1,3))</f>
        <v>07.45</v>
      </c>
      <c r="D122" s="23" t="str">
        <f t="shared" ca="1" si="6"/>
        <v>—</v>
      </c>
      <c r="E122" s="40">
        <f t="shared" ca="1" si="7"/>
        <v>7</v>
      </c>
      <c r="F122" s="23" t="str">
        <f t="shared" ca="1" si="8"/>
        <v>—</v>
      </c>
      <c r="G122" s="40">
        <f t="shared" ca="1" si="9"/>
        <v>7</v>
      </c>
    </row>
    <row r="123" spans="1:7" x14ac:dyDescent="0.25">
      <c r="A123" s="17">
        <f t="shared" si="5"/>
        <v>81</v>
      </c>
      <c r="B123" t="str">
        <f ca="1">TEXT(DATE(YEAR(Invoer!$A$5),1,1)+INT((ROWS(B$2:B123)-1)/3),"jjjjmmdd")</f>
        <v>19430210</v>
      </c>
      <c r="C123" s="35" t="str">
        <f>INDEX(Data,2,2+MOD(ROWS(C$2:C123)-1,3))</f>
        <v>13.45</v>
      </c>
      <c r="D123" s="23" t="str">
        <f t="shared" ca="1" si="6"/>
        <v>—</v>
      </c>
      <c r="E123" s="40">
        <f t="shared" ca="1" si="7"/>
        <v>7</v>
      </c>
      <c r="F123" s="23" t="str">
        <f t="shared" ca="1" si="8"/>
        <v>—</v>
      </c>
      <c r="G123" s="40">
        <f t="shared" ca="1" si="9"/>
        <v>7</v>
      </c>
    </row>
    <row r="124" spans="1:7" x14ac:dyDescent="0.25">
      <c r="A124" s="17">
        <f t="shared" si="5"/>
        <v>81</v>
      </c>
      <c r="B124" t="str">
        <f ca="1">TEXT(DATE(YEAR(Invoer!$A$5),1,1)+INT((ROWS(B$2:B124)-1)/3),"jjjjmmdd")</f>
        <v>19430210</v>
      </c>
      <c r="C124" s="35" t="str">
        <f>INDEX(Data,2,2+MOD(ROWS(C$2:C124)-1,3))</f>
        <v>19.45</v>
      </c>
      <c r="D124" s="23" t="str">
        <f t="shared" ca="1" si="6"/>
        <v>—</v>
      </c>
      <c r="E124" s="40">
        <f t="shared" ca="1" si="7"/>
        <v>7</v>
      </c>
      <c r="F124" s="23" t="str">
        <f t="shared" ca="1" si="8"/>
        <v>—</v>
      </c>
      <c r="G124" s="40">
        <f t="shared" ca="1" si="9"/>
        <v>7</v>
      </c>
    </row>
    <row r="125" spans="1:7" x14ac:dyDescent="0.25">
      <c r="A125" s="17">
        <f t="shared" si="5"/>
        <v>81</v>
      </c>
      <c r="B125" t="str">
        <f ca="1">TEXT(DATE(YEAR(Invoer!$A$5),1,1)+INT((ROWS(B$2:B125)-1)/3),"jjjjmmdd")</f>
        <v>19430211</v>
      </c>
      <c r="C125" s="35" t="str">
        <f>INDEX(Data,2,2+MOD(ROWS(C$2:C125)-1,3))</f>
        <v>07.45</v>
      </c>
      <c r="D125" s="23" t="str">
        <f t="shared" ca="1" si="6"/>
        <v>—</v>
      </c>
      <c r="E125" s="40">
        <f t="shared" ca="1" si="7"/>
        <v>7</v>
      </c>
      <c r="F125" s="23" t="str">
        <f t="shared" ca="1" si="8"/>
        <v>—</v>
      </c>
      <c r="G125" s="40">
        <f t="shared" ca="1" si="9"/>
        <v>7</v>
      </c>
    </row>
    <row r="126" spans="1:7" x14ac:dyDescent="0.25">
      <c r="A126" s="17">
        <f t="shared" si="5"/>
        <v>81</v>
      </c>
      <c r="B126" t="str">
        <f ca="1">TEXT(DATE(YEAR(Invoer!$A$5),1,1)+INT((ROWS(B$2:B126)-1)/3),"jjjjmmdd")</f>
        <v>19430211</v>
      </c>
      <c r="C126" s="35" t="str">
        <f>INDEX(Data,2,2+MOD(ROWS(C$2:C126)-1,3))</f>
        <v>13.45</v>
      </c>
      <c r="D126" s="23" t="str">
        <f t="shared" ca="1" si="6"/>
        <v>—</v>
      </c>
      <c r="E126" s="40">
        <f t="shared" ca="1" si="7"/>
        <v>7</v>
      </c>
      <c r="F126" s="23" t="str">
        <f t="shared" ca="1" si="8"/>
        <v>—</v>
      </c>
      <c r="G126" s="40">
        <f t="shared" ca="1" si="9"/>
        <v>7</v>
      </c>
    </row>
    <row r="127" spans="1:7" x14ac:dyDescent="0.25">
      <c r="A127" s="17">
        <f t="shared" si="5"/>
        <v>81</v>
      </c>
      <c r="B127" t="str">
        <f ca="1">TEXT(DATE(YEAR(Invoer!$A$5),1,1)+INT((ROWS(B$2:B127)-1)/3),"jjjjmmdd")</f>
        <v>19430211</v>
      </c>
      <c r="C127" s="35" t="str">
        <f>INDEX(Data,2,2+MOD(ROWS(C$2:C127)-1,3))</f>
        <v>19.45</v>
      </c>
      <c r="D127" s="23" t="str">
        <f t="shared" ca="1" si="6"/>
        <v>—</v>
      </c>
      <c r="E127" s="40">
        <f t="shared" ca="1" si="7"/>
        <v>7</v>
      </c>
      <c r="F127" s="23" t="str">
        <f t="shared" ca="1" si="8"/>
        <v>—</v>
      </c>
      <c r="G127" s="40">
        <f t="shared" ca="1" si="9"/>
        <v>7</v>
      </c>
    </row>
    <row r="128" spans="1:7" x14ac:dyDescent="0.25">
      <c r="A128" s="17">
        <f t="shared" si="5"/>
        <v>81</v>
      </c>
      <c r="B128" t="str">
        <f ca="1">TEXT(DATE(YEAR(Invoer!$A$5),1,1)+INT((ROWS(B$2:B128)-1)/3),"jjjjmmdd")</f>
        <v>19430212</v>
      </c>
      <c r="C128" s="35" t="str">
        <f>INDEX(Data,2,2+MOD(ROWS(C$2:C128)-1,3))</f>
        <v>07.45</v>
      </c>
      <c r="D128" s="23" t="str">
        <f t="shared" ca="1" si="6"/>
        <v>—</v>
      </c>
      <c r="E128" s="40">
        <f t="shared" ca="1" si="7"/>
        <v>7</v>
      </c>
      <c r="F128" s="23" t="str">
        <f t="shared" ca="1" si="8"/>
        <v>—</v>
      </c>
      <c r="G128" s="40">
        <f t="shared" ca="1" si="9"/>
        <v>7</v>
      </c>
    </row>
    <row r="129" spans="1:7" x14ac:dyDescent="0.25">
      <c r="A129" s="17">
        <f t="shared" si="5"/>
        <v>81</v>
      </c>
      <c r="B129" t="str">
        <f ca="1">TEXT(DATE(YEAR(Invoer!$A$5),1,1)+INT((ROWS(B$2:B129)-1)/3),"jjjjmmdd")</f>
        <v>19430212</v>
      </c>
      <c r="C129" s="35" t="str">
        <f>INDEX(Data,2,2+MOD(ROWS(C$2:C129)-1,3))</f>
        <v>13.45</v>
      </c>
      <c r="D129" s="23" t="str">
        <f t="shared" ca="1" si="6"/>
        <v>—</v>
      </c>
      <c r="E129" s="40">
        <f t="shared" ca="1" si="7"/>
        <v>7</v>
      </c>
      <c r="F129" s="23" t="str">
        <f t="shared" ca="1" si="8"/>
        <v>—</v>
      </c>
      <c r="G129" s="40">
        <f t="shared" ca="1" si="9"/>
        <v>7</v>
      </c>
    </row>
    <row r="130" spans="1:7" x14ac:dyDescent="0.25">
      <c r="A130" s="17">
        <f t="shared" ref="A130:A193" si="10">INDEX(Stations,2,1)</f>
        <v>81</v>
      </c>
      <c r="B130" t="str">
        <f ca="1">TEXT(DATE(YEAR(Invoer!$A$5),1,1)+INT((ROWS(B$2:B130)-1)/3),"jjjjmmdd")</f>
        <v>19430212</v>
      </c>
      <c r="C130" s="35" t="str">
        <f>INDEX(Data,2,2+MOD(ROWS(C$2:C130)-1,3))</f>
        <v>19.45</v>
      </c>
      <c r="D130" s="23" t="str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—</v>
      </c>
      <c r="E130" s="40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7</v>
      </c>
      <c r="F130" s="23" t="str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)</f>
        <v>—</v>
      </c>
      <c r="G130" s="40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7</v>
      </c>
    </row>
    <row r="131" spans="1:7" x14ac:dyDescent="0.25">
      <c r="A131" s="17">
        <f t="shared" si="10"/>
        <v>81</v>
      </c>
      <c r="B131" t="str">
        <f ca="1">TEXT(DATE(YEAR(Invoer!$A$5),1,1)+INT((ROWS(B$2:B131)-1)/3),"jjjjmmdd")</f>
        <v>19430213</v>
      </c>
      <c r="C131" s="35" t="str">
        <f>INDEX(Data,2,2+MOD(ROWS(C$2:C131)-1,3))</f>
        <v>07.45</v>
      </c>
      <c r="D131" s="23" t="str">
        <f t="shared" ca="1" si="11"/>
        <v>—</v>
      </c>
      <c r="E131" s="40">
        <f t="shared" ca="1" si="12"/>
        <v>7</v>
      </c>
      <c r="F131" s="23" t="str">
        <f t="shared" ca="1" si="13"/>
        <v>—</v>
      </c>
      <c r="G131" s="40">
        <f t="shared" ca="1" si="14"/>
        <v>7</v>
      </c>
    </row>
    <row r="132" spans="1:7" x14ac:dyDescent="0.25">
      <c r="A132" s="17">
        <f t="shared" si="10"/>
        <v>81</v>
      </c>
      <c r="B132" t="str">
        <f ca="1">TEXT(DATE(YEAR(Invoer!$A$5),1,1)+INT((ROWS(B$2:B132)-1)/3),"jjjjmmdd")</f>
        <v>19430213</v>
      </c>
      <c r="C132" s="35" t="str">
        <f>INDEX(Data,2,2+MOD(ROWS(C$2:C132)-1,3))</f>
        <v>13.45</v>
      </c>
      <c r="D132" s="23" t="str">
        <f t="shared" ca="1" si="11"/>
        <v>—</v>
      </c>
      <c r="E132" s="40">
        <f t="shared" ca="1" si="12"/>
        <v>7</v>
      </c>
      <c r="F132" s="23" t="str">
        <f t="shared" ca="1" si="13"/>
        <v>—</v>
      </c>
      <c r="G132" s="40">
        <f t="shared" ca="1" si="14"/>
        <v>7</v>
      </c>
    </row>
    <row r="133" spans="1:7" x14ac:dyDescent="0.25">
      <c r="A133" s="17">
        <f t="shared" si="10"/>
        <v>81</v>
      </c>
      <c r="B133" t="str">
        <f ca="1">TEXT(DATE(YEAR(Invoer!$A$5),1,1)+INT((ROWS(B$2:B133)-1)/3),"jjjjmmdd")</f>
        <v>19430213</v>
      </c>
      <c r="C133" s="35" t="str">
        <f>INDEX(Data,2,2+MOD(ROWS(C$2:C133)-1,3))</f>
        <v>19.45</v>
      </c>
      <c r="D133" s="23" t="str">
        <f t="shared" ca="1" si="11"/>
        <v>—</v>
      </c>
      <c r="E133" s="40">
        <f t="shared" ca="1" si="12"/>
        <v>7</v>
      </c>
      <c r="F133" s="23" t="str">
        <f t="shared" ca="1" si="13"/>
        <v>—</v>
      </c>
      <c r="G133" s="40">
        <f t="shared" ca="1" si="14"/>
        <v>7</v>
      </c>
    </row>
    <row r="134" spans="1:7" x14ac:dyDescent="0.25">
      <c r="A134" s="17">
        <f t="shared" si="10"/>
        <v>81</v>
      </c>
      <c r="B134" t="str">
        <f ca="1">TEXT(DATE(YEAR(Invoer!$A$5),1,1)+INT((ROWS(B$2:B134)-1)/3),"jjjjmmdd")</f>
        <v>19430214</v>
      </c>
      <c r="C134" s="35" t="str">
        <f>INDEX(Data,2,2+MOD(ROWS(C$2:C134)-1,3))</f>
        <v>07.45</v>
      </c>
      <c r="D134" s="23" t="str">
        <f t="shared" ca="1" si="11"/>
        <v>—</v>
      </c>
      <c r="E134" s="40">
        <f t="shared" ca="1" si="12"/>
        <v>7</v>
      </c>
      <c r="F134" s="23" t="str">
        <f t="shared" ca="1" si="13"/>
        <v>—</v>
      </c>
      <c r="G134" s="40">
        <f t="shared" ca="1" si="14"/>
        <v>7</v>
      </c>
    </row>
    <row r="135" spans="1:7" x14ac:dyDescent="0.25">
      <c r="A135" s="17">
        <f t="shared" si="10"/>
        <v>81</v>
      </c>
      <c r="B135" t="str">
        <f ca="1">TEXT(DATE(YEAR(Invoer!$A$5),1,1)+INT((ROWS(B$2:B135)-1)/3),"jjjjmmdd")</f>
        <v>19430214</v>
      </c>
      <c r="C135" s="35" t="str">
        <f>INDEX(Data,2,2+MOD(ROWS(C$2:C135)-1,3))</f>
        <v>13.45</v>
      </c>
      <c r="D135" s="23" t="str">
        <f t="shared" ca="1" si="11"/>
        <v>—</v>
      </c>
      <c r="E135" s="40">
        <f t="shared" ca="1" si="12"/>
        <v>7</v>
      </c>
      <c r="F135" s="23" t="str">
        <f t="shared" ca="1" si="13"/>
        <v>—</v>
      </c>
      <c r="G135" s="40">
        <f t="shared" ca="1" si="14"/>
        <v>7</v>
      </c>
    </row>
    <row r="136" spans="1:7" x14ac:dyDescent="0.25">
      <c r="A136" s="17">
        <f t="shared" si="10"/>
        <v>81</v>
      </c>
      <c r="B136" t="str">
        <f ca="1">TEXT(DATE(YEAR(Invoer!$A$5),1,1)+INT((ROWS(B$2:B136)-1)/3),"jjjjmmdd")</f>
        <v>19430214</v>
      </c>
      <c r="C136" s="35" t="str">
        <f>INDEX(Data,2,2+MOD(ROWS(C$2:C136)-1,3))</f>
        <v>19.45</v>
      </c>
      <c r="D136" s="23" t="str">
        <f t="shared" ca="1" si="11"/>
        <v>—</v>
      </c>
      <c r="E136" s="40">
        <f t="shared" ca="1" si="12"/>
        <v>7</v>
      </c>
      <c r="F136" s="23" t="str">
        <f t="shared" ca="1" si="13"/>
        <v>—</v>
      </c>
      <c r="G136" s="40">
        <f t="shared" ca="1" si="14"/>
        <v>7</v>
      </c>
    </row>
    <row r="137" spans="1:7" x14ac:dyDescent="0.25">
      <c r="A137" s="17">
        <f t="shared" si="10"/>
        <v>81</v>
      </c>
      <c r="B137" t="str">
        <f ca="1">TEXT(DATE(YEAR(Invoer!$A$5),1,1)+INT((ROWS(B$2:B137)-1)/3),"jjjjmmdd")</f>
        <v>19430215</v>
      </c>
      <c r="C137" s="35" t="str">
        <f>INDEX(Data,2,2+MOD(ROWS(C$2:C137)-1,3))</f>
        <v>07.45</v>
      </c>
      <c r="D137" s="23" t="str">
        <f t="shared" ca="1" si="11"/>
        <v>—</v>
      </c>
      <c r="E137" s="40">
        <f t="shared" ca="1" si="12"/>
        <v>7</v>
      </c>
      <c r="F137" s="23" t="str">
        <f t="shared" ca="1" si="13"/>
        <v>—</v>
      </c>
      <c r="G137" s="40">
        <f t="shared" ca="1" si="14"/>
        <v>7</v>
      </c>
    </row>
    <row r="138" spans="1:7" x14ac:dyDescent="0.25">
      <c r="A138" s="17">
        <f t="shared" si="10"/>
        <v>81</v>
      </c>
      <c r="B138" t="str">
        <f ca="1">TEXT(DATE(YEAR(Invoer!$A$5),1,1)+INT((ROWS(B$2:B138)-1)/3),"jjjjmmdd")</f>
        <v>19430215</v>
      </c>
      <c r="C138" s="35" t="str">
        <f>INDEX(Data,2,2+MOD(ROWS(C$2:C138)-1,3))</f>
        <v>13.45</v>
      </c>
      <c r="D138" s="23" t="str">
        <f t="shared" ca="1" si="11"/>
        <v>—</v>
      </c>
      <c r="E138" s="40">
        <f t="shared" ca="1" si="12"/>
        <v>7</v>
      </c>
      <c r="F138" s="23" t="str">
        <f t="shared" ca="1" si="13"/>
        <v>—</v>
      </c>
      <c r="G138" s="40">
        <f t="shared" ca="1" si="14"/>
        <v>7</v>
      </c>
    </row>
    <row r="139" spans="1:7" x14ac:dyDescent="0.25">
      <c r="A139" s="17">
        <f t="shared" si="10"/>
        <v>81</v>
      </c>
      <c r="B139" t="str">
        <f ca="1">TEXT(DATE(YEAR(Invoer!$A$5),1,1)+INT((ROWS(B$2:B139)-1)/3),"jjjjmmdd")</f>
        <v>19430215</v>
      </c>
      <c r="C139" s="35" t="str">
        <f>INDEX(Data,2,2+MOD(ROWS(C$2:C139)-1,3))</f>
        <v>19.45</v>
      </c>
      <c r="D139" s="23" t="str">
        <f t="shared" ca="1" si="11"/>
        <v>—</v>
      </c>
      <c r="E139" s="40">
        <f t="shared" ca="1" si="12"/>
        <v>7</v>
      </c>
      <c r="F139" s="23" t="str">
        <f t="shared" ca="1" si="13"/>
        <v>—</v>
      </c>
      <c r="G139" s="40">
        <f t="shared" ca="1" si="14"/>
        <v>7</v>
      </c>
    </row>
    <row r="140" spans="1:7" x14ac:dyDescent="0.25">
      <c r="A140" s="17">
        <f t="shared" si="10"/>
        <v>81</v>
      </c>
      <c r="B140" t="str">
        <f ca="1">TEXT(DATE(YEAR(Invoer!$A$5),1,1)+INT((ROWS(B$2:B140)-1)/3),"jjjjmmdd")</f>
        <v>19430216</v>
      </c>
      <c r="C140" s="35" t="str">
        <f>INDEX(Data,2,2+MOD(ROWS(C$2:C140)-1,3))</f>
        <v>07.45</v>
      </c>
      <c r="D140" s="23" t="str">
        <f t="shared" ca="1" si="11"/>
        <v>—</v>
      </c>
      <c r="E140" s="40">
        <f t="shared" ca="1" si="12"/>
        <v>7</v>
      </c>
      <c r="F140" s="23" t="str">
        <f t="shared" ca="1" si="13"/>
        <v>—</v>
      </c>
      <c r="G140" s="40">
        <f t="shared" ca="1" si="14"/>
        <v>7</v>
      </c>
    </row>
    <row r="141" spans="1:7" x14ac:dyDescent="0.25">
      <c r="A141" s="17">
        <f t="shared" si="10"/>
        <v>81</v>
      </c>
      <c r="B141" t="str">
        <f ca="1">TEXT(DATE(YEAR(Invoer!$A$5),1,1)+INT((ROWS(B$2:B141)-1)/3),"jjjjmmdd")</f>
        <v>19430216</v>
      </c>
      <c r="C141" s="35" t="str">
        <f>INDEX(Data,2,2+MOD(ROWS(C$2:C141)-1,3))</f>
        <v>13.45</v>
      </c>
      <c r="D141" s="23" t="str">
        <f t="shared" ca="1" si="11"/>
        <v>—</v>
      </c>
      <c r="E141" s="40">
        <f t="shared" ca="1" si="12"/>
        <v>7</v>
      </c>
      <c r="F141" s="23" t="str">
        <f t="shared" ca="1" si="13"/>
        <v>—</v>
      </c>
      <c r="G141" s="40">
        <f t="shared" ca="1" si="14"/>
        <v>7</v>
      </c>
    </row>
    <row r="142" spans="1:7" x14ac:dyDescent="0.25">
      <c r="A142" s="17">
        <f t="shared" si="10"/>
        <v>81</v>
      </c>
      <c r="B142" t="str">
        <f ca="1">TEXT(DATE(YEAR(Invoer!$A$5),1,1)+INT((ROWS(B$2:B142)-1)/3),"jjjjmmdd")</f>
        <v>19430216</v>
      </c>
      <c r="C142" s="35" t="str">
        <f>INDEX(Data,2,2+MOD(ROWS(C$2:C142)-1,3))</f>
        <v>19.45</v>
      </c>
      <c r="D142" s="23" t="str">
        <f t="shared" ca="1" si="11"/>
        <v>—</v>
      </c>
      <c r="E142" s="40">
        <f t="shared" ca="1" si="12"/>
        <v>7</v>
      </c>
      <c r="F142" s="23" t="str">
        <f t="shared" ca="1" si="13"/>
        <v>—</v>
      </c>
      <c r="G142" s="40">
        <f t="shared" ca="1" si="14"/>
        <v>7</v>
      </c>
    </row>
    <row r="143" spans="1:7" x14ac:dyDescent="0.25">
      <c r="A143" s="17">
        <f t="shared" si="10"/>
        <v>81</v>
      </c>
      <c r="B143" t="str">
        <f ca="1">TEXT(DATE(YEAR(Invoer!$A$5),1,1)+INT((ROWS(B$2:B143)-1)/3),"jjjjmmdd")</f>
        <v>19430217</v>
      </c>
      <c r="C143" s="35" t="str">
        <f>INDEX(Data,2,2+MOD(ROWS(C$2:C143)-1,3))</f>
        <v>07.45</v>
      </c>
      <c r="D143" s="23" t="str">
        <f t="shared" ca="1" si="11"/>
        <v>—</v>
      </c>
      <c r="E143" s="40">
        <f t="shared" ca="1" si="12"/>
        <v>7</v>
      </c>
      <c r="F143" s="23" t="str">
        <f t="shared" ca="1" si="13"/>
        <v>—</v>
      </c>
      <c r="G143" s="40">
        <f t="shared" ca="1" si="14"/>
        <v>7</v>
      </c>
    </row>
    <row r="144" spans="1:7" x14ac:dyDescent="0.25">
      <c r="A144" s="17">
        <f t="shared" si="10"/>
        <v>81</v>
      </c>
      <c r="B144" t="str">
        <f ca="1">TEXT(DATE(YEAR(Invoer!$A$5),1,1)+INT((ROWS(B$2:B144)-1)/3),"jjjjmmdd")</f>
        <v>19430217</v>
      </c>
      <c r="C144" s="35" t="str">
        <f>INDEX(Data,2,2+MOD(ROWS(C$2:C144)-1,3))</f>
        <v>13.45</v>
      </c>
      <c r="D144" s="23" t="str">
        <f t="shared" ca="1" si="11"/>
        <v>—</v>
      </c>
      <c r="E144" s="40">
        <f t="shared" ca="1" si="12"/>
        <v>7</v>
      </c>
      <c r="F144" s="23" t="str">
        <f t="shared" ca="1" si="13"/>
        <v>—</v>
      </c>
      <c r="G144" s="40">
        <f t="shared" ca="1" si="14"/>
        <v>7</v>
      </c>
    </row>
    <row r="145" spans="1:7" x14ac:dyDescent="0.25">
      <c r="A145" s="17">
        <f t="shared" si="10"/>
        <v>81</v>
      </c>
      <c r="B145" t="str">
        <f ca="1">TEXT(DATE(YEAR(Invoer!$A$5),1,1)+INT((ROWS(B$2:B145)-1)/3),"jjjjmmdd")</f>
        <v>19430217</v>
      </c>
      <c r="C145" s="35" t="str">
        <f>INDEX(Data,2,2+MOD(ROWS(C$2:C145)-1,3))</f>
        <v>19.45</v>
      </c>
      <c r="D145" s="23" t="str">
        <f t="shared" ca="1" si="11"/>
        <v>—</v>
      </c>
      <c r="E145" s="40">
        <f t="shared" ca="1" si="12"/>
        <v>7</v>
      </c>
      <c r="F145" s="23" t="str">
        <f t="shared" ca="1" si="13"/>
        <v>—</v>
      </c>
      <c r="G145" s="40">
        <f t="shared" ca="1" si="14"/>
        <v>7</v>
      </c>
    </row>
    <row r="146" spans="1:7" x14ac:dyDescent="0.25">
      <c r="A146" s="17">
        <f t="shared" si="10"/>
        <v>81</v>
      </c>
      <c r="B146" t="str">
        <f ca="1">TEXT(DATE(YEAR(Invoer!$A$5),1,1)+INT((ROWS(B$2:B146)-1)/3),"jjjjmmdd")</f>
        <v>19430218</v>
      </c>
      <c r="C146" s="35" t="str">
        <f>INDEX(Data,2,2+MOD(ROWS(C$2:C146)-1,3))</f>
        <v>07.45</v>
      </c>
      <c r="D146" s="23" t="str">
        <f t="shared" ca="1" si="11"/>
        <v>—</v>
      </c>
      <c r="E146" s="40">
        <f t="shared" ca="1" si="12"/>
        <v>7</v>
      </c>
      <c r="F146" s="23" t="str">
        <f t="shared" ca="1" si="13"/>
        <v>—</v>
      </c>
      <c r="G146" s="40">
        <f t="shared" ca="1" si="14"/>
        <v>7</v>
      </c>
    </row>
    <row r="147" spans="1:7" x14ac:dyDescent="0.25">
      <c r="A147" s="17">
        <f t="shared" si="10"/>
        <v>81</v>
      </c>
      <c r="B147" t="str">
        <f ca="1">TEXT(DATE(YEAR(Invoer!$A$5),1,1)+INT((ROWS(B$2:B147)-1)/3),"jjjjmmdd")</f>
        <v>19430218</v>
      </c>
      <c r="C147" s="35" t="str">
        <f>INDEX(Data,2,2+MOD(ROWS(C$2:C147)-1,3))</f>
        <v>13.45</v>
      </c>
      <c r="D147" s="23" t="str">
        <f t="shared" ca="1" si="11"/>
        <v>—</v>
      </c>
      <c r="E147" s="40">
        <f t="shared" ca="1" si="12"/>
        <v>7</v>
      </c>
      <c r="F147" s="23" t="str">
        <f t="shared" ca="1" si="13"/>
        <v>—</v>
      </c>
      <c r="G147" s="40">
        <f t="shared" ca="1" si="14"/>
        <v>7</v>
      </c>
    </row>
    <row r="148" spans="1:7" x14ac:dyDescent="0.25">
      <c r="A148" s="17">
        <f t="shared" si="10"/>
        <v>81</v>
      </c>
      <c r="B148" t="str">
        <f ca="1">TEXT(DATE(YEAR(Invoer!$A$5),1,1)+INT((ROWS(B$2:B148)-1)/3),"jjjjmmdd")</f>
        <v>19430218</v>
      </c>
      <c r="C148" s="35" t="str">
        <f>INDEX(Data,2,2+MOD(ROWS(C$2:C148)-1,3))</f>
        <v>19.45</v>
      </c>
      <c r="D148" s="23" t="str">
        <f t="shared" ca="1" si="11"/>
        <v>—</v>
      </c>
      <c r="E148" s="40">
        <f t="shared" ca="1" si="12"/>
        <v>7</v>
      </c>
      <c r="F148" s="23" t="str">
        <f t="shared" ca="1" si="13"/>
        <v>—</v>
      </c>
      <c r="G148" s="40">
        <f t="shared" ca="1" si="14"/>
        <v>7</v>
      </c>
    </row>
    <row r="149" spans="1:7" x14ac:dyDescent="0.25">
      <c r="A149" s="17">
        <f t="shared" si="10"/>
        <v>81</v>
      </c>
      <c r="B149" t="str">
        <f ca="1">TEXT(DATE(YEAR(Invoer!$A$5),1,1)+INT((ROWS(B$2:B149)-1)/3),"jjjjmmdd")</f>
        <v>19430219</v>
      </c>
      <c r="C149" s="35" t="str">
        <f>INDEX(Data,2,2+MOD(ROWS(C$2:C149)-1,3))</f>
        <v>07.45</v>
      </c>
      <c r="D149" s="23" t="str">
        <f t="shared" ca="1" si="11"/>
        <v>—</v>
      </c>
      <c r="E149" s="40">
        <f t="shared" ca="1" si="12"/>
        <v>7</v>
      </c>
      <c r="F149" s="23" t="str">
        <f t="shared" ca="1" si="13"/>
        <v>—</v>
      </c>
      <c r="G149" s="40">
        <f t="shared" ca="1" si="14"/>
        <v>7</v>
      </c>
    </row>
    <row r="150" spans="1:7" x14ac:dyDescent="0.25">
      <c r="A150" s="17">
        <f t="shared" si="10"/>
        <v>81</v>
      </c>
      <c r="B150" t="str">
        <f ca="1">TEXT(DATE(YEAR(Invoer!$A$5),1,1)+INT((ROWS(B$2:B150)-1)/3),"jjjjmmdd")</f>
        <v>19430219</v>
      </c>
      <c r="C150" s="35" t="str">
        <f>INDEX(Data,2,2+MOD(ROWS(C$2:C150)-1,3))</f>
        <v>13.45</v>
      </c>
      <c r="D150" s="23" t="str">
        <f t="shared" ca="1" si="11"/>
        <v>—</v>
      </c>
      <c r="E150" s="40">
        <f t="shared" ca="1" si="12"/>
        <v>7</v>
      </c>
      <c r="F150" s="23" t="str">
        <f t="shared" ca="1" si="13"/>
        <v>—</v>
      </c>
      <c r="G150" s="40">
        <f t="shared" ca="1" si="14"/>
        <v>7</v>
      </c>
    </row>
    <row r="151" spans="1:7" x14ac:dyDescent="0.25">
      <c r="A151" s="17">
        <f t="shared" si="10"/>
        <v>81</v>
      </c>
      <c r="B151" t="str">
        <f ca="1">TEXT(DATE(YEAR(Invoer!$A$5),1,1)+INT((ROWS(B$2:B151)-1)/3),"jjjjmmdd")</f>
        <v>19430219</v>
      </c>
      <c r="C151" s="35" t="str">
        <f>INDEX(Data,2,2+MOD(ROWS(C$2:C151)-1,3))</f>
        <v>19.45</v>
      </c>
      <c r="D151" s="23" t="str">
        <f t="shared" ca="1" si="11"/>
        <v>—</v>
      </c>
      <c r="E151" s="40">
        <f t="shared" ca="1" si="12"/>
        <v>7</v>
      </c>
      <c r="F151" s="23" t="str">
        <f t="shared" ca="1" si="13"/>
        <v>—</v>
      </c>
      <c r="G151" s="40">
        <f t="shared" ca="1" si="14"/>
        <v>7</v>
      </c>
    </row>
    <row r="152" spans="1:7" x14ac:dyDescent="0.25">
      <c r="A152" s="17">
        <f t="shared" si="10"/>
        <v>81</v>
      </c>
      <c r="B152" t="str">
        <f ca="1">TEXT(DATE(YEAR(Invoer!$A$5),1,1)+INT((ROWS(B$2:B152)-1)/3),"jjjjmmdd")</f>
        <v>19430220</v>
      </c>
      <c r="C152" s="35" t="str">
        <f>INDEX(Data,2,2+MOD(ROWS(C$2:C152)-1,3))</f>
        <v>07.45</v>
      </c>
      <c r="D152" s="23" t="str">
        <f t="shared" ca="1" si="11"/>
        <v>—</v>
      </c>
      <c r="E152" s="40">
        <f t="shared" ca="1" si="12"/>
        <v>7</v>
      </c>
      <c r="F152" s="23" t="str">
        <f t="shared" ca="1" si="13"/>
        <v>—</v>
      </c>
      <c r="G152" s="40">
        <f t="shared" ca="1" si="14"/>
        <v>7</v>
      </c>
    </row>
    <row r="153" spans="1:7" x14ac:dyDescent="0.25">
      <c r="A153" s="17">
        <f t="shared" si="10"/>
        <v>81</v>
      </c>
      <c r="B153" t="str">
        <f ca="1">TEXT(DATE(YEAR(Invoer!$A$5),1,1)+INT((ROWS(B$2:B153)-1)/3),"jjjjmmdd")</f>
        <v>19430220</v>
      </c>
      <c r="C153" s="35" t="str">
        <f>INDEX(Data,2,2+MOD(ROWS(C$2:C153)-1,3))</f>
        <v>13.45</v>
      </c>
      <c r="D153" s="23" t="str">
        <f t="shared" ca="1" si="11"/>
        <v>—</v>
      </c>
      <c r="E153" s="40">
        <f t="shared" ca="1" si="12"/>
        <v>7</v>
      </c>
      <c r="F153" s="23" t="str">
        <f t="shared" ca="1" si="13"/>
        <v>—</v>
      </c>
      <c r="G153" s="40">
        <f t="shared" ca="1" si="14"/>
        <v>7</v>
      </c>
    </row>
    <row r="154" spans="1:7" x14ac:dyDescent="0.25">
      <c r="A154" s="17">
        <f t="shared" si="10"/>
        <v>81</v>
      </c>
      <c r="B154" t="str">
        <f ca="1">TEXT(DATE(YEAR(Invoer!$A$5),1,1)+INT((ROWS(B$2:B154)-1)/3),"jjjjmmdd")</f>
        <v>19430220</v>
      </c>
      <c r="C154" s="35" t="str">
        <f>INDEX(Data,2,2+MOD(ROWS(C$2:C154)-1,3))</f>
        <v>19.45</v>
      </c>
      <c r="D154" s="23" t="str">
        <f t="shared" ca="1" si="11"/>
        <v>—</v>
      </c>
      <c r="E154" s="40">
        <f t="shared" ca="1" si="12"/>
        <v>7</v>
      </c>
      <c r="F154" s="23" t="str">
        <f t="shared" ca="1" si="13"/>
        <v>—</v>
      </c>
      <c r="G154" s="40">
        <f t="shared" ca="1" si="14"/>
        <v>7</v>
      </c>
    </row>
    <row r="155" spans="1:7" x14ac:dyDescent="0.25">
      <c r="A155" s="17">
        <f t="shared" si="10"/>
        <v>81</v>
      </c>
      <c r="B155" t="str">
        <f ca="1">TEXT(DATE(YEAR(Invoer!$A$5),1,1)+INT((ROWS(B$2:B155)-1)/3),"jjjjmmdd")</f>
        <v>19430221</v>
      </c>
      <c r="C155" s="35" t="str">
        <f>INDEX(Data,2,2+MOD(ROWS(C$2:C155)-1,3))</f>
        <v>07.45</v>
      </c>
      <c r="D155" s="23" t="str">
        <f t="shared" ca="1" si="11"/>
        <v>—</v>
      </c>
      <c r="E155" s="40">
        <f t="shared" ca="1" si="12"/>
        <v>7</v>
      </c>
      <c r="F155" s="23" t="str">
        <f t="shared" ca="1" si="13"/>
        <v>—</v>
      </c>
      <c r="G155" s="40">
        <f t="shared" ca="1" si="14"/>
        <v>7</v>
      </c>
    </row>
    <row r="156" spans="1:7" x14ac:dyDescent="0.25">
      <c r="A156" s="17">
        <f t="shared" si="10"/>
        <v>81</v>
      </c>
      <c r="B156" t="str">
        <f ca="1">TEXT(DATE(YEAR(Invoer!$A$5),1,1)+INT((ROWS(B$2:B156)-1)/3),"jjjjmmdd")</f>
        <v>19430221</v>
      </c>
      <c r="C156" s="35" t="str">
        <f>INDEX(Data,2,2+MOD(ROWS(C$2:C156)-1,3))</f>
        <v>13.45</v>
      </c>
      <c r="D156" s="23" t="str">
        <f t="shared" ca="1" si="11"/>
        <v>—</v>
      </c>
      <c r="E156" s="40">
        <f t="shared" ca="1" si="12"/>
        <v>7</v>
      </c>
      <c r="F156" s="23" t="str">
        <f t="shared" ca="1" si="13"/>
        <v>—</v>
      </c>
      <c r="G156" s="40">
        <f t="shared" ca="1" si="14"/>
        <v>7</v>
      </c>
    </row>
    <row r="157" spans="1:7" x14ac:dyDescent="0.25">
      <c r="A157" s="17">
        <f t="shared" si="10"/>
        <v>81</v>
      </c>
      <c r="B157" t="str">
        <f ca="1">TEXT(DATE(YEAR(Invoer!$A$5),1,1)+INT((ROWS(B$2:B157)-1)/3),"jjjjmmdd")</f>
        <v>19430221</v>
      </c>
      <c r="C157" s="35" t="str">
        <f>INDEX(Data,2,2+MOD(ROWS(C$2:C157)-1,3))</f>
        <v>19.45</v>
      </c>
      <c r="D157" s="23" t="str">
        <f t="shared" ca="1" si="11"/>
        <v>—</v>
      </c>
      <c r="E157" s="40">
        <f t="shared" ca="1" si="12"/>
        <v>7</v>
      </c>
      <c r="F157" s="23" t="str">
        <f t="shared" ca="1" si="13"/>
        <v>—</v>
      </c>
      <c r="G157" s="40">
        <f t="shared" ca="1" si="14"/>
        <v>7</v>
      </c>
    </row>
    <row r="158" spans="1:7" x14ac:dyDescent="0.25">
      <c r="A158" s="17">
        <f t="shared" si="10"/>
        <v>81</v>
      </c>
      <c r="B158" t="str">
        <f ca="1">TEXT(DATE(YEAR(Invoer!$A$5),1,1)+INT((ROWS(B$2:B158)-1)/3),"jjjjmmdd")</f>
        <v>19430222</v>
      </c>
      <c r="C158" s="35" t="str">
        <f>INDEX(Data,2,2+MOD(ROWS(C$2:C158)-1,3))</f>
        <v>07.45</v>
      </c>
      <c r="D158" s="23" t="str">
        <f t="shared" ca="1" si="11"/>
        <v>—</v>
      </c>
      <c r="E158" s="40">
        <f t="shared" ca="1" si="12"/>
        <v>7</v>
      </c>
      <c r="F158" s="23" t="str">
        <f t="shared" ca="1" si="13"/>
        <v>—</v>
      </c>
      <c r="G158" s="40">
        <f t="shared" ca="1" si="14"/>
        <v>7</v>
      </c>
    </row>
    <row r="159" spans="1:7" x14ac:dyDescent="0.25">
      <c r="A159" s="17">
        <f t="shared" si="10"/>
        <v>81</v>
      </c>
      <c r="B159" t="str">
        <f ca="1">TEXT(DATE(YEAR(Invoer!$A$5),1,1)+INT((ROWS(B$2:B159)-1)/3),"jjjjmmdd")</f>
        <v>19430222</v>
      </c>
      <c r="C159" s="35" t="str">
        <f>INDEX(Data,2,2+MOD(ROWS(C$2:C159)-1,3))</f>
        <v>13.45</v>
      </c>
      <c r="D159" s="23" t="str">
        <f t="shared" ca="1" si="11"/>
        <v>—</v>
      </c>
      <c r="E159" s="40">
        <f t="shared" ca="1" si="12"/>
        <v>7</v>
      </c>
      <c r="F159" s="23" t="str">
        <f t="shared" ca="1" si="13"/>
        <v>—</v>
      </c>
      <c r="G159" s="40">
        <f t="shared" ca="1" si="14"/>
        <v>7</v>
      </c>
    </row>
    <row r="160" spans="1:7" x14ac:dyDescent="0.25">
      <c r="A160" s="17">
        <f t="shared" si="10"/>
        <v>81</v>
      </c>
      <c r="B160" t="str">
        <f ca="1">TEXT(DATE(YEAR(Invoer!$A$5),1,1)+INT((ROWS(B$2:B160)-1)/3),"jjjjmmdd")</f>
        <v>19430222</v>
      </c>
      <c r="C160" s="35" t="str">
        <f>INDEX(Data,2,2+MOD(ROWS(C$2:C160)-1,3))</f>
        <v>19.45</v>
      </c>
      <c r="D160" s="23" t="str">
        <f t="shared" ca="1" si="11"/>
        <v>—</v>
      </c>
      <c r="E160" s="40">
        <f t="shared" ca="1" si="12"/>
        <v>7</v>
      </c>
      <c r="F160" s="23" t="str">
        <f t="shared" ca="1" si="13"/>
        <v>—</v>
      </c>
      <c r="G160" s="40">
        <f t="shared" ca="1" si="14"/>
        <v>7</v>
      </c>
    </row>
    <row r="161" spans="1:7" x14ac:dyDescent="0.25">
      <c r="A161" s="17">
        <f t="shared" si="10"/>
        <v>81</v>
      </c>
      <c r="B161" t="str">
        <f ca="1">TEXT(DATE(YEAR(Invoer!$A$5),1,1)+INT((ROWS(B$2:B161)-1)/3),"jjjjmmdd")</f>
        <v>19430223</v>
      </c>
      <c r="C161" s="35" t="str">
        <f>INDEX(Data,2,2+MOD(ROWS(C$2:C161)-1,3))</f>
        <v>07.45</v>
      </c>
      <c r="D161" s="23" t="str">
        <f t="shared" ca="1" si="11"/>
        <v>—</v>
      </c>
      <c r="E161" s="40">
        <f t="shared" ca="1" si="12"/>
        <v>7</v>
      </c>
      <c r="F161" s="23" t="str">
        <f t="shared" ca="1" si="13"/>
        <v>—</v>
      </c>
      <c r="G161" s="40">
        <f t="shared" ca="1" si="14"/>
        <v>7</v>
      </c>
    </row>
    <row r="162" spans="1:7" x14ac:dyDescent="0.25">
      <c r="A162" s="17">
        <f t="shared" si="10"/>
        <v>81</v>
      </c>
      <c r="B162" t="str">
        <f ca="1">TEXT(DATE(YEAR(Invoer!$A$5),1,1)+INT((ROWS(B$2:B162)-1)/3),"jjjjmmdd")</f>
        <v>19430223</v>
      </c>
      <c r="C162" s="35" t="str">
        <f>INDEX(Data,2,2+MOD(ROWS(C$2:C162)-1,3))</f>
        <v>13.45</v>
      </c>
      <c r="D162" s="23" t="str">
        <f t="shared" ca="1" si="11"/>
        <v>—</v>
      </c>
      <c r="E162" s="40">
        <f t="shared" ca="1" si="12"/>
        <v>7</v>
      </c>
      <c r="F162" s="23" t="str">
        <f t="shared" ca="1" si="13"/>
        <v>—</v>
      </c>
      <c r="G162" s="40">
        <f t="shared" ca="1" si="14"/>
        <v>7</v>
      </c>
    </row>
    <row r="163" spans="1:7" x14ac:dyDescent="0.25">
      <c r="A163" s="17">
        <f t="shared" si="10"/>
        <v>81</v>
      </c>
      <c r="B163" t="str">
        <f ca="1">TEXT(DATE(YEAR(Invoer!$A$5),1,1)+INT((ROWS(B$2:B163)-1)/3),"jjjjmmdd")</f>
        <v>19430223</v>
      </c>
      <c r="C163" s="35" t="str">
        <f>INDEX(Data,2,2+MOD(ROWS(C$2:C163)-1,3))</f>
        <v>19.45</v>
      </c>
      <c r="D163" s="23" t="str">
        <f t="shared" ca="1" si="11"/>
        <v>—</v>
      </c>
      <c r="E163" s="40">
        <f t="shared" ca="1" si="12"/>
        <v>7</v>
      </c>
      <c r="F163" s="23" t="str">
        <f t="shared" ca="1" si="13"/>
        <v>—</v>
      </c>
      <c r="G163" s="40">
        <f t="shared" ca="1" si="14"/>
        <v>7</v>
      </c>
    </row>
    <row r="164" spans="1:7" x14ac:dyDescent="0.25">
      <c r="A164" s="17">
        <f t="shared" si="10"/>
        <v>81</v>
      </c>
      <c r="B164" t="str">
        <f ca="1">TEXT(DATE(YEAR(Invoer!$A$5),1,1)+INT((ROWS(B$2:B164)-1)/3),"jjjjmmdd")</f>
        <v>19430224</v>
      </c>
      <c r="C164" s="35" t="str">
        <f>INDEX(Data,2,2+MOD(ROWS(C$2:C164)-1,3))</f>
        <v>07.45</v>
      </c>
      <c r="D164" s="23" t="str">
        <f t="shared" ca="1" si="11"/>
        <v>—</v>
      </c>
      <c r="E164" s="40">
        <f t="shared" ca="1" si="12"/>
        <v>7</v>
      </c>
      <c r="F164" s="23" t="str">
        <f t="shared" ca="1" si="13"/>
        <v>—</v>
      </c>
      <c r="G164" s="40">
        <f t="shared" ca="1" si="14"/>
        <v>7</v>
      </c>
    </row>
    <row r="165" spans="1:7" x14ac:dyDescent="0.25">
      <c r="A165" s="17">
        <f t="shared" si="10"/>
        <v>81</v>
      </c>
      <c r="B165" t="str">
        <f ca="1">TEXT(DATE(YEAR(Invoer!$A$5),1,1)+INT((ROWS(B$2:B165)-1)/3),"jjjjmmdd")</f>
        <v>19430224</v>
      </c>
      <c r="C165" s="35" t="str">
        <f>INDEX(Data,2,2+MOD(ROWS(C$2:C165)-1,3))</f>
        <v>13.45</v>
      </c>
      <c r="D165" s="23" t="str">
        <f t="shared" ca="1" si="11"/>
        <v>—</v>
      </c>
      <c r="E165" s="40">
        <f t="shared" ca="1" si="12"/>
        <v>7</v>
      </c>
      <c r="F165" s="23" t="str">
        <f t="shared" ca="1" si="13"/>
        <v>—</v>
      </c>
      <c r="G165" s="40">
        <f t="shared" ca="1" si="14"/>
        <v>7</v>
      </c>
    </row>
    <row r="166" spans="1:7" x14ac:dyDescent="0.25">
      <c r="A166" s="17">
        <f t="shared" si="10"/>
        <v>81</v>
      </c>
      <c r="B166" t="str">
        <f ca="1">TEXT(DATE(YEAR(Invoer!$A$5),1,1)+INT((ROWS(B$2:B166)-1)/3),"jjjjmmdd")</f>
        <v>19430224</v>
      </c>
      <c r="C166" s="35" t="str">
        <f>INDEX(Data,2,2+MOD(ROWS(C$2:C166)-1,3))</f>
        <v>19.45</v>
      </c>
      <c r="D166" s="23" t="str">
        <f t="shared" ca="1" si="11"/>
        <v>—</v>
      </c>
      <c r="E166" s="40">
        <f t="shared" ca="1" si="12"/>
        <v>7</v>
      </c>
      <c r="F166" s="23" t="str">
        <f t="shared" ca="1" si="13"/>
        <v>—</v>
      </c>
      <c r="G166" s="40">
        <f t="shared" ca="1" si="14"/>
        <v>7</v>
      </c>
    </row>
    <row r="167" spans="1:7" x14ac:dyDescent="0.25">
      <c r="A167" s="17">
        <f t="shared" si="10"/>
        <v>81</v>
      </c>
      <c r="B167" t="str">
        <f ca="1">TEXT(DATE(YEAR(Invoer!$A$5),1,1)+INT((ROWS(B$2:B167)-1)/3),"jjjjmmdd")</f>
        <v>19430225</v>
      </c>
      <c r="C167" s="35" t="str">
        <f>INDEX(Data,2,2+MOD(ROWS(C$2:C167)-1,3))</f>
        <v>07.45</v>
      </c>
      <c r="D167" s="23" t="str">
        <f t="shared" ca="1" si="11"/>
        <v>—</v>
      </c>
      <c r="E167" s="40">
        <f t="shared" ca="1" si="12"/>
        <v>7</v>
      </c>
      <c r="F167" s="23" t="str">
        <f t="shared" ca="1" si="13"/>
        <v>—</v>
      </c>
      <c r="G167" s="40">
        <f t="shared" ca="1" si="14"/>
        <v>7</v>
      </c>
    </row>
    <row r="168" spans="1:7" x14ac:dyDescent="0.25">
      <c r="A168" s="17">
        <f t="shared" si="10"/>
        <v>81</v>
      </c>
      <c r="B168" t="str">
        <f ca="1">TEXT(DATE(YEAR(Invoer!$A$5),1,1)+INT((ROWS(B$2:B168)-1)/3),"jjjjmmdd")</f>
        <v>19430225</v>
      </c>
      <c r="C168" s="35" t="str">
        <f>INDEX(Data,2,2+MOD(ROWS(C$2:C168)-1,3))</f>
        <v>13.45</v>
      </c>
      <c r="D168" s="23" t="str">
        <f t="shared" ca="1" si="11"/>
        <v>—</v>
      </c>
      <c r="E168" s="40">
        <f t="shared" ca="1" si="12"/>
        <v>7</v>
      </c>
      <c r="F168" s="23" t="str">
        <f t="shared" ca="1" si="13"/>
        <v>—</v>
      </c>
      <c r="G168" s="40">
        <f t="shared" ca="1" si="14"/>
        <v>7</v>
      </c>
    </row>
    <row r="169" spans="1:7" x14ac:dyDescent="0.25">
      <c r="A169" s="17">
        <f t="shared" si="10"/>
        <v>81</v>
      </c>
      <c r="B169" t="str">
        <f ca="1">TEXT(DATE(YEAR(Invoer!$A$5),1,1)+INT((ROWS(B$2:B169)-1)/3),"jjjjmmdd")</f>
        <v>19430225</v>
      </c>
      <c r="C169" s="35" t="str">
        <f>INDEX(Data,2,2+MOD(ROWS(C$2:C169)-1,3))</f>
        <v>19.45</v>
      </c>
      <c r="D169" s="23" t="str">
        <f t="shared" ca="1" si="11"/>
        <v>—</v>
      </c>
      <c r="E169" s="40">
        <f t="shared" ca="1" si="12"/>
        <v>7</v>
      </c>
      <c r="F169" s="23" t="str">
        <f t="shared" ca="1" si="13"/>
        <v>—</v>
      </c>
      <c r="G169" s="40">
        <f t="shared" ca="1" si="14"/>
        <v>7</v>
      </c>
    </row>
    <row r="170" spans="1:7" x14ac:dyDescent="0.25">
      <c r="A170" s="17">
        <f t="shared" si="10"/>
        <v>81</v>
      </c>
      <c r="B170" t="str">
        <f ca="1">TEXT(DATE(YEAR(Invoer!$A$5),1,1)+INT((ROWS(B$2:B170)-1)/3),"jjjjmmdd")</f>
        <v>19430226</v>
      </c>
      <c r="C170" s="35" t="str">
        <f>INDEX(Data,2,2+MOD(ROWS(C$2:C170)-1,3))</f>
        <v>07.45</v>
      </c>
      <c r="D170" s="23" t="str">
        <f t="shared" ca="1" si="11"/>
        <v>—</v>
      </c>
      <c r="E170" s="40">
        <f t="shared" ca="1" si="12"/>
        <v>7</v>
      </c>
      <c r="F170" s="23" t="str">
        <f t="shared" ca="1" si="13"/>
        <v>—</v>
      </c>
      <c r="G170" s="40">
        <f t="shared" ca="1" si="14"/>
        <v>7</v>
      </c>
    </row>
    <row r="171" spans="1:7" x14ac:dyDescent="0.25">
      <c r="A171" s="17">
        <f t="shared" si="10"/>
        <v>81</v>
      </c>
      <c r="B171" t="str">
        <f ca="1">TEXT(DATE(YEAR(Invoer!$A$5),1,1)+INT((ROWS(B$2:B171)-1)/3),"jjjjmmdd")</f>
        <v>19430226</v>
      </c>
      <c r="C171" s="35" t="str">
        <f>INDEX(Data,2,2+MOD(ROWS(C$2:C171)-1,3))</f>
        <v>13.45</v>
      </c>
      <c r="D171" s="23" t="str">
        <f t="shared" ca="1" si="11"/>
        <v>—</v>
      </c>
      <c r="E171" s="40">
        <f t="shared" ca="1" si="12"/>
        <v>7</v>
      </c>
      <c r="F171" s="23" t="str">
        <f t="shared" ca="1" si="13"/>
        <v>—</v>
      </c>
      <c r="G171" s="40">
        <f t="shared" ca="1" si="14"/>
        <v>7</v>
      </c>
    </row>
    <row r="172" spans="1:7" x14ac:dyDescent="0.25">
      <c r="A172" s="17">
        <f t="shared" si="10"/>
        <v>81</v>
      </c>
      <c r="B172" t="str">
        <f ca="1">TEXT(DATE(YEAR(Invoer!$A$5),1,1)+INT((ROWS(B$2:B172)-1)/3),"jjjjmmdd")</f>
        <v>19430226</v>
      </c>
      <c r="C172" s="35" t="str">
        <f>INDEX(Data,2,2+MOD(ROWS(C$2:C172)-1,3))</f>
        <v>19.45</v>
      </c>
      <c r="D172" s="23" t="str">
        <f t="shared" ca="1" si="11"/>
        <v>—</v>
      </c>
      <c r="E172" s="40">
        <f t="shared" ca="1" si="12"/>
        <v>7</v>
      </c>
      <c r="F172" s="23" t="str">
        <f t="shared" ca="1" si="13"/>
        <v>—</v>
      </c>
      <c r="G172" s="40">
        <f t="shared" ca="1" si="14"/>
        <v>7</v>
      </c>
    </row>
    <row r="173" spans="1:7" x14ac:dyDescent="0.25">
      <c r="A173" s="17">
        <f t="shared" si="10"/>
        <v>81</v>
      </c>
      <c r="B173" t="str">
        <f ca="1">TEXT(DATE(YEAR(Invoer!$A$5),1,1)+INT((ROWS(B$2:B173)-1)/3),"jjjjmmdd")</f>
        <v>19430227</v>
      </c>
      <c r="C173" s="35" t="str">
        <f>INDEX(Data,2,2+MOD(ROWS(C$2:C173)-1,3))</f>
        <v>07.45</v>
      </c>
      <c r="D173" s="23" t="str">
        <f t="shared" ca="1" si="11"/>
        <v>—</v>
      </c>
      <c r="E173" s="40">
        <f t="shared" ca="1" si="12"/>
        <v>7</v>
      </c>
      <c r="F173" s="23" t="str">
        <f t="shared" ca="1" si="13"/>
        <v>—</v>
      </c>
      <c r="G173" s="40">
        <f t="shared" ca="1" si="14"/>
        <v>7</v>
      </c>
    </row>
    <row r="174" spans="1:7" x14ac:dyDescent="0.25">
      <c r="A174" s="17">
        <f t="shared" si="10"/>
        <v>81</v>
      </c>
      <c r="B174" t="str">
        <f ca="1">TEXT(DATE(YEAR(Invoer!$A$5),1,1)+INT((ROWS(B$2:B174)-1)/3),"jjjjmmdd")</f>
        <v>19430227</v>
      </c>
      <c r="C174" s="35" t="str">
        <f>INDEX(Data,2,2+MOD(ROWS(C$2:C174)-1,3))</f>
        <v>13.45</v>
      </c>
      <c r="D174" s="23" t="str">
        <f t="shared" ca="1" si="11"/>
        <v>—</v>
      </c>
      <c r="E174" s="40">
        <f t="shared" ca="1" si="12"/>
        <v>7</v>
      </c>
      <c r="F174" s="23" t="str">
        <f t="shared" ca="1" si="13"/>
        <v>—</v>
      </c>
      <c r="G174" s="40">
        <f t="shared" ca="1" si="14"/>
        <v>7</v>
      </c>
    </row>
    <row r="175" spans="1:7" x14ac:dyDescent="0.25">
      <c r="A175" s="17">
        <f t="shared" si="10"/>
        <v>81</v>
      </c>
      <c r="B175" t="str">
        <f ca="1">TEXT(DATE(YEAR(Invoer!$A$5),1,1)+INT((ROWS(B$2:B175)-1)/3),"jjjjmmdd")</f>
        <v>19430227</v>
      </c>
      <c r="C175" s="35" t="str">
        <f>INDEX(Data,2,2+MOD(ROWS(C$2:C175)-1,3))</f>
        <v>19.45</v>
      </c>
      <c r="D175" s="23" t="str">
        <f t="shared" ca="1" si="11"/>
        <v>—</v>
      </c>
      <c r="E175" s="40">
        <f t="shared" ca="1" si="12"/>
        <v>7</v>
      </c>
      <c r="F175" s="23" t="str">
        <f t="shared" ca="1" si="13"/>
        <v>—</v>
      </c>
      <c r="G175" s="40">
        <f t="shared" ca="1" si="14"/>
        <v>7</v>
      </c>
    </row>
    <row r="176" spans="1:7" x14ac:dyDescent="0.25">
      <c r="A176" s="17">
        <f t="shared" si="10"/>
        <v>81</v>
      </c>
      <c r="B176" t="str">
        <f ca="1">TEXT(DATE(YEAR(Invoer!$A$5),1,1)+INT((ROWS(B$2:B176)-1)/3),"jjjjmmdd")</f>
        <v>19430228</v>
      </c>
      <c r="C176" s="35" t="str">
        <f>INDEX(Data,2,2+MOD(ROWS(C$2:C176)-1,3))</f>
        <v>07.45</v>
      </c>
      <c r="D176" s="23" t="str">
        <f t="shared" ca="1" si="11"/>
        <v>—</v>
      </c>
      <c r="E176" s="40">
        <f t="shared" ca="1" si="12"/>
        <v>7</v>
      </c>
      <c r="F176" s="23" t="str">
        <f t="shared" ca="1" si="13"/>
        <v>—</v>
      </c>
      <c r="G176" s="40">
        <f t="shared" ca="1" si="14"/>
        <v>7</v>
      </c>
    </row>
    <row r="177" spans="1:7" x14ac:dyDescent="0.25">
      <c r="A177" s="17">
        <f t="shared" si="10"/>
        <v>81</v>
      </c>
      <c r="B177" t="str">
        <f ca="1">TEXT(DATE(YEAR(Invoer!$A$5),1,1)+INT((ROWS(B$2:B177)-1)/3),"jjjjmmdd")</f>
        <v>19430228</v>
      </c>
      <c r="C177" s="35" t="str">
        <f>INDEX(Data,2,2+MOD(ROWS(C$2:C177)-1,3))</f>
        <v>13.45</v>
      </c>
      <c r="D177" s="23" t="str">
        <f t="shared" ca="1" si="11"/>
        <v>—</v>
      </c>
      <c r="E177" s="40">
        <f t="shared" ca="1" si="12"/>
        <v>7</v>
      </c>
      <c r="F177" s="23" t="str">
        <f t="shared" ca="1" si="13"/>
        <v>—</v>
      </c>
      <c r="G177" s="40">
        <f t="shared" ca="1" si="14"/>
        <v>7</v>
      </c>
    </row>
    <row r="178" spans="1:7" x14ac:dyDescent="0.25">
      <c r="A178" s="17">
        <f t="shared" si="10"/>
        <v>81</v>
      </c>
      <c r="B178" t="str">
        <f ca="1">TEXT(DATE(YEAR(Invoer!$A$5),1,1)+INT((ROWS(B$2:B178)-1)/3),"jjjjmmdd")</f>
        <v>19430228</v>
      </c>
      <c r="C178" s="35" t="str">
        <f>INDEX(Data,2,2+MOD(ROWS(C$2:C178)-1,3))</f>
        <v>19.45</v>
      </c>
      <c r="D178" s="23" t="str">
        <f t="shared" ca="1" si="11"/>
        <v>—</v>
      </c>
      <c r="E178" s="40">
        <f t="shared" ca="1" si="12"/>
        <v>7</v>
      </c>
      <c r="F178" s="23" t="str">
        <f t="shared" ca="1" si="13"/>
        <v>—</v>
      </c>
      <c r="G178" s="40">
        <f t="shared" ca="1" si="14"/>
        <v>7</v>
      </c>
    </row>
    <row r="179" spans="1:7" x14ac:dyDescent="0.25">
      <c r="A179" s="17">
        <f t="shared" si="10"/>
        <v>81</v>
      </c>
      <c r="B179" t="str">
        <f ca="1">TEXT(DATE(YEAR(Invoer!$A$5),1,1)+INT((ROWS(B$2:B179)-1)/3),"jjjjmmdd")</f>
        <v>19430301</v>
      </c>
      <c r="C179" s="35" t="str">
        <f>INDEX(Data,2,2+MOD(ROWS(C$2:C179)-1,3))</f>
        <v>07.45</v>
      </c>
      <c r="D179" s="23" t="str">
        <f t="shared" ca="1" si="11"/>
        <v>—</v>
      </c>
      <c r="E179" s="40">
        <f t="shared" ca="1" si="12"/>
        <v>7</v>
      </c>
      <c r="F179" s="23" t="str">
        <f t="shared" ca="1" si="13"/>
        <v>—</v>
      </c>
      <c r="G179" s="40">
        <f t="shared" ca="1" si="14"/>
        <v>7</v>
      </c>
    </row>
    <row r="180" spans="1:7" x14ac:dyDescent="0.25">
      <c r="A180" s="17">
        <f t="shared" si="10"/>
        <v>81</v>
      </c>
      <c r="B180" t="str">
        <f ca="1">TEXT(DATE(YEAR(Invoer!$A$5),1,1)+INT((ROWS(B$2:B180)-1)/3),"jjjjmmdd")</f>
        <v>19430301</v>
      </c>
      <c r="C180" s="35" t="str">
        <f>INDEX(Data,2,2+MOD(ROWS(C$2:C180)-1,3))</f>
        <v>13.45</v>
      </c>
      <c r="D180" s="23" t="str">
        <f t="shared" ca="1" si="11"/>
        <v>—</v>
      </c>
      <c r="E180" s="40">
        <f t="shared" ca="1" si="12"/>
        <v>7</v>
      </c>
      <c r="F180" s="23" t="str">
        <f t="shared" ca="1" si="13"/>
        <v>—</v>
      </c>
      <c r="G180" s="40">
        <f t="shared" ca="1" si="14"/>
        <v>7</v>
      </c>
    </row>
    <row r="181" spans="1:7" x14ac:dyDescent="0.25">
      <c r="A181" s="17">
        <f t="shared" si="10"/>
        <v>81</v>
      </c>
      <c r="B181" t="str">
        <f ca="1">TEXT(DATE(YEAR(Invoer!$A$5),1,1)+INT((ROWS(B$2:B181)-1)/3),"jjjjmmdd")</f>
        <v>19430301</v>
      </c>
      <c r="C181" s="35" t="str">
        <f>INDEX(Data,2,2+MOD(ROWS(C$2:C181)-1,3))</f>
        <v>19.45</v>
      </c>
      <c r="D181" s="23" t="str">
        <f t="shared" ca="1" si="11"/>
        <v>—</v>
      </c>
      <c r="E181" s="40">
        <f t="shared" ca="1" si="12"/>
        <v>7</v>
      </c>
      <c r="F181" s="23" t="str">
        <f t="shared" ca="1" si="13"/>
        <v>—</v>
      </c>
      <c r="G181" s="40">
        <f t="shared" ca="1" si="14"/>
        <v>7</v>
      </c>
    </row>
    <row r="182" spans="1:7" x14ac:dyDescent="0.25">
      <c r="A182" s="17">
        <f t="shared" si="10"/>
        <v>81</v>
      </c>
      <c r="B182" t="str">
        <f ca="1">TEXT(DATE(YEAR(Invoer!$A$5),1,1)+INT((ROWS(B$2:B182)-1)/3),"jjjjmmdd")</f>
        <v>19430302</v>
      </c>
      <c r="C182" s="35" t="str">
        <f>INDEX(Data,2,2+MOD(ROWS(C$2:C182)-1,3))</f>
        <v>07.45</v>
      </c>
      <c r="D182" s="23" t="str">
        <f t="shared" ca="1" si="11"/>
        <v>—</v>
      </c>
      <c r="E182" s="40">
        <f t="shared" ca="1" si="12"/>
        <v>7</v>
      </c>
      <c r="F182" s="23" t="str">
        <f t="shared" ca="1" si="13"/>
        <v>—</v>
      </c>
      <c r="G182" s="40">
        <f t="shared" ca="1" si="14"/>
        <v>7</v>
      </c>
    </row>
    <row r="183" spans="1:7" x14ac:dyDescent="0.25">
      <c r="A183" s="17">
        <f t="shared" si="10"/>
        <v>81</v>
      </c>
      <c r="B183" t="str">
        <f ca="1">TEXT(DATE(YEAR(Invoer!$A$5),1,1)+INT((ROWS(B$2:B183)-1)/3),"jjjjmmdd")</f>
        <v>19430302</v>
      </c>
      <c r="C183" s="35" t="str">
        <f>INDEX(Data,2,2+MOD(ROWS(C$2:C183)-1,3))</f>
        <v>13.45</v>
      </c>
      <c r="D183" s="23" t="str">
        <f t="shared" ca="1" si="11"/>
        <v>—</v>
      </c>
      <c r="E183" s="40">
        <f t="shared" ca="1" si="12"/>
        <v>7</v>
      </c>
      <c r="F183" s="23" t="str">
        <f t="shared" ca="1" si="13"/>
        <v>—</v>
      </c>
      <c r="G183" s="40">
        <f t="shared" ca="1" si="14"/>
        <v>7</v>
      </c>
    </row>
    <row r="184" spans="1:7" x14ac:dyDescent="0.25">
      <c r="A184" s="17">
        <f t="shared" si="10"/>
        <v>81</v>
      </c>
      <c r="B184" t="str">
        <f ca="1">TEXT(DATE(YEAR(Invoer!$A$5),1,1)+INT((ROWS(B$2:B184)-1)/3),"jjjjmmdd")</f>
        <v>19430302</v>
      </c>
      <c r="C184" s="35" t="str">
        <f>INDEX(Data,2,2+MOD(ROWS(C$2:C184)-1,3))</f>
        <v>19.45</v>
      </c>
      <c r="D184" s="23" t="str">
        <f t="shared" ca="1" si="11"/>
        <v>—</v>
      </c>
      <c r="E184" s="40">
        <f t="shared" ca="1" si="12"/>
        <v>7</v>
      </c>
      <c r="F184" s="23" t="str">
        <f t="shared" ca="1" si="13"/>
        <v>—</v>
      </c>
      <c r="G184" s="40">
        <f t="shared" ca="1" si="14"/>
        <v>7</v>
      </c>
    </row>
    <row r="185" spans="1:7" x14ac:dyDescent="0.25">
      <c r="A185" s="17">
        <f t="shared" si="10"/>
        <v>81</v>
      </c>
      <c r="B185" t="str">
        <f ca="1">TEXT(DATE(YEAR(Invoer!$A$5),1,1)+INT((ROWS(B$2:B185)-1)/3),"jjjjmmdd")</f>
        <v>19430303</v>
      </c>
      <c r="C185" s="35" t="str">
        <f>INDEX(Data,2,2+MOD(ROWS(C$2:C185)-1,3))</f>
        <v>07.45</v>
      </c>
      <c r="D185" s="23" t="str">
        <f t="shared" ca="1" si="11"/>
        <v>—</v>
      </c>
      <c r="E185" s="40">
        <f t="shared" ca="1" si="12"/>
        <v>7</v>
      </c>
      <c r="F185" s="23" t="str">
        <f t="shared" ca="1" si="13"/>
        <v>—</v>
      </c>
      <c r="G185" s="40">
        <f t="shared" ca="1" si="14"/>
        <v>7</v>
      </c>
    </row>
    <row r="186" spans="1:7" x14ac:dyDescent="0.25">
      <c r="A186" s="17">
        <f t="shared" si="10"/>
        <v>81</v>
      </c>
      <c r="B186" t="str">
        <f ca="1">TEXT(DATE(YEAR(Invoer!$A$5),1,1)+INT((ROWS(B$2:B186)-1)/3),"jjjjmmdd")</f>
        <v>19430303</v>
      </c>
      <c r="C186" s="35" t="str">
        <f>INDEX(Data,2,2+MOD(ROWS(C$2:C186)-1,3))</f>
        <v>13.45</v>
      </c>
      <c r="D186" s="23" t="str">
        <f t="shared" ca="1" si="11"/>
        <v>—</v>
      </c>
      <c r="E186" s="40">
        <f t="shared" ca="1" si="12"/>
        <v>7</v>
      </c>
      <c r="F186" s="23" t="str">
        <f t="shared" ca="1" si="13"/>
        <v>—</v>
      </c>
      <c r="G186" s="40">
        <f t="shared" ca="1" si="14"/>
        <v>7</v>
      </c>
    </row>
    <row r="187" spans="1:7" x14ac:dyDescent="0.25">
      <c r="A187" s="17">
        <f t="shared" si="10"/>
        <v>81</v>
      </c>
      <c r="B187" t="str">
        <f ca="1">TEXT(DATE(YEAR(Invoer!$A$5),1,1)+INT((ROWS(B$2:B187)-1)/3),"jjjjmmdd")</f>
        <v>19430303</v>
      </c>
      <c r="C187" s="35" t="str">
        <f>INDEX(Data,2,2+MOD(ROWS(C$2:C187)-1,3))</f>
        <v>19.45</v>
      </c>
      <c r="D187" s="23" t="str">
        <f t="shared" ca="1" si="11"/>
        <v>—</v>
      </c>
      <c r="E187" s="40">
        <f t="shared" ca="1" si="12"/>
        <v>7</v>
      </c>
      <c r="F187" s="23" t="str">
        <f t="shared" ca="1" si="13"/>
        <v>—</v>
      </c>
      <c r="G187" s="40">
        <f t="shared" ca="1" si="14"/>
        <v>7</v>
      </c>
    </row>
    <row r="188" spans="1:7" x14ac:dyDescent="0.25">
      <c r="A188" s="17">
        <f t="shared" si="10"/>
        <v>81</v>
      </c>
      <c r="B188" t="str">
        <f ca="1">TEXT(DATE(YEAR(Invoer!$A$5),1,1)+INT((ROWS(B$2:B188)-1)/3),"jjjjmmdd")</f>
        <v>19430304</v>
      </c>
      <c r="C188" s="35" t="str">
        <f>INDEX(Data,2,2+MOD(ROWS(C$2:C188)-1,3))</f>
        <v>07.45</v>
      </c>
      <c r="D188" s="23" t="str">
        <f t="shared" ca="1" si="11"/>
        <v>—</v>
      </c>
      <c r="E188" s="40">
        <f t="shared" ca="1" si="12"/>
        <v>7</v>
      </c>
      <c r="F188" s="23" t="str">
        <f t="shared" ca="1" si="13"/>
        <v>—</v>
      </c>
      <c r="G188" s="40">
        <f t="shared" ca="1" si="14"/>
        <v>7</v>
      </c>
    </row>
    <row r="189" spans="1:7" x14ac:dyDescent="0.25">
      <c r="A189" s="17">
        <f t="shared" si="10"/>
        <v>81</v>
      </c>
      <c r="B189" t="str">
        <f ca="1">TEXT(DATE(YEAR(Invoer!$A$5),1,1)+INT((ROWS(B$2:B189)-1)/3),"jjjjmmdd")</f>
        <v>19430304</v>
      </c>
      <c r="C189" s="35" t="str">
        <f>INDEX(Data,2,2+MOD(ROWS(C$2:C189)-1,3))</f>
        <v>13.45</v>
      </c>
      <c r="D189" s="23" t="str">
        <f t="shared" ca="1" si="11"/>
        <v>—</v>
      </c>
      <c r="E189" s="40">
        <f t="shared" ca="1" si="12"/>
        <v>7</v>
      </c>
      <c r="F189" s="23" t="str">
        <f t="shared" ca="1" si="13"/>
        <v>—</v>
      </c>
      <c r="G189" s="40">
        <f t="shared" ca="1" si="14"/>
        <v>7</v>
      </c>
    </row>
    <row r="190" spans="1:7" x14ac:dyDescent="0.25">
      <c r="A190" s="17">
        <f t="shared" si="10"/>
        <v>81</v>
      </c>
      <c r="B190" t="str">
        <f ca="1">TEXT(DATE(YEAR(Invoer!$A$5),1,1)+INT((ROWS(B$2:B190)-1)/3),"jjjjmmdd")</f>
        <v>19430304</v>
      </c>
      <c r="C190" s="35" t="str">
        <f>INDEX(Data,2,2+MOD(ROWS(C$2:C190)-1,3))</f>
        <v>19.45</v>
      </c>
      <c r="D190" s="23" t="str">
        <f t="shared" ca="1" si="11"/>
        <v>—</v>
      </c>
      <c r="E190" s="40">
        <f t="shared" ca="1" si="12"/>
        <v>7</v>
      </c>
      <c r="F190" s="23" t="str">
        <f t="shared" ca="1" si="13"/>
        <v>—</v>
      </c>
      <c r="G190" s="40">
        <f t="shared" ca="1" si="14"/>
        <v>7</v>
      </c>
    </row>
    <row r="191" spans="1:7" x14ac:dyDescent="0.25">
      <c r="A191" s="17">
        <f t="shared" si="10"/>
        <v>81</v>
      </c>
      <c r="B191" t="str">
        <f ca="1">TEXT(DATE(YEAR(Invoer!$A$5),1,1)+INT((ROWS(B$2:B191)-1)/3),"jjjjmmdd")</f>
        <v>19430305</v>
      </c>
      <c r="C191" s="35" t="str">
        <f>INDEX(Data,2,2+MOD(ROWS(C$2:C191)-1,3))</f>
        <v>07.45</v>
      </c>
      <c r="D191" s="23" t="str">
        <f t="shared" ca="1" si="11"/>
        <v>—</v>
      </c>
      <c r="E191" s="40">
        <f t="shared" ca="1" si="12"/>
        <v>7</v>
      </c>
      <c r="F191" s="23" t="str">
        <f t="shared" ca="1" si="13"/>
        <v>—</v>
      </c>
      <c r="G191" s="40">
        <f t="shared" ca="1" si="14"/>
        <v>7</v>
      </c>
    </row>
    <row r="192" spans="1:7" x14ac:dyDescent="0.25">
      <c r="A192" s="17">
        <f t="shared" si="10"/>
        <v>81</v>
      </c>
      <c r="B192" t="str">
        <f ca="1">TEXT(DATE(YEAR(Invoer!$A$5),1,1)+INT((ROWS(B$2:B192)-1)/3),"jjjjmmdd")</f>
        <v>19430305</v>
      </c>
      <c r="C192" s="35" t="str">
        <f>INDEX(Data,2,2+MOD(ROWS(C$2:C192)-1,3))</f>
        <v>13.45</v>
      </c>
      <c r="D192" s="23" t="str">
        <f t="shared" ca="1" si="11"/>
        <v>—</v>
      </c>
      <c r="E192" s="40">
        <f t="shared" ca="1" si="12"/>
        <v>7</v>
      </c>
      <c r="F192" s="23" t="str">
        <f t="shared" ca="1" si="13"/>
        <v>—</v>
      </c>
      <c r="G192" s="40">
        <f t="shared" ca="1" si="14"/>
        <v>7</v>
      </c>
    </row>
    <row r="193" spans="1:7" x14ac:dyDescent="0.25">
      <c r="A193" s="17">
        <f t="shared" si="10"/>
        <v>81</v>
      </c>
      <c r="B193" t="str">
        <f ca="1">TEXT(DATE(YEAR(Invoer!$A$5),1,1)+INT((ROWS(B$2:B193)-1)/3),"jjjjmmdd")</f>
        <v>19430305</v>
      </c>
      <c r="C193" s="35" t="str">
        <f>INDEX(Data,2,2+MOD(ROWS(C$2:C193)-1,3))</f>
        <v>19.45</v>
      </c>
      <c r="D193" s="23" t="str">
        <f t="shared" ca="1" si="11"/>
        <v>—</v>
      </c>
      <c r="E193" s="40">
        <f t="shared" ca="1" si="12"/>
        <v>7</v>
      </c>
      <c r="F193" s="23" t="str">
        <f t="shared" ca="1" si="13"/>
        <v>—</v>
      </c>
      <c r="G193" s="40">
        <f t="shared" ca="1" si="14"/>
        <v>7</v>
      </c>
    </row>
    <row r="194" spans="1:7" x14ac:dyDescent="0.25">
      <c r="A194" s="17">
        <f t="shared" ref="A194:A257" si="15">INDEX(Stations,2,1)</f>
        <v>81</v>
      </c>
      <c r="B194" t="str">
        <f ca="1">TEXT(DATE(YEAR(Invoer!$A$5),1,1)+INT((ROWS(B$2:B194)-1)/3),"jjjjmmdd")</f>
        <v>19430306</v>
      </c>
      <c r="C194" s="35" t="str">
        <f>INDEX(Data,2,2+MOD(ROWS(C$2:C194)-1,3))</f>
        <v>07.45</v>
      </c>
      <c r="D194" s="23" t="str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—</v>
      </c>
      <c r="E194" s="40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7</v>
      </c>
      <c r="F194" s="23" t="str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)</f>
        <v>—</v>
      </c>
      <c r="G194" s="40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7</v>
      </c>
    </row>
    <row r="195" spans="1:7" x14ac:dyDescent="0.25">
      <c r="A195" s="17">
        <f t="shared" si="15"/>
        <v>81</v>
      </c>
      <c r="B195" t="str">
        <f ca="1">TEXT(DATE(YEAR(Invoer!$A$5),1,1)+INT((ROWS(B$2:B195)-1)/3),"jjjjmmdd")</f>
        <v>19430306</v>
      </c>
      <c r="C195" s="35" t="str">
        <f>INDEX(Data,2,2+MOD(ROWS(C$2:C195)-1,3))</f>
        <v>13.45</v>
      </c>
      <c r="D195" s="23" t="str">
        <f t="shared" ca="1" si="16"/>
        <v>—</v>
      </c>
      <c r="E195" s="40">
        <f t="shared" ca="1" si="17"/>
        <v>7</v>
      </c>
      <c r="F195" s="23" t="str">
        <f t="shared" ca="1" si="18"/>
        <v>—</v>
      </c>
      <c r="G195" s="40">
        <f t="shared" ca="1" si="19"/>
        <v>7</v>
      </c>
    </row>
    <row r="196" spans="1:7" x14ac:dyDescent="0.25">
      <c r="A196" s="17">
        <f t="shared" si="15"/>
        <v>81</v>
      </c>
      <c r="B196" t="str">
        <f ca="1">TEXT(DATE(YEAR(Invoer!$A$5),1,1)+INT((ROWS(B$2:B196)-1)/3),"jjjjmmdd")</f>
        <v>19430306</v>
      </c>
      <c r="C196" s="35" t="str">
        <f>INDEX(Data,2,2+MOD(ROWS(C$2:C196)-1,3))</f>
        <v>19.45</v>
      </c>
      <c r="D196" s="23" t="str">
        <f t="shared" ca="1" si="16"/>
        <v>—</v>
      </c>
      <c r="E196" s="40">
        <f t="shared" ca="1" si="17"/>
        <v>7</v>
      </c>
      <c r="F196" s="23" t="str">
        <f t="shared" ca="1" si="18"/>
        <v>—</v>
      </c>
      <c r="G196" s="40">
        <f t="shared" ca="1" si="19"/>
        <v>7</v>
      </c>
    </row>
    <row r="197" spans="1:7" x14ac:dyDescent="0.25">
      <c r="A197" s="17">
        <f t="shared" si="15"/>
        <v>81</v>
      </c>
      <c r="B197" t="str">
        <f ca="1">TEXT(DATE(YEAR(Invoer!$A$5),1,1)+INT((ROWS(B$2:B197)-1)/3),"jjjjmmdd")</f>
        <v>19430307</v>
      </c>
      <c r="C197" s="35" t="str">
        <f>INDEX(Data,2,2+MOD(ROWS(C$2:C197)-1,3))</f>
        <v>07.45</v>
      </c>
      <c r="D197" s="23" t="str">
        <f t="shared" ca="1" si="16"/>
        <v>—</v>
      </c>
      <c r="E197" s="40">
        <f t="shared" ca="1" si="17"/>
        <v>7</v>
      </c>
      <c r="F197" s="23" t="str">
        <f t="shared" ca="1" si="18"/>
        <v>—</v>
      </c>
      <c r="G197" s="40">
        <f t="shared" ca="1" si="19"/>
        <v>7</v>
      </c>
    </row>
    <row r="198" spans="1:7" x14ac:dyDescent="0.25">
      <c r="A198" s="17">
        <f t="shared" si="15"/>
        <v>81</v>
      </c>
      <c r="B198" t="str">
        <f ca="1">TEXT(DATE(YEAR(Invoer!$A$5),1,1)+INT((ROWS(B$2:B198)-1)/3),"jjjjmmdd")</f>
        <v>19430307</v>
      </c>
      <c r="C198" s="35" t="str">
        <f>INDEX(Data,2,2+MOD(ROWS(C$2:C198)-1,3))</f>
        <v>13.45</v>
      </c>
      <c r="D198" s="23" t="str">
        <f t="shared" ca="1" si="16"/>
        <v>—</v>
      </c>
      <c r="E198" s="40">
        <f t="shared" ca="1" si="17"/>
        <v>7</v>
      </c>
      <c r="F198" s="23" t="str">
        <f t="shared" ca="1" si="18"/>
        <v>—</v>
      </c>
      <c r="G198" s="40">
        <f t="shared" ca="1" si="19"/>
        <v>7</v>
      </c>
    </row>
    <row r="199" spans="1:7" x14ac:dyDescent="0.25">
      <c r="A199" s="17">
        <f t="shared" si="15"/>
        <v>81</v>
      </c>
      <c r="B199" t="str">
        <f ca="1">TEXT(DATE(YEAR(Invoer!$A$5),1,1)+INT((ROWS(B$2:B199)-1)/3),"jjjjmmdd")</f>
        <v>19430307</v>
      </c>
      <c r="C199" s="35" t="str">
        <f>INDEX(Data,2,2+MOD(ROWS(C$2:C199)-1,3))</f>
        <v>19.45</v>
      </c>
      <c r="D199" s="23" t="str">
        <f t="shared" ca="1" si="16"/>
        <v>—</v>
      </c>
      <c r="E199" s="40">
        <f t="shared" ca="1" si="17"/>
        <v>7</v>
      </c>
      <c r="F199" s="23" t="str">
        <f t="shared" ca="1" si="18"/>
        <v>—</v>
      </c>
      <c r="G199" s="40">
        <f t="shared" ca="1" si="19"/>
        <v>7</v>
      </c>
    </row>
    <row r="200" spans="1:7" x14ac:dyDescent="0.25">
      <c r="A200" s="17">
        <f t="shared" si="15"/>
        <v>81</v>
      </c>
      <c r="B200" t="str">
        <f ca="1">TEXT(DATE(YEAR(Invoer!$A$5),1,1)+INT((ROWS(B$2:B200)-1)/3),"jjjjmmdd")</f>
        <v>19430308</v>
      </c>
      <c r="C200" s="35" t="str">
        <f>INDEX(Data,2,2+MOD(ROWS(C$2:C200)-1,3))</f>
        <v>07.45</v>
      </c>
      <c r="D200" s="23" t="str">
        <f t="shared" ca="1" si="16"/>
        <v>—</v>
      </c>
      <c r="E200" s="40">
        <f t="shared" ca="1" si="17"/>
        <v>7</v>
      </c>
      <c r="F200" s="23" t="str">
        <f t="shared" ca="1" si="18"/>
        <v>—</v>
      </c>
      <c r="G200" s="40">
        <f t="shared" ca="1" si="19"/>
        <v>7</v>
      </c>
    </row>
    <row r="201" spans="1:7" x14ac:dyDescent="0.25">
      <c r="A201" s="17">
        <f t="shared" si="15"/>
        <v>81</v>
      </c>
      <c r="B201" t="str">
        <f ca="1">TEXT(DATE(YEAR(Invoer!$A$5),1,1)+INT((ROWS(B$2:B201)-1)/3),"jjjjmmdd")</f>
        <v>19430308</v>
      </c>
      <c r="C201" s="35" t="str">
        <f>INDEX(Data,2,2+MOD(ROWS(C$2:C201)-1,3))</f>
        <v>13.45</v>
      </c>
      <c r="D201" s="23" t="str">
        <f t="shared" ca="1" si="16"/>
        <v>—</v>
      </c>
      <c r="E201" s="40">
        <f t="shared" ca="1" si="17"/>
        <v>7</v>
      </c>
      <c r="F201" s="23" t="str">
        <f t="shared" ca="1" si="18"/>
        <v>—</v>
      </c>
      <c r="G201" s="40">
        <f t="shared" ca="1" si="19"/>
        <v>7</v>
      </c>
    </row>
    <row r="202" spans="1:7" x14ac:dyDescent="0.25">
      <c r="A202" s="17">
        <f t="shared" si="15"/>
        <v>81</v>
      </c>
      <c r="B202" t="str">
        <f ca="1">TEXT(DATE(YEAR(Invoer!$A$5),1,1)+INT((ROWS(B$2:B202)-1)/3),"jjjjmmdd")</f>
        <v>19430308</v>
      </c>
      <c r="C202" s="35" t="str">
        <f>INDEX(Data,2,2+MOD(ROWS(C$2:C202)-1,3))</f>
        <v>19.45</v>
      </c>
      <c r="D202" s="23" t="str">
        <f t="shared" ca="1" si="16"/>
        <v>—</v>
      </c>
      <c r="E202" s="40">
        <f t="shared" ca="1" si="17"/>
        <v>7</v>
      </c>
      <c r="F202" s="23" t="str">
        <f t="shared" ca="1" si="18"/>
        <v>—</v>
      </c>
      <c r="G202" s="40">
        <f t="shared" ca="1" si="19"/>
        <v>7</v>
      </c>
    </row>
    <row r="203" spans="1:7" x14ac:dyDescent="0.25">
      <c r="A203" s="17">
        <f t="shared" si="15"/>
        <v>81</v>
      </c>
      <c r="B203" t="str">
        <f ca="1">TEXT(DATE(YEAR(Invoer!$A$5),1,1)+INT((ROWS(B$2:B203)-1)/3),"jjjjmmdd")</f>
        <v>19430309</v>
      </c>
      <c r="C203" s="35" t="str">
        <f>INDEX(Data,2,2+MOD(ROWS(C$2:C203)-1,3))</f>
        <v>07.45</v>
      </c>
      <c r="D203" s="23" t="str">
        <f t="shared" ca="1" si="16"/>
        <v>—</v>
      </c>
      <c r="E203" s="40">
        <f t="shared" ca="1" si="17"/>
        <v>7</v>
      </c>
      <c r="F203" s="23" t="str">
        <f t="shared" ca="1" si="18"/>
        <v>—</v>
      </c>
      <c r="G203" s="40">
        <f t="shared" ca="1" si="19"/>
        <v>7</v>
      </c>
    </row>
    <row r="204" spans="1:7" x14ac:dyDescent="0.25">
      <c r="A204" s="17">
        <f t="shared" si="15"/>
        <v>81</v>
      </c>
      <c r="B204" t="str">
        <f ca="1">TEXT(DATE(YEAR(Invoer!$A$5),1,1)+INT((ROWS(B$2:B204)-1)/3),"jjjjmmdd")</f>
        <v>19430309</v>
      </c>
      <c r="C204" s="35" t="str">
        <f>INDEX(Data,2,2+MOD(ROWS(C$2:C204)-1,3))</f>
        <v>13.45</v>
      </c>
      <c r="D204" s="23" t="str">
        <f t="shared" ca="1" si="16"/>
        <v>—</v>
      </c>
      <c r="E204" s="40">
        <f t="shared" ca="1" si="17"/>
        <v>7</v>
      </c>
      <c r="F204" s="23" t="str">
        <f t="shared" ca="1" si="18"/>
        <v>—</v>
      </c>
      <c r="G204" s="40">
        <f t="shared" ca="1" si="19"/>
        <v>7</v>
      </c>
    </row>
    <row r="205" spans="1:7" x14ac:dyDescent="0.25">
      <c r="A205" s="17">
        <f t="shared" si="15"/>
        <v>81</v>
      </c>
      <c r="B205" t="str">
        <f ca="1">TEXT(DATE(YEAR(Invoer!$A$5),1,1)+INT((ROWS(B$2:B205)-1)/3),"jjjjmmdd")</f>
        <v>19430309</v>
      </c>
      <c r="C205" s="35" t="str">
        <f>INDEX(Data,2,2+MOD(ROWS(C$2:C205)-1,3))</f>
        <v>19.45</v>
      </c>
      <c r="D205" s="23" t="str">
        <f t="shared" ca="1" si="16"/>
        <v>—</v>
      </c>
      <c r="E205" s="40">
        <f t="shared" ca="1" si="17"/>
        <v>7</v>
      </c>
      <c r="F205" s="23" t="str">
        <f t="shared" ca="1" si="18"/>
        <v>—</v>
      </c>
      <c r="G205" s="40">
        <f t="shared" ca="1" si="19"/>
        <v>7</v>
      </c>
    </row>
    <row r="206" spans="1:7" x14ac:dyDescent="0.25">
      <c r="A206" s="17">
        <f t="shared" si="15"/>
        <v>81</v>
      </c>
      <c r="B206" t="str">
        <f ca="1">TEXT(DATE(YEAR(Invoer!$A$5),1,1)+INT((ROWS(B$2:B206)-1)/3),"jjjjmmdd")</f>
        <v>19430310</v>
      </c>
      <c r="C206" s="35" t="str">
        <f>INDEX(Data,2,2+MOD(ROWS(C$2:C206)-1,3))</f>
        <v>07.45</v>
      </c>
      <c r="D206" s="23" t="str">
        <f t="shared" ca="1" si="16"/>
        <v>—</v>
      </c>
      <c r="E206" s="40">
        <f t="shared" ca="1" si="17"/>
        <v>7</v>
      </c>
      <c r="F206" s="23" t="str">
        <f t="shared" ca="1" si="18"/>
        <v>—</v>
      </c>
      <c r="G206" s="40">
        <f t="shared" ca="1" si="19"/>
        <v>7</v>
      </c>
    </row>
    <row r="207" spans="1:7" x14ac:dyDescent="0.25">
      <c r="A207" s="17">
        <f t="shared" si="15"/>
        <v>81</v>
      </c>
      <c r="B207" t="str">
        <f ca="1">TEXT(DATE(YEAR(Invoer!$A$5),1,1)+INT((ROWS(B$2:B207)-1)/3),"jjjjmmdd")</f>
        <v>19430310</v>
      </c>
      <c r="C207" s="35" t="str">
        <f>INDEX(Data,2,2+MOD(ROWS(C$2:C207)-1,3))</f>
        <v>13.45</v>
      </c>
      <c r="D207" s="23" t="str">
        <f t="shared" ca="1" si="16"/>
        <v>—</v>
      </c>
      <c r="E207" s="40">
        <f t="shared" ca="1" si="17"/>
        <v>7</v>
      </c>
      <c r="F207" s="23" t="str">
        <f t="shared" ca="1" si="18"/>
        <v>—</v>
      </c>
      <c r="G207" s="40">
        <f t="shared" ca="1" si="19"/>
        <v>7</v>
      </c>
    </row>
    <row r="208" spans="1:7" x14ac:dyDescent="0.25">
      <c r="A208" s="17">
        <f t="shared" si="15"/>
        <v>81</v>
      </c>
      <c r="B208" t="str">
        <f ca="1">TEXT(DATE(YEAR(Invoer!$A$5),1,1)+INT((ROWS(B$2:B208)-1)/3),"jjjjmmdd")</f>
        <v>19430310</v>
      </c>
      <c r="C208" s="35" t="str">
        <f>INDEX(Data,2,2+MOD(ROWS(C$2:C208)-1,3))</f>
        <v>19.45</v>
      </c>
      <c r="D208" s="23" t="str">
        <f t="shared" ca="1" si="16"/>
        <v>—</v>
      </c>
      <c r="E208" s="40">
        <f t="shared" ca="1" si="17"/>
        <v>7</v>
      </c>
      <c r="F208" s="23" t="str">
        <f t="shared" ca="1" si="18"/>
        <v>—</v>
      </c>
      <c r="G208" s="40">
        <f t="shared" ca="1" si="19"/>
        <v>7</v>
      </c>
    </row>
    <row r="209" spans="1:7" x14ac:dyDescent="0.25">
      <c r="A209" s="17">
        <f t="shared" si="15"/>
        <v>81</v>
      </c>
      <c r="B209" t="str">
        <f ca="1">TEXT(DATE(YEAR(Invoer!$A$5),1,1)+INT((ROWS(B$2:B209)-1)/3),"jjjjmmdd")</f>
        <v>19430311</v>
      </c>
      <c r="C209" s="35" t="str">
        <f>INDEX(Data,2,2+MOD(ROWS(C$2:C209)-1,3))</f>
        <v>07.45</v>
      </c>
      <c r="D209" s="23" t="str">
        <f t="shared" ca="1" si="16"/>
        <v>—</v>
      </c>
      <c r="E209" s="40">
        <f t="shared" ca="1" si="17"/>
        <v>7</v>
      </c>
      <c r="F209" s="23" t="str">
        <f t="shared" ca="1" si="18"/>
        <v>—</v>
      </c>
      <c r="G209" s="40">
        <f t="shared" ca="1" si="19"/>
        <v>7</v>
      </c>
    </row>
    <row r="210" spans="1:7" x14ac:dyDescent="0.25">
      <c r="A210" s="17">
        <f t="shared" si="15"/>
        <v>81</v>
      </c>
      <c r="B210" t="str">
        <f ca="1">TEXT(DATE(YEAR(Invoer!$A$5),1,1)+INT((ROWS(B$2:B210)-1)/3),"jjjjmmdd")</f>
        <v>19430311</v>
      </c>
      <c r="C210" s="35" t="str">
        <f>INDEX(Data,2,2+MOD(ROWS(C$2:C210)-1,3))</f>
        <v>13.45</v>
      </c>
      <c r="D210" s="23" t="str">
        <f t="shared" ca="1" si="16"/>
        <v>—</v>
      </c>
      <c r="E210" s="40">
        <f t="shared" ca="1" si="17"/>
        <v>7</v>
      </c>
      <c r="F210" s="23" t="str">
        <f t="shared" ca="1" si="18"/>
        <v>—</v>
      </c>
      <c r="G210" s="40">
        <f t="shared" ca="1" si="19"/>
        <v>7</v>
      </c>
    </row>
    <row r="211" spans="1:7" x14ac:dyDescent="0.25">
      <c r="A211" s="17">
        <f t="shared" si="15"/>
        <v>81</v>
      </c>
      <c r="B211" t="str">
        <f ca="1">TEXT(DATE(YEAR(Invoer!$A$5),1,1)+INT((ROWS(B$2:B211)-1)/3),"jjjjmmdd")</f>
        <v>19430311</v>
      </c>
      <c r="C211" s="35" t="str">
        <f>INDEX(Data,2,2+MOD(ROWS(C$2:C211)-1,3))</f>
        <v>19.45</v>
      </c>
      <c r="D211" s="23" t="str">
        <f t="shared" ca="1" si="16"/>
        <v>—</v>
      </c>
      <c r="E211" s="40">
        <f t="shared" ca="1" si="17"/>
        <v>7</v>
      </c>
      <c r="F211" s="23" t="str">
        <f t="shared" ca="1" si="18"/>
        <v>—</v>
      </c>
      <c r="G211" s="40">
        <f t="shared" ca="1" si="19"/>
        <v>7</v>
      </c>
    </row>
    <row r="212" spans="1:7" x14ac:dyDescent="0.25">
      <c r="A212" s="17">
        <f t="shared" si="15"/>
        <v>81</v>
      </c>
      <c r="B212" t="str">
        <f ca="1">TEXT(DATE(YEAR(Invoer!$A$5),1,1)+INT((ROWS(B$2:B212)-1)/3),"jjjjmmdd")</f>
        <v>19430312</v>
      </c>
      <c r="C212" s="35" t="str">
        <f>INDEX(Data,2,2+MOD(ROWS(C$2:C212)-1,3))</f>
        <v>07.45</v>
      </c>
      <c r="D212" s="23" t="str">
        <f t="shared" ca="1" si="16"/>
        <v>—</v>
      </c>
      <c r="E212" s="40">
        <f t="shared" ca="1" si="17"/>
        <v>7</v>
      </c>
      <c r="F212" s="23" t="str">
        <f t="shared" ca="1" si="18"/>
        <v>—</v>
      </c>
      <c r="G212" s="40">
        <f t="shared" ca="1" si="19"/>
        <v>7</v>
      </c>
    </row>
    <row r="213" spans="1:7" x14ac:dyDescent="0.25">
      <c r="A213" s="17">
        <f t="shared" si="15"/>
        <v>81</v>
      </c>
      <c r="B213" t="str">
        <f ca="1">TEXT(DATE(YEAR(Invoer!$A$5),1,1)+INT((ROWS(B$2:B213)-1)/3),"jjjjmmdd")</f>
        <v>19430312</v>
      </c>
      <c r="C213" s="35" t="str">
        <f>INDEX(Data,2,2+MOD(ROWS(C$2:C213)-1,3))</f>
        <v>13.45</v>
      </c>
      <c r="D213" s="23" t="str">
        <f t="shared" ca="1" si="16"/>
        <v>—</v>
      </c>
      <c r="E213" s="40">
        <f t="shared" ca="1" si="17"/>
        <v>7</v>
      </c>
      <c r="F213" s="23" t="str">
        <f t="shared" ca="1" si="18"/>
        <v>—</v>
      </c>
      <c r="G213" s="40">
        <f t="shared" ca="1" si="19"/>
        <v>7</v>
      </c>
    </row>
    <row r="214" spans="1:7" x14ac:dyDescent="0.25">
      <c r="A214" s="17">
        <f t="shared" si="15"/>
        <v>81</v>
      </c>
      <c r="B214" t="str">
        <f ca="1">TEXT(DATE(YEAR(Invoer!$A$5),1,1)+INT((ROWS(B$2:B214)-1)/3),"jjjjmmdd")</f>
        <v>19430312</v>
      </c>
      <c r="C214" s="35" t="str">
        <f>INDEX(Data,2,2+MOD(ROWS(C$2:C214)-1,3))</f>
        <v>19.45</v>
      </c>
      <c r="D214" s="23" t="str">
        <f t="shared" ca="1" si="16"/>
        <v>—</v>
      </c>
      <c r="E214" s="40">
        <f t="shared" ca="1" si="17"/>
        <v>7</v>
      </c>
      <c r="F214" s="23" t="str">
        <f t="shared" ca="1" si="18"/>
        <v>—</v>
      </c>
      <c r="G214" s="40">
        <f t="shared" ca="1" si="19"/>
        <v>7</v>
      </c>
    </row>
    <row r="215" spans="1:7" x14ac:dyDescent="0.25">
      <c r="A215" s="17">
        <f t="shared" si="15"/>
        <v>81</v>
      </c>
      <c r="B215" t="str">
        <f ca="1">TEXT(DATE(YEAR(Invoer!$A$5),1,1)+INT((ROWS(B$2:B215)-1)/3),"jjjjmmdd")</f>
        <v>19430313</v>
      </c>
      <c r="C215" s="35" t="str">
        <f>INDEX(Data,2,2+MOD(ROWS(C$2:C215)-1,3))</f>
        <v>07.45</v>
      </c>
      <c r="D215" s="23" t="str">
        <f t="shared" ca="1" si="16"/>
        <v>—</v>
      </c>
      <c r="E215" s="40">
        <f t="shared" ca="1" si="17"/>
        <v>7</v>
      </c>
      <c r="F215" s="23" t="str">
        <f t="shared" ca="1" si="18"/>
        <v>—</v>
      </c>
      <c r="G215" s="40">
        <f t="shared" ca="1" si="19"/>
        <v>7</v>
      </c>
    </row>
    <row r="216" spans="1:7" x14ac:dyDescent="0.25">
      <c r="A216" s="17">
        <f t="shared" si="15"/>
        <v>81</v>
      </c>
      <c r="B216" t="str">
        <f ca="1">TEXT(DATE(YEAR(Invoer!$A$5),1,1)+INT((ROWS(B$2:B216)-1)/3),"jjjjmmdd")</f>
        <v>19430313</v>
      </c>
      <c r="C216" s="35" t="str">
        <f>INDEX(Data,2,2+MOD(ROWS(C$2:C216)-1,3))</f>
        <v>13.45</v>
      </c>
      <c r="D216" s="23" t="str">
        <f t="shared" ca="1" si="16"/>
        <v>—</v>
      </c>
      <c r="E216" s="40">
        <f t="shared" ca="1" si="17"/>
        <v>7</v>
      </c>
      <c r="F216" s="23" t="str">
        <f t="shared" ca="1" si="18"/>
        <v>—</v>
      </c>
      <c r="G216" s="40">
        <f t="shared" ca="1" si="19"/>
        <v>7</v>
      </c>
    </row>
    <row r="217" spans="1:7" x14ac:dyDescent="0.25">
      <c r="A217" s="17">
        <f t="shared" si="15"/>
        <v>81</v>
      </c>
      <c r="B217" t="str">
        <f ca="1">TEXT(DATE(YEAR(Invoer!$A$5),1,1)+INT((ROWS(B$2:B217)-1)/3),"jjjjmmdd")</f>
        <v>19430313</v>
      </c>
      <c r="C217" s="35" t="str">
        <f>INDEX(Data,2,2+MOD(ROWS(C$2:C217)-1,3))</f>
        <v>19.45</v>
      </c>
      <c r="D217" s="23" t="str">
        <f t="shared" ca="1" si="16"/>
        <v>—</v>
      </c>
      <c r="E217" s="40">
        <f t="shared" ca="1" si="17"/>
        <v>7</v>
      </c>
      <c r="F217" s="23" t="str">
        <f t="shared" ca="1" si="18"/>
        <v>—</v>
      </c>
      <c r="G217" s="40">
        <f t="shared" ca="1" si="19"/>
        <v>7</v>
      </c>
    </row>
    <row r="218" spans="1:7" x14ac:dyDescent="0.25">
      <c r="A218" s="17">
        <f t="shared" si="15"/>
        <v>81</v>
      </c>
      <c r="B218" t="str">
        <f ca="1">TEXT(DATE(YEAR(Invoer!$A$5),1,1)+INT((ROWS(B$2:B218)-1)/3),"jjjjmmdd")</f>
        <v>19430314</v>
      </c>
      <c r="C218" s="35" t="str">
        <f>INDEX(Data,2,2+MOD(ROWS(C$2:C218)-1,3))</f>
        <v>07.45</v>
      </c>
      <c r="D218" s="23" t="str">
        <f t="shared" ca="1" si="16"/>
        <v>—</v>
      </c>
      <c r="E218" s="40">
        <f t="shared" ca="1" si="17"/>
        <v>7</v>
      </c>
      <c r="F218" s="23" t="str">
        <f t="shared" ca="1" si="18"/>
        <v>—</v>
      </c>
      <c r="G218" s="40">
        <f t="shared" ca="1" si="19"/>
        <v>7</v>
      </c>
    </row>
    <row r="219" spans="1:7" x14ac:dyDescent="0.25">
      <c r="A219" s="17">
        <f t="shared" si="15"/>
        <v>81</v>
      </c>
      <c r="B219" t="str">
        <f ca="1">TEXT(DATE(YEAR(Invoer!$A$5),1,1)+INT((ROWS(B$2:B219)-1)/3),"jjjjmmdd")</f>
        <v>19430314</v>
      </c>
      <c r="C219" s="35" t="str">
        <f>INDEX(Data,2,2+MOD(ROWS(C$2:C219)-1,3))</f>
        <v>13.45</v>
      </c>
      <c r="D219" s="23" t="str">
        <f t="shared" ca="1" si="16"/>
        <v>—</v>
      </c>
      <c r="E219" s="40">
        <f t="shared" ca="1" si="17"/>
        <v>7</v>
      </c>
      <c r="F219" s="23" t="str">
        <f t="shared" ca="1" si="18"/>
        <v>—</v>
      </c>
      <c r="G219" s="40">
        <f t="shared" ca="1" si="19"/>
        <v>7</v>
      </c>
    </row>
    <row r="220" spans="1:7" x14ac:dyDescent="0.25">
      <c r="A220" s="17">
        <f t="shared" si="15"/>
        <v>81</v>
      </c>
      <c r="B220" t="str">
        <f ca="1">TEXT(DATE(YEAR(Invoer!$A$5),1,1)+INT((ROWS(B$2:B220)-1)/3),"jjjjmmdd")</f>
        <v>19430314</v>
      </c>
      <c r="C220" s="35" t="str">
        <f>INDEX(Data,2,2+MOD(ROWS(C$2:C220)-1,3))</f>
        <v>19.45</v>
      </c>
      <c r="D220" s="23" t="str">
        <f t="shared" ca="1" si="16"/>
        <v>—</v>
      </c>
      <c r="E220" s="40">
        <f t="shared" ca="1" si="17"/>
        <v>7</v>
      </c>
      <c r="F220" s="23" t="str">
        <f t="shared" ca="1" si="18"/>
        <v>—</v>
      </c>
      <c r="G220" s="40">
        <f t="shared" ca="1" si="19"/>
        <v>7</v>
      </c>
    </row>
    <row r="221" spans="1:7" x14ac:dyDescent="0.25">
      <c r="A221" s="17">
        <f t="shared" si="15"/>
        <v>81</v>
      </c>
      <c r="B221" t="str">
        <f ca="1">TEXT(DATE(YEAR(Invoer!$A$5),1,1)+INT((ROWS(B$2:B221)-1)/3),"jjjjmmdd")</f>
        <v>19430315</v>
      </c>
      <c r="C221" s="35" t="str">
        <f>INDEX(Data,2,2+MOD(ROWS(C$2:C221)-1,3))</f>
        <v>07.45</v>
      </c>
      <c r="D221" s="23" t="str">
        <f t="shared" ca="1" si="16"/>
        <v>—</v>
      </c>
      <c r="E221" s="40">
        <f t="shared" ca="1" si="17"/>
        <v>7</v>
      </c>
      <c r="F221" s="23" t="str">
        <f t="shared" ca="1" si="18"/>
        <v>—</v>
      </c>
      <c r="G221" s="40">
        <f t="shared" ca="1" si="19"/>
        <v>7</v>
      </c>
    </row>
    <row r="222" spans="1:7" x14ac:dyDescent="0.25">
      <c r="A222" s="17">
        <f t="shared" si="15"/>
        <v>81</v>
      </c>
      <c r="B222" t="str">
        <f ca="1">TEXT(DATE(YEAR(Invoer!$A$5),1,1)+INT((ROWS(B$2:B222)-1)/3),"jjjjmmdd")</f>
        <v>19430315</v>
      </c>
      <c r="C222" s="35" t="str">
        <f>INDEX(Data,2,2+MOD(ROWS(C$2:C222)-1,3))</f>
        <v>13.45</v>
      </c>
      <c r="D222" s="23" t="str">
        <f t="shared" ca="1" si="16"/>
        <v>—</v>
      </c>
      <c r="E222" s="40">
        <f t="shared" ca="1" si="17"/>
        <v>7</v>
      </c>
      <c r="F222" s="23" t="str">
        <f t="shared" ca="1" si="18"/>
        <v>—</v>
      </c>
      <c r="G222" s="40">
        <f t="shared" ca="1" si="19"/>
        <v>7</v>
      </c>
    </row>
    <row r="223" spans="1:7" x14ac:dyDescent="0.25">
      <c r="A223" s="17">
        <f t="shared" si="15"/>
        <v>81</v>
      </c>
      <c r="B223" t="str">
        <f ca="1">TEXT(DATE(YEAR(Invoer!$A$5),1,1)+INT((ROWS(B$2:B223)-1)/3),"jjjjmmdd")</f>
        <v>19430315</v>
      </c>
      <c r="C223" s="35" t="str">
        <f>INDEX(Data,2,2+MOD(ROWS(C$2:C223)-1,3))</f>
        <v>19.45</v>
      </c>
      <c r="D223" s="23" t="str">
        <f t="shared" ca="1" si="16"/>
        <v>—</v>
      </c>
      <c r="E223" s="40">
        <f t="shared" ca="1" si="17"/>
        <v>7</v>
      </c>
      <c r="F223" s="23" t="str">
        <f t="shared" ca="1" si="18"/>
        <v>—</v>
      </c>
      <c r="G223" s="40">
        <f t="shared" ca="1" si="19"/>
        <v>7</v>
      </c>
    </row>
    <row r="224" spans="1:7" x14ac:dyDescent="0.25">
      <c r="A224" s="17">
        <f t="shared" si="15"/>
        <v>81</v>
      </c>
      <c r="B224" t="str">
        <f ca="1">TEXT(DATE(YEAR(Invoer!$A$5),1,1)+INT((ROWS(B$2:B224)-1)/3),"jjjjmmdd")</f>
        <v>19430316</v>
      </c>
      <c r="C224" s="35" t="str">
        <f>INDEX(Data,2,2+MOD(ROWS(C$2:C224)-1,3))</f>
        <v>07.45</v>
      </c>
      <c r="D224" s="23" t="str">
        <f t="shared" ca="1" si="16"/>
        <v>—</v>
      </c>
      <c r="E224" s="40">
        <f t="shared" ca="1" si="17"/>
        <v>7</v>
      </c>
      <c r="F224" s="23" t="str">
        <f t="shared" ca="1" si="18"/>
        <v>—</v>
      </c>
      <c r="G224" s="40">
        <f t="shared" ca="1" si="19"/>
        <v>7</v>
      </c>
    </row>
    <row r="225" spans="1:7" x14ac:dyDescent="0.25">
      <c r="A225" s="17">
        <f t="shared" si="15"/>
        <v>81</v>
      </c>
      <c r="B225" t="str">
        <f ca="1">TEXT(DATE(YEAR(Invoer!$A$5),1,1)+INT((ROWS(B$2:B225)-1)/3),"jjjjmmdd")</f>
        <v>19430316</v>
      </c>
      <c r="C225" s="35" t="str">
        <f>INDEX(Data,2,2+MOD(ROWS(C$2:C225)-1,3))</f>
        <v>13.45</v>
      </c>
      <c r="D225" s="23" t="str">
        <f t="shared" ca="1" si="16"/>
        <v>—</v>
      </c>
      <c r="E225" s="40">
        <f t="shared" ca="1" si="17"/>
        <v>7</v>
      </c>
      <c r="F225" s="23" t="str">
        <f t="shared" ca="1" si="18"/>
        <v>—</v>
      </c>
      <c r="G225" s="40">
        <f t="shared" ca="1" si="19"/>
        <v>7</v>
      </c>
    </row>
    <row r="226" spans="1:7" x14ac:dyDescent="0.25">
      <c r="A226" s="17">
        <f t="shared" si="15"/>
        <v>81</v>
      </c>
      <c r="B226" t="str">
        <f ca="1">TEXT(DATE(YEAR(Invoer!$A$5),1,1)+INT((ROWS(B$2:B226)-1)/3),"jjjjmmdd")</f>
        <v>19430316</v>
      </c>
      <c r="C226" s="35" t="str">
        <f>INDEX(Data,2,2+MOD(ROWS(C$2:C226)-1,3))</f>
        <v>19.45</v>
      </c>
      <c r="D226" s="23" t="str">
        <f t="shared" ca="1" si="16"/>
        <v>—</v>
      </c>
      <c r="E226" s="40">
        <f t="shared" ca="1" si="17"/>
        <v>7</v>
      </c>
      <c r="F226" s="23" t="str">
        <f t="shared" ca="1" si="18"/>
        <v>—</v>
      </c>
      <c r="G226" s="40">
        <f t="shared" ca="1" si="19"/>
        <v>7</v>
      </c>
    </row>
    <row r="227" spans="1:7" x14ac:dyDescent="0.25">
      <c r="A227" s="17">
        <f t="shared" si="15"/>
        <v>81</v>
      </c>
      <c r="B227" t="str">
        <f ca="1">TEXT(DATE(YEAR(Invoer!$A$5),1,1)+INT((ROWS(B$2:B227)-1)/3),"jjjjmmdd")</f>
        <v>19430317</v>
      </c>
      <c r="C227" s="35" t="str">
        <f>INDEX(Data,2,2+MOD(ROWS(C$2:C227)-1,3))</f>
        <v>07.45</v>
      </c>
      <c r="D227" s="23" t="str">
        <f t="shared" ca="1" si="16"/>
        <v>—</v>
      </c>
      <c r="E227" s="40">
        <f t="shared" ca="1" si="17"/>
        <v>7</v>
      </c>
      <c r="F227" s="23" t="str">
        <f t="shared" ca="1" si="18"/>
        <v>—</v>
      </c>
      <c r="G227" s="40">
        <f t="shared" ca="1" si="19"/>
        <v>7</v>
      </c>
    </row>
    <row r="228" spans="1:7" x14ac:dyDescent="0.25">
      <c r="A228" s="17">
        <f t="shared" si="15"/>
        <v>81</v>
      </c>
      <c r="B228" t="str">
        <f ca="1">TEXT(DATE(YEAR(Invoer!$A$5),1,1)+INT((ROWS(B$2:B228)-1)/3),"jjjjmmdd")</f>
        <v>19430317</v>
      </c>
      <c r="C228" s="35" t="str">
        <f>INDEX(Data,2,2+MOD(ROWS(C$2:C228)-1,3))</f>
        <v>13.45</v>
      </c>
      <c r="D228" s="23" t="str">
        <f t="shared" ca="1" si="16"/>
        <v>—</v>
      </c>
      <c r="E228" s="40">
        <f t="shared" ca="1" si="17"/>
        <v>7</v>
      </c>
      <c r="F228" s="23" t="str">
        <f t="shared" ca="1" si="18"/>
        <v>—</v>
      </c>
      <c r="G228" s="40">
        <f t="shared" ca="1" si="19"/>
        <v>7</v>
      </c>
    </row>
    <row r="229" spans="1:7" x14ac:dyDescent="0.25">
      <c r="A229" s="17">
        <f t="shared" si="15"/>
        <v>81</v>
      </c>
      <c r="B229" t="str">
        <f ca="1">TEXT(DATE(YEAR(Invoer!$A$5),1,1)+INT((ROWS(B$2:B229)-1)/3),"jjjjmmdd")</f>
        <v>19430317</v>
      </c>
      <c r="C229" s="35" t="str">
        <f>INDEX(Data,2,2+MOD(ROWS(C$2:C229)-1,3))</f>
        <v>19.45</v>
      </c>
      <c r="D229" s="23" t="str">
        <f t="shared" ca="1" si="16"/>
        <v>—</v>
      </c>
      <c r="E229" s="40">
        <f t="shared" ca="1" si="17"/>
        <v>7</v>
      </c>
      <c r="F229" s="23" t="str">
        <f t="shared" ca="1" si="18"/>
        <v>—</v>
      </c>
      <c r="G229" s="40">
        <f t="shared" ca="1" si="19"/>
        <v>7</v>
      </c>
    </row>
    <row r="230" spans="1:7" x14ac:dyDescent="0.25">
      <c r="A230" s="17">
        <f t="shared" si="15"/>
        <v>81</v>
      </c>
      <c r="B230" t="str">
        <f ca="1">TEXT(DATE(YEAR(Invoer!$A$5),1,1)+INT((ROWS(B$2:B230)-1)/3),"jjjjmmdd")</f>
        <v>19430318</v>
      </c>
      <c r="C230" s="35" t="str">
        <f>INDEX(Data,2,2+MOD(ROWS(C$2:C230)-1,3))</f>
        <v>07.45</v>
      </c>
      <c r="D230" s="23" t="str">
        <f t="shared" ca="1" si="16"/>
        <v>—</v>
      </c>
      <c r="E230" s="40">
        <f t="shared" ca="1" si="17"/>
        <v>7</v>
      </c>
      <c r="F230" s="23" t="str">
        <f t="shared" ca="1" si="18"/>
        <v>—</v>
      </c>
      <c r="G230" s="40">
        <f t="shared" ca="1" si="19"/>
        <v>7</v>
      </c>
    </row>
    <row r="231" spans="1:7" x14ac:dyDescent="0.25">
      <c r="A231" s="17">
        <f t="shared" si="15"/>
        <v>81</v>
      </c>
      <c r="B231" t="str">
        <f ca="1">TEXT(DATE(YEAR(Invoer!$A$5),1,1)+INT((ROWS(B$2:B231)-1)/3),"jjjjmmdd")</f>
        <v>19430318</v>
      </c>
      <c r="C231" s="35" t="str">
        <f>INDEX(Data,2,2+MOD(ROWS(C$2:C231)-1,3))</f>
        <v>13.45</v>
      </c>
      <c r="D231" s="23" t="str">
        <f t="shared" ca="1" si="16"/>
        <v>—</v>
      </c>
      <c r="E231" s="40">
        <f t="shared" ca="1" si="17"/>
        <v>7</v>
      </c>
      <c r="F231" s="23" t="str">
        <f t="shared" ca="1" si="18"/>
        <v>—</v>
      </c>
      <c r="G231" s="40">
        <f t="shared" ca="1" si="19"/>
        <v>7</v>
      </c>
    </row>
    <row r="232" spans="1:7" x14ac:dyDescent="0.25">
      <c r="A232" s="17">
        <f t="shared" si="15"/>
        <v>81</v>
      </c>
      <c r="B232" t="str">
        <f ca="1">TEXT(DATE(YEAR(Invoer!$A$5),1,1)+INT((ROWS(B$2:B232)-1)/3),"jjjjmmdd")</f>
        <v>19430318</v>
      </c>
      <c r="C232" s="35" t="str">
        <f>INDEX(Data,2,2+MOD(ROWS(C$2:C232)-1,3))</f>
        <v>19.45</v>
      </c>
      <c r="D232" s="23" t="str">
        <f t="shared" ca="1" si="16"/>
        <v>—</v>
      </c>
      <c r="E232" s="40">
        <f t="shared" ca="1" si="17"/>
        <v>7</v>
      </c>
      <c r="F232" s="23" t="str">
        <f t="shared" ca="1" si="18"/>
        <v>—</v>
      </c>
      <c r="G232" s="40">
        <f t="shared" ca="1" si="19"/>
        <v>7</v>
      </c>
    </row>
    <row r="233" spans="1:7" x14ac:dyDescent="0.25">
      <c r="A233" s="17">
        <f t="shared" si="15"/>
        <v>81</v>
      </c>
      <c r="B233" t="str">
        <f ca="1">TEXT(DATE(YEAR(Invoer!$A$5),1,1)+INT((ROWS(B$2:B233)-1)/3),"jjjjmmdd")</f>
        <v>19430319</v>
      </c>
      <c r="C233" s="35" t="str">
        <f>INDEX(Data,2,2+MOD(ROWS(C$2:C233)-1,3))</f>
        <v>07.45</v>
      </c>
      <c r="D233" s="23" t="str">
        <f t="shared" ca="1" si="16"/>
        <v>—</v>
      </c>
      <c r="E233" s="40">
        <f t="shared" ca="1" si="17"/>
        <v>7</v>
      </c>
      <c r="F233" s="23" t="str">
        <f t="shared" ca="1" si="18"/>
        <v>—</v>
      </c>
      <c r="G233" s="40">
        <f t="shared" ca="1" si="19"/>
        <v>7</v>
      </c>
    </row>
    <row r="234" spans="1:7" x14ac:dyDescent="0.25">
      <c r="A234" s="17">
        <f t="shared" si="15"/>
        <v>81</v>
      </c>
      <c r="B234" t="str">
        <f ca="1">TEXT(DATE(YEAR(Invoer!$A$5),1,1)+INT((ROWS(B$2:B234)-1)/3),"jjjjmmdd")</f>
        <v>19430319</v>
      </c>
      <c r="C234" s="35" t="str">
        <f>INDEX(Data,2,2+MOD(ROWS(C$2:C234)-1,3))</f>
        <v>13.45</v>
      </c>
      <c r="D234" s="23" t="str">
        <f t="shared" ca="1" si="16"/>
        <v>—</v>
      </c>
      <c r="E234" s="40">
        <f t="shared" ca="1" si="17"/>
        <v>7</v>
      </c>
      <c r="F234" s="23" t="str">
        <f t="shared" ca="1" si="18"/>
        <v>—</v>
      </c>
      <c r="G234" s="40">
        <f t="shared" ca="1" si="19"/>
        <v>7</v>
      </c>
    </row>
    <row r="235" spans="1:7" x14ac:dyDescent="0.25">
      <c r="A235" s="17">
        <f t="shared" si="15"/>
        <v>81</v>
      </c>
      <c r="B235" t="str">
        <f ca="1">TEXT(DATE(YEAR(Invoer!$A$5),1,1)+INT((ROWS(B$2:B235)-1)/3),"jjjjmmdd")</f>
        <v>19430319</v>
      </c>
      <c r="C235" s="35" t="str">
        <f>INDEX(Data,2,2+MOD(ROWS(C$2:C235)-1,3))</f>
        <v>19.45</v>
      </c>
      <c r="D235" s="23" t="str">
        <f t="shared" ca="1" si="16"/>
        <v>—</v>
      </c>
      <c r="E235" s="40">
        <f t="shared" ca="1" si="17"/>
        <v>7</v>
      </c>
      <c r="F235" s="23" t="str">
        <f t="shared" ca="1" si="18"/>
        <v>—</v>
      </c>
      <c r="G235" s="40">
        <f t="shared" ca="1" si="19"/>
        <v>7</v>
      </c>
    </row>
    <row r="236" spans="1:7" x14ac:dyDescent="0.25">
      <c r="A236" s="17">
        <f t="shared" si="15"/>
        <v>81</v>
      </c>
      <c r="B236" t="str">
        <f ca="1">TEXT(DATE(YEAR(Invoer!$A$5),1,1)+INT((ROWS(B$2:B236)-1)/3),"jjjjmmdd")</f>
        <v>19430320</v>
      </c>
      <c r="C236" s="35" t="str">
        <f>INDEX(Data,2,2+MOD(ROWS(C$2:C236)-1,3))</f>
        <v>07.45</v>
      </c>
      <c r="D236" s="23" t="str">
        <f t="shared" ca="1" si="16"/>
        <v>—</v>
      </c>
      <c r="E236" s="40">
        <f t="shared" ca="1" si="17"/>
        <v>7</v>
      </c>
      <c r="F236" s="23" t="str">
        <f t="shared" ca="1" si="18"/>
        <v>—</v>
      </c>
      <c r="G236" s="40">
        <f t="shared" ca="1" si="19"/>
        <v>7</v>
      </c>
    </row>
    <row r="237" spans="1:7" x14ac:dyDescent="0.25">
      <c r="A237" s="17">
        <f t="shared" si="15"/>
        <v>81</v>
      </c>
      <c r="B237" t="str">
        <f ca="1">TEXT(DATE(YEAR(Invoer!$A$5),1,1)+INT((ROWS(B$2:B237)-1)/3),"jjjjmmdd")</f>
        <v>19430320</v>
      </c>
      <c r="C237" s="35" t="str">
        <f>INDEX(Data,2,2+MOD(ROWS(C$2:C237)-1,3))</f>
        <v>13.45</v>
      </c>
      <c r="D237" s="23" t="str">
        <f t="shared" ca="1" si="16"/>
        <v>—</v>
      </c>
      <c r="E237" s="40">
        <f t="shared" ca="1" si="17"/>
        <v>7</v>
      </c>
      <c r="F237" s="23" t="str">
        <f t="shared" ca="1" si="18"/>
        <v>—</v>
      </c>
      <c r="G237" s="40">
        <f t="shared" ca="1" si="19"/>
        <v>7</v>
      </c>
    </row>
    <row r="238" spans="1:7" x14ac:dyDescent="0.25">
      <c r="A238" s="17">
        <f t="shared" si="15"/>
        <v>81</v>
      </c>
      <c r="B238" t="str">
        <f ca="1">TEXT(DATE(YEAR(Invoer!$A$5),1,1)+INT((ROWS(B$2:B238)-1)/3),"jjjjmmdd")</f>
        <v>19430320</v>
      </c>
      <c r="C238" s="35" t="str">
        <f>INDEX(Data,2,2+MOD(ROWS(C$2:C238)-1,3))</f>
        <v>19.45</v>
      </c>
      <c r="D238" s="23" t="str">
        <f t="shared" ca="1" si="16"/>
        <v>—</v>
      </c>
      <c r="E238" s="40">
        <f t="shared" ca="1" si="17"/>
        <v>7</v>
      </c>
      <c r="F238" s="23" t="str">
        <f t="shared" ca="1" si="18"/>
        <v>—</v>
      </c>
      <c r="G238" s="40">
        <f t="shared" ca="1" si="19"/>
        <v>7</v>
      </c>
    </row>
    <row r="239" spans="1:7" x14ac:dyDescent="0.25">
      <c r="A239" s="17">
        <f t="shared" si="15"/>
        <v>81</v>
      </c>
      <c r="B239" t="str">
        <f ca="1">TEXT(DATE(YEAR(Invoer!$A$5),1,1)+INT((ROWS(B$2:B239)-1)/3),"jjjjmmdd")</f>
        <v>19430321</v>
      </c>
      <c r="C239" s="35" t="str">
        <f>INDEX(Data,2,2+MOD(ROWS(C$2:C239)-1,3))</f>
        <v>07.45</v>
      </c>
      <c r="D239" s="23" t="str">
        <f t="shared" ca="1" si="16"/>
        <v>—</v>
      </c>
      <c r="E239" s="40">
        <f t="shared" ca="1" si="17"/>
        <v>7</v>
      </c>
      <c r="F239" s="23" t="str">
        <f t="shared" ca="1" si="18"/>
        <v>—</v>
      </c>
      <c r="G239" s="40">
        <f t="shared" ca="1" si="19"/>
        <v>7</v>
      </c>
    </row>
    <row r="240" spans="1:7" x14ac:dyDescent="0.25">
      <c r="A240" s="17">
        <f t="shared" si="15"/>
        <v>81</v>
      </c>
      <c r="B240" t="str">
        <f ca="1">TEXT(DATE(YEAR(Invoer!$A$5),1,1)+INT((ROWS(B$2:B240)-1)/3),"jjjjmmdd")</f>
        <v>19430321</v>
      </c>
      <c r="C240" s="35" t="str">
        <f>INDEX(Data,2,2+MOD(ROWS(C$2:C240)-1,3))</f>
        <v>13.45</v>
      </c>
      <c r="D240" s="23" t="str">
        <f t="shared" ca="1" si="16"/>
        <v>—</v>
      </c>
      <c r="E240" s="40">
        <f t="shared" ca="1" si="17"/>
        <v>7</v>
      </c>
      <c r="F240" s="23" t="str">
        <f t="shared" ca="1" si="18"/>
        <v>—</v>
      </c>
      <c r="G240" s="40">
        <f t="shared" ca="1" si="19"/>
        <v>7</v>
      </c>
    </row>
    <row r="241" spans="1:7" x14ac:dyDescent="0.25">
      <c r="A241" s="17">
        <f t="shared" si="15"/>
        <v>81</v>
      </c>
      <c r="B241" t="str">
        <f ca="1">TEXT(DATE(YEAR(Invoer!$A$5),1,1)+INT((ROWS(B$2:B241)-1)/3),"jjjjmmdd")</f>
        <v>19430321</v>
      </c>
      <c r="C241" s="35" t="str">
        <f>INDEX(Data,2,2+MOD(ROWS(C$2:C241)-1,3))</f>
        <v>19.45</v>
      </c>
      <c r="D241" s="23" t="str">
        <f t="shared" ca="1" si="16"/>
        <v>—</v>
      </c>
      <c r="E241" s="40">
        <f t="shared" ca="1" si="17"/>
        <v>7</v>
      </c>
      <c r="F241" s="23" t="str">
        <f t="shared" ca="1" si="18"/>
        <v>—</v>
      </c>
      <c r="G241" s="40">
        <f t="shared" ca="1" si="19"/>
        <v>7</v>
      </c>
    </row>
    <row r="242" spans="1:7" x14ac:dyDescent="0.25">
      <c r="A242" s="17">
        <f t="shared" si="15"/>
        <v>81</v>
      </c>
      <c r="B242" t="str">
        <f ca="1">TEXT(DATE(YEAR(Invoer!$A$5),1,1)+INT((ROWS(B$2:B242)-1)/3),"jjjjmmdd")</f>
        <v>19430322</v>
      </c>
      <c r="C242" s="35" t="str">
        <f>INDEX(Data,2,2+MOD(ROWS(C$2:C242)-1,3))</f>
        <v>07.45</v>
      </c>
      <c r="D242" s="23" t="str">
        <f t="shared" ca="1" si="16"/>
        <v>—</v>
      </c>
      <c r="E242" s="40">
        <f t="shared" ca="1" si="17"/>
        <v>7</v>
      </c>
      <c r="F242" s="23" t="str">
        <f t="shared" ca="1" si="18"/>
        <v>—</v>
      </c>
      <c r="G242" s="40">
        <f t="shared" ca="1" si="19"/>
        <v>7</v>
      </c>
    </row>
    <row r="243" spans="1:7" x14ac:dyDescent="0.25">
      <c r="A243" s="17">
        <f t="shared" si="15"/>
        <v>81</v>
      </c>
      <c r="B243" t="str">
        <f ca="1">TEXT(DATE(YEAR(Invoer!$A$5),1,1)+INT((ROWS(B$2:B243)-1)/3),"jjjjmmdd")</f>
        <v>19430322</v>
      </c>
      <c r="C243" s="35" t="str">
        <f>INDEX(Data,2,2+MOD(ROWS(C$2:C243)-1,3))</f>
        <v>13.45</v>
      </c>
      <c r="D243" s="23" t="str">
        <f t="shared" ca="1" si="16"/>
        <v>—</v>
      </c>
      <c r="E243" s="40">
        <f t="shared" ca="1" si="17"/>
        <v>7</v>
      </c>
      <c r="F243" s="23" t="str">
        <f t="shared" ca="1" si="18"/>
        <v>—</v>
      </c>
      <c r="G243" s="40">
        <f t="shared" ca="1" si="19"/>
        <v>7</v>
      </c>
    </row>
    <row r="244" spans="1:7" x14ac:dyDescent="0.25">
      <c r="A244" s="17">
        <f t="shared" si="15"/>
        <v>81</v>
      </c>
      <c r="B244" t="str">
        <f ca="1">TEXT(DATE(YEAR(Invoer!$A$5),1,1)+INT((ROWS(B$2:B244)-1)/3),"jjjjmmdd")</f>
        <v>19430322</v>
      </c>
      <c r="C244" s="35" t="str">
        <f>INDEX(Data,2,2+MOD(ROWS(C$2:C244)-1,3))</f>
        <v>19.45</v>
      </c>
      <c r="D244" s="23" t="str">
        <f t="shared" ca="1" si="16"/>
        <v>—</v>
      </c>
      <c r="E244" s="40">
        <f t="shared" ca="1" si="17"/>
        <v>7</v>
      </c>
      <c r="F244" s="23" t="str">
        <f t="shared" ca="1" si="18"/>
        <v>—</v>
      </c>
      <c r="G244" s="40">
        <f t="shared" ca="1" si="19"/>
        <v>7</v>
      </c>
    </row>
    <row r="245" spans="1:7" x14ac:dyDescent="0.25">
      <c r="A245" s="17">
        <f t="shared" si="15"/>
        <v>81</v>
      </c>
      <c r="B245" t="str">
        <f ca="1">TEXT(DATE(YEAR(Invoer!$A$5),1,1)+INT((ROWS(B$2:B245)-1)/3),"jjjjmmdd")</f>
        <v>19430323</v>
      </c>
      <c r="C245" s="35" t="str">
        <f>INDEX(Data,2,2+MOD(ROWS(C$2:C245)-1,3))</f>
        <v>07.45</v>
      </c>
      <c r="D245" s="23" t="str">
        <f t="shared" ca="1" si="16"/>
        <v>—</v>
      </c>
      <c r="E245" s="40">
        <f t="shared" ca="1" si="17"/>
        <v>7</v>
      </c>
      <c r="F245" s="23" t="str">
        <f t="shared" ca="1" si="18"/>
        <v>—</v>
      </c>
      <c r="G245" s="40">
        <f t="shared" ca="1" si="19"/>
        <v>7</v>
      </c>
    </row>
    <row r="246" spans="1:7" x14ac:dyDescent="0.25">
      <c r="A246" s="17">
        <f t="shared" si="15"/>
        <v>81</v>
      </c>
      <c r="B246" t="str">
        <f ca="1">TEXT(DATE(YEAR(Invoer!$A$5),1,1)+INT((ROWS(B$2:B246)-1)/3),"jjjjmmdd")</f>
        <v>19430323</v>
      </c>
      <c r="C246" s="35" t="str">
        <f>INDEX(Data,2,2+MOD(ROWS(C$2:C246)-1,3))</f>
        <v>13.45</v>
      </c>
      <c r="D246" s="23" t="str">
        <f t="shared" ca="1" si="16"/>
        <v>—</v>
      </c>
      <c r="E246" s="40">
        <f t="shared" ca="1" si="17"/>
        <v>7</v>
      </c>
      <c r="F246" s="23" t="str">
        <f t="shared" ca="1" si="18"/>
        <v>—</v>
      </c>
      <c r="G246" s="40">
        <f t="shared" ca="1" si="19"/>
        <v>7</v>
      </c>
    </row>
    <row r="247" spans="1:7" x14ac:dyDescent="0.25">
      <c r="A247" s="17">
        <f t="shared" si="15"/>
        <v>81</v>
      </c>
      <c r="B247" t="str">
        <f ca="1">TEXT(DATE(YEAR(Invoer!$A$5),1,1)+INT((ROWS(B$2:B247)-1)/3),"jjjjmmdd")</f>
        <v>19430323</v>
      </c>
      <c r="C247" s="35" t="str">
        <f>INDEX(Data,2,2+MOD(ROWS(C$2:C247)-1,3))</f>
        <v>19.45</v>
      </c>
      <c r="D247" s="23" t="str">
        <f t="shared" ca="1" si="16"/>
        <v>—</v>
      </c>
      <c r="E247" s="40">
        <f t="shared" ca="1" si="17"/>
        <v>7</v>
      </c>
      <c r="F247" s="23" t="str">
        <f t="shared" ca="1" si="18"/>
        <v>—</v>
      </c>
      <c r="G247" s="40">
        <f t="shared" ca="1" si="19"/>
        <v>7</v>
      </c>
    </row>
    <row r="248" spans="1:7" x14ac:dyDescent="0.25">
      <c r="A248" s="17">
        <f t="shared" si="15"/>
        <v>81</v>
      </c>
      <c r="B248" t="str">
        <f ca="1">TEXT(DATE(YEAR(Invoer!$A$5),1,1)+INT((ROWS(B$2:B248)-1)/3),"jjjjmmdd")</f>
        <v>19430324</v>
      </c>
      <c r="C248" s="35" t="str">
        <f>INDEX(Data,2,2+MOD(ROWS(C$2:C248)-1,3))</f>
        <v>07.45</v>
      </c>
      <c r="D248" s="23" t="str">
        <f t="shared" ca="1" si="16"/>
        <v>—</v>
      </c>
      <c r="E248" s="40">
        <f t="shared" ca="1" si="17"/>
        <v>7</v>
      </c>
      <c r="F248" s="23" t="str">
        <f t="shared" ca="1" si="18"/>
        <v>—</v>
      </c>
      <c r="G248" s="40">
        <f t="shared" ca="1" si="19"/>
        <v>7</v>
      </c>
    </row>
    <row r="249" spans="1:7" x14ac:dyDescent="0.25">
      <c r="A249" s="17">
        <f t="shared" si="15"/>
        <v>81</v>
      </c>
      <c r="B249" t="str">
        <f ca="1">TEXT(DATE(YEAR(Invoer!$A$5),1,1)+INT((ROWS(B$2:B249)-1)/3),"jjjjmmdd")</f>
        <v>19430324</v>
      </c>
      <c r="C249" s="35" t="str">
        <f>INDEX(Data,2,2+MOD(ROWS(C$2:C249)-1,3))</f>
        <v>13.45</v>
      </c>
      <c r="D249" s="23" t="str">
        <f t="shared" ca="1" si="16"/>
        <v>—</v>
      </c>
      <c r="E249" s="40">
        <f t="shared" ca="1" si="17"/>
        <v>7</v>
      </c>
      <c r="F249" s="23" t="str">
        <f t="shared" ca="1" si="18"/>
        <v>—</v>
      </c>
      <c r="G249" s="40">
        <f t="shared" ca="1" si="19"/>
        <v>7</v>
      </c>
    </row>
    <row r="250" spans="1:7" x14ac:dyDescent="0.25">
      <c r="A250" s="17">
        <f t="shared" si="15"/>
        <v>81</v>
      </c>
      <c r="B250" t="str">
        <f ca="1">TEXT(DATE(YEAR(Invoer!$A$5),1,1)+INT((ROWS(B$2:B250)-1)/3),"jjjjmmdd")</f>
        <v>19430324</v>
      </c>
      <c r="C250" s="35" t="str">
        <f>INDEX(Data,2,2+MOD(ROWS(C$2:C250)-1,3))</f>
        <v>19.45</v>
      </c>
      <c r="D250" s="23" t="str">
        <f t="shared" ca="1" si="16"/>
        <v>—</v>
      </c>
      <c r="E250" s="40">
        <f t="shared" ca="1" si="17"/>
        <v>7</v>
      </c>
      <c r="F250" s="23" t="str">
        <f t="shared" ca="1" si="18"/>
        <v>—</v>
      </c>
      <c r="G250" s="40">
        <f t="shared" ca="1" si="19"/>
        <v>7</v>
      </c>
    </row>
    <row r="251" spans="1:7" x14ac:dyDescent="0.25">
      <c r="A251" s="17">
        <f t="shared" si="15"/>
        <v>81</v>
      </c>
      <c r="B251" t="str">
        <f ca="1">TEXT(DATE(YEAR(Invoer!$A$5),1,1)+INT((ROWS(B$2:B251)-1)/3),"jjjjmmdd")</f>
        <v>19430325</v>
      </c>
      <c r="C251" s="35" t="str">
        <f>INDEX(Data,2,2+MOD(ROWS(C$2:C251)-1,3))</f>
        <v>07.45</v>
      </c>
      <c r="D251" s="23" t="str">
        <f t="shared" ca="1" si="16"/>
        <v>—</v>
      </c>
      <c r="E251" s="40">
        <f t="shared" ca="1" si="17"/>
        <v>7</v>
      </c>
      <c r="F251" s="23" t="str">
        <f t="shared" ca="1" si="18"/>
        <v>—</v>
      </c>
      <c r="G251" s="40">
        <f t="shared" ca="1" si="19"/>
        <v>7</v>
      </c>
    </row>
    <row r="252" spans="1:7" x14ac:dyDescent="0.25">
      <c r="A252" s="17">
        <f t="shared" si="15"/>
        <v>81</v>
      </c>
      <c r="B252" t="str">
        <f ca="1">TEXT(DATE(YEAR(Invoer!$A$5),1,1)+INT((ROWS(B$2:B252)-1)/3),"jjjjmmdd")</f>
        <v>19430325</v>
      </c>
      <c r="C252" s="35" t="str">
        <f>INDEX(Data,2,2+MOD(ROWS(C$2:C252)-1,3))</f>
        <v>13.45</v>
      </c>
      <c r="D252" s="23" t="str">
        <f t="shared" ca="1" si="16"/>
        <v>—</v>
      </c>
      <c r="E252" s="40">
        <f t="shared" ca="1" si="17"/>
        <v>7</v>
      </c>
      <c r="F252" s="23" t="str">
        <f t="shared" ca="1" si="18"/>
        <v>—</v>
      </c>
      <c r="G252" s="40">
        <f t="shared" ca="1" si="19"/>
        <v>7</v>
      </c>
    </row>
    <row r="253" spans="1:7" x14ac:dyDescent="0.25">
      <c r="A253" s="17">
        <f t="shared" si="15"/>
        <v>81</v>
      </c>
      <c r="B253" t="str">
        <f ca="1">TEXT(DATE(YEAR(Invoer!$A$5),1,1)+INT((ROWS(B$2:B253)-1)/3),"jjjjmmdd")</f>
        <v>19430325</v>
      </c>
      <c r="C253" s="35" t="str">
        <f>INDEX(Data,2,2+MOD(ROWS(C$2:C253)-1,3))</f>
        <v>19.45</v>
      </c>
      <c r="D253" s="23" t="str">
        <f t="shared" ca="1" si="16"/>
        <v>—</v>
      </c>
      <c r="E253" s="40">
        <f t="shared" ca="1" si="17"/>
        <v>7</v>
      </c>
      <c r="F253" s="23" t="str">
        <f t="shared" ca="1" si="18"/>
        <v>—</v>
      </c>
      <c r="G253" s="40">
        <f t="shared" ca="1" si="19"/>
        <v>7</v>
      </c>
    </row>
    <row r="254" spans="1:7" x14ac:dyDescent="0.25">
      <c r="A254" s="17">
        <f t="shared" si="15"/>
        <v>81</v>
      </c>
      <c r="B254" t="str">
        <f ca="1">TEXT(DATE(YEAR(Invoer!$A$5),1,1)+INT((ROWS(B$2:B254)-1)/3),"jjjjmmdd")</f>
        <v>19430326</v>
      </c>
      <c r="C254" s="35" t="str">
        <f>INDEX(Data,2,2+MOD(ROWS(C$2:C254)-1,3))</f>
        <v>07.45</v>
      </c>
      <c r="D254" s="23" t="str">
        <f t="shared" ca="1" si="16"/>
        <v>—</v>
      </c>
      <c r="E254" s="40">
        <f t="shared" ca="1" si="17"/>
        <v>7</v>
      </c>
      <c r="F254" s="23" t="str">
        <f t="shared" ca="1" si="18"/>
        <v>—</v>
      </c>
      <c r="G254" s="40">
        <f t="shared" ca="1" si="19"/>
        <v>7</v>
      </c>
    </row>
    <row r="255" spans="1:7" x14ac:dyDescent="0.25">
      <c r="A255" s="17">
        <f t="shared" si="15"/>
        <v>81</v>
      </c>
      <c r="B255" t="str">
        <f ca="1">TEXT(DATE(YEAR(Invoer!$A$5),1,1)+INT((ROWS(B$2:B255)-1)/3),"jjjjmmdd")</f>
        <v>19430326</v>
      </c>
      <c r="C255" s="35" t="str">
        <f>INDEX(Data,2,2+MOD(ROWS(C$2:C255)-1,3))</f>
        <v>13.45</v>
      </c>
      <c r="D255" s="23" t="str">
        <f t="shared" ca="1" si="16"/>
        <v>—</v>
      </c>
      <c r="E255" s="40">
        <f t="shared" ca="1" si="17"/>
        <v>7</v>
      </c>
      <c r="F255" s="23" t="str">
        <f t="shared" ca="1" si="18"/>
        <v>—</v>
      </c>
      <c r="G255" s="40">
        <f t="shared" ca="1" si="19"/>
        <v>7</v>
      </c>
    </row>
    <row r="256" spans="1:7" x14ac:dyDescent="0.25">
      <c r="A256" s="17">
        <f t="shared" si="15"/>
        <v>81</v>
      </c>
      <c r="B256" t="str">
        <f ca="1">TEXT(DATE(YEAR(Invoer!$A$5),1,1)+INT((ROWS(B$2:B256)-1)/3),"jjjjmmdd")</f>
        <v>19430326</v>
      </c>
      <c r="C256" s="35" t="str">
        <f>INDEX(Data,2,2+MOD(ROWS(C$2:C256)-1,3))</f>
        <v>19.45</v>
      </c>
      <c r="D256" s="23" t="str">
        <f t="shared" ca="1" si="16"/>
        <v>—</v>
      </c>
      <c r="E256" s="40">
        <f t="shared" ca="1" si="17"/>
        <v>7</v>
      </c>
      <c r="F256" s="23" t="str">
        <f t="shared" ca="1" si="18"/>
        <v>—</v>
      </c>
      <c r="G256" s="40">
        <f t="shared" ca="1" si="19"/>
        <v>7</v>
      </c>
    </row>
    <row r="257" spans="1:7" x14ac:dyDescent="0.25">
      <c r="A257" s="17">
        <f t="shared" si="15"/>
        <v>81</v>
      </c>
      <c r="B257" t="str">
        <f ca="1">TEXT(DATE(YEAR(Invoer!$A$5),1,1)+INT((ROWS(B$2:B257)-1)/3),"jjjjmmdd")</f>
        <v>19430327</v>
      </c>
      <c r="C257" s="35" t="str">
        <f>INDEX(Data,2,2+MOD(ROWS(C$2:C257)-1,3))</f>
        <v>07.45</v>
      </c>
      <c r="D257" s="23" t="str">
        <f t="shared" ca="1" si="16"/>
        <v>—</v>
      </c>
      <c r="E257" s="40">
        <f t="shared" ca="1" si="17"/>
        <v>7</v>
      </c>
      <c r="F257" s="23" t="str">
        <f t="shared" ca="1" si="18"/>
        <v>—</v>
      </c>
      <c r="G257" s="40">
        <f t="shared" ca="1" si="19"/>
        <v>7</v>
      </c>
    </row>
    <row r="258" spans="1:7" x14ac:dyDescent="0.25">
      <c r="A258" s="17">
        <f t="shared" ref="A258:A321" si="20">INDEX(Stations,2,1)</f>
        <v>81</v>
      </c>
      <c r="B258" t="str">
        <f ca="1">TEXT(DATE(YEAR(Invoer!$A$5),1,1)+INT((ROWS(B$2:B258)-1)/3),"jjjjmmdd")</f>
        <v>19430327</v>
      </c>
      <c r="C258" s="35" t="str">
        <f>INDEX(Data,2,2+MOD(ROWS(C$2:C258)-1,3))</f>
        <v>13.45</v>
      </c>
      <c r="D258" s="23" t="str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—</v>
      </c>
      <c r="E258" s="40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7</v>
      </c>
      <c r="F258" s="23" t="str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)</f>
        <v>—</v>
      </c>
      <c r="G258" s="40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7</v>
      </c>
    </row>
    <row r="259" spans="1:7" x14ac:dyDescent="0.25">
      <c r="A259" s="17">
        <f t="shared" si="20"/>
        <v>81</v>
      </c>
      <c r="B259" t="str">
        <f ca="1">TEXT(DATE(YEAR(Invoer!$A$5),1,1)+INT((ROWS(B$2:B259)-1)/3),"jjjjmmdd")</f>
        <v>19430327</v>
      </c>
      <c r="C259" s="35" t="str">
        <f>INDEX(Data,2,2+MOD(ROWS(C$2:C259)-1,3))</f>
        <v>19.45</v>
      </c>
      <c r="D259" s="23" t="str">
        <f t="shared" ca="1" si="21"/>
        <v>—</v>
      </c>
      <c r="E259" s="40">
        <f t="shared" ca="1" si="22"/>
        <v>7</v>
      </c>
      <c r="F259" s="23" t="str">
        <f t="shared" ca="1" si="23"/>
        <v>—</v>
      </c>
      <c r="G259" s="40">
        <f t="shared" ca="1" si="24"/>
        <v>7</v>
      </c>
    </row>
    <row r="260" spans="1:7" x14ac:dyDescent="0.25">
      <c r="A260" s="17">
        <f t="shared" si="20"/>
        <v>81</v>
      </c>
      <c r="B260" t="str">
        <f ca="1">TEXT(DATE(YEAR(Invoer!$A$5),1,1)+INT((ROWS(B$2:B260)-1)/3),"jjjjmmdd")</f>
        <v>19430328</v>
      </c>
      <c r="C260" s="35" t="str">
        <f>INDEX(Data,2,2+MOD(ROWS(C$2:C260)-1,3))</f>
        <v>07.45</v>
      </c>
      <c r="D260" s="23" t="str">
        <f t="shared" ca="1" si="21"/>
        <v>—</v>
      </c>
      <c r="E260" s="40">
        <f t="shared" ca="1" si="22"/>
        <v>7</v>
      </c>
      <c r="F260" s="23" t="str">
        <f t="shared" ca="1" si="23"/>
        <v>—</v>
      </c>
      <c r="G260" s="40">
        <f t="shared" ca="1" si="24"/>
        <v>7</v>
      </c>
    </row>
    <row r="261" spans="1:7" x14ac:dyDescent="0.25">
      <c r="A261" s="17">
        <f t="shared" si="20"/>
        <v>81</v>
      </c>
      <c r="B261" t="str">
        <f ca="1">TEXT(DATE(YEAR(Invoer!$A$5),1,1)+INT((ROWS(B$2:B261)-1)/3),"jjjjmmdd")</f>
        <v>19430328</v>
      </c>
      <c r="C261" s="35" t="str">
        <f>INDEX(Data,2,2+MOD(ROWS(C$2:C261)-1,3))</f>
        <v>13.45</v>
      </c>
      <c r="D261" s="23" t="str">
        <f t="shared" ca="1" si="21"/>
        <v>—</v>
      </c>
      <c r="E261" s="40">
        <f t="shared" ca="1" si="22"/>
        <v>7</v>
      </c>
      <c r="F261" s="23" t="str">
        <f t="shared" ca="1" si="23"/>
        <v>—</v>
      </c>
      <c r="G261" s="40">
        <f t="shared" ca="1" si="24"/>
        <v>7</v>
      </c>
    </row>
    <row r="262" spans="1:7" x14ac:dyDescent="0.25">
      <c r="A262" s="17">
        <f t="shared" si="20"/>
        <v>81</v>
      </c>
      <c r="B262" t="str">
        <f ca="1">TEXT(DATE(YEAR(Invoer!$A$5),1,1)+INT((ROWS(B$2:B262)-1)/3),"jjjjmmdd")</f>
        <v>19430328</v>
      </c>
      <c r="C262" s="35" t="str">
        <f>INDEX(Data,2,2+MOD(ROWS(C$2:C262)-1,3))</f>
        <v>19.45</v>
      </c>
      <c r="D262" s="23" t="str">
        <f t="shared" ca="1" si="21"/>
        <v>—</v>
      </c>
      <c r="E262" s="40">
        <f t="shared" ca="1" si="22"/>
        <v>7</v>
      </c>
      <c r="F262" s="23" t="str">
        <f t="shared" ca="1" si="23"/>
        <v>—</v>
      </c>
      <c r="G262" s="40">
        <f t="shared" ca="1" si="24"/>
        <v>7</v>
      </c>
    </row>
    <row r="263" spans="1:7" x14ac:dyDescent="0.25">
      <c r="A263" s="17">
        <f t="shared" si="20"/>
        <v>81</v>
      </c>
      <c r="B263" t="str">
        <f ca="1">TEXT(DATE(YEAR(Invoer!$A$5),1,1)+INT((ROWS(B$2:B263)-1)/3),"jjjjmmdd")</f>
        <v>19430329</v>
      </c>
      <c r="C263" s="35" t="str">
        <f>INDEX(Data,2,2+MOD(ROWS(C$2:C263)-1,3))</f>
        <v>07.45</v>
      </c>
      <c r="D263" s="23" t="str">
        <f t="shared" ca="1" si="21"/>
        <v>—</v>
      </c>
      <c r="E263" s="40">
        <f t="shared" ca="1" si="22"/>
        <v>7</v>
      </c>
      <c r="F263" s="23" t="str">
        <f t="shared" ca="1" si="23"/>
        <v>—</v>
      </c>
      <c r="G263" s="40">
        <f t="shared" ca="1" si="24"/>
        <v>7</v>
      </c>
    </row>
    <row r="264" spans="1:7" x14ac:dyDescent="0.25">
      <c r="A264" s="17">
        <f t="shared" si="20"/>
        <v>81</v>
      </c>
      <c r="B264" t="str">
        <f ca="1">TEXT(DATE(YEAR(Invoer!$A$5),1,1)+INT((ROWS(B$2:B264)-1)/3),"jjjjmmdd")</f>
        <v>19430329</v>
      </c>
      <c r="C264" s="35" t="str">
        <f>INDEX(Data,2,2+MOD(ROWS(C$2:C264)-1,3))</f>
        <v>13.45</v>
      </c>
      <c r="D264" s="23" t="str">
        <f t="shared" ca="1" si="21"/>
        <v>—</v>
      </c>
      <c r="E264" s="40">
        <f t="shared" ca="1" si="22"/>
        <v>7</v>
      </c>
      <c r="F264" s="23" t="str">
        <f t="shared" ca="1" si="23"/>
        <v>—</v>
      </c>
      <c r="G264" s="40">
        <f t="shared" ca="1" si="24"/>
        <v>7</v>
      </c>
    </row>
    <row r="265" spans="1:7" x14ac:dyDescent="0.25">
      <c r="A265" s="17">
        <f t="shared" si="20"/>
        <v>81</v>
      </c>
      <c r="B265" t="str">
        <f ca="1">TEXT(DATE(YEAR(Invoer!$A$5),1,1)+INT((ROWS(B$2:B265)-1)/3),"jjjjmmdd")</f>
        <v>19430329</v>
      </c>
      <c r="C265" s="35" t="str">
        <f>INDEX(Data,2,2+MOD(ROWS(C$2:C265)-1,3))</f>
        <v>19.45</v>
      </c>
      <c r="D265" s="23" t="str">
        <f t="shared" ca="1" si="21"/>
        <v>—</v>
      </c>
      <c r="E265" s="40">
        <f t="shared" ca="1" si="22"/>
        <v>7</v>
      </c>
      <c r="F265" s="23" t="str">
        <f t="shared" ca="1" si="23"/>
        <v>—</v>
      </c>
      <c r="G265" s="40">
        <f t="shared" ca="1" si="24"/>
        <v>7</v>
      </c>
    </row>
    <row r="266" spans="1:7" x14ac:dyDescent="0.25">
      <c r="A266" s="17">
        <f t="shared" si="20"/>
        <v>81</v>
      </c>
      <c r="B266" t="str">
        <f ca="1">TEXT(DATE(YEAR(Invoer!$A$5),1,1)+INT((ROWS(B$2:B266)-1)/3),"jjjjmmdd")</f>
        <v>19430330</v>
      </c>
      <c r="C266" s="35" t="str">
        <f>INDEX(Data,2,2+MOD(ROWS(C$2:C266)-1,3))</f>
        <v>07.45</v>
      </c>
      <c r="D266" s="23" t="str">
        <f t="shared" ca="1" si="21"/>
        <v>—</v>
      </c>
      <c r="E266" s="40">
        <f t="shared" ca="1" si="22"/>
        <v>7</v>
      </c>
      <c r="F266" s="23" t="str">
        <f t="shared" ca="1" si="23"/>
        <v>—</v>
      </c>
      <c r="G266" s="40">
        <f t="shared" ca="1" si="24"/>
        <v>7</v>
      </c>
    </row>
    <row r="267" spans="1:7" x14ac:dyDescent="0.25">
      <c r="A267" s="17">
        <f t="shared" si="20"/>
        <v>81</v>
      </c>
      <c r="B267" t="str">
        <f ca="1">TEXT(DATE(YEAR(Invoer!$A$5),1,1)+INT((ROWS(B$2:B267)-1)/3),"jjjjmmdd")</f>
        <v>19430330</v>
      </c>
      <c r="C267" s="35" t="str">
        <f>INDEX(Data,2,2+MOD(ROWS(C$2:C267)-1,3))</f>
        <v>13.45</v>
      </c>
      <c r="D267" s="23" t="str">
        <f t="shared" ca="1" si="21"/>
        <v>—</v>
      </c>
      <c r="E267" s="40">
        <f t="shared" ca="1" si="22"/>
        <v>7</v>
      </c>
      <c r="F267" s="23" t="str">
        <f t="shared" ca="1" si="23"/>
        <v>—</v>
      </c>
      <c r="G267" s="40">
        <f t="shared" ca="1" si="24"/>
        <v>7</v>
      </c>
    </row>
    <row r="268" spans="1:7" x14ac:dyDescent="0.25">
      <c r="A268" s="17">
        <f t="shared" si="20"/>
        <v>81</v>
      </c>
      <c r="B268" t="str">
        <f ca="1">TEXT(DATE(YEAR(Invoer!$A$5),1,1)+INT((ROWS(B$2:B268)-1)/3),"jjjjmmdd")</f>
        <v>19430330</v>
      </c>
      <c r="C268" s="35" t="str">
        <f>INDEX(Data,2,2+MOD(ROWS(C$2:C268)-1,3))</f>
        <v>19.45</v>
      </c>
      <c r="D268" s="23" t="str">
        <f t="shared" ca="1" si="21"/>
        <v>—</v>
      </c>
      <c r="E268" s="40">
        <f t="shared" ca="1" si="22"/>
        <v>7</v>
      </c>
      <c r="F268" s="23" t="str">
        <f t="shared" ca="1" si="23"/>
        <v>—</v>
      </c>
      <c r="G268" s="40">
        <f t="shared" ca="1" si="24"/>
        <v>7</v>
      </c>
    </row>
    <row r="269" spans="1:7" x14ac:dyDescent="0.25">
      <c r="A269" s="17">
        <f t="shared" si="20"/>
        <v>81</v>
      </c>
      <c r="B269" t="str">
        <f ca="1">TEXT(DATE(YEAR(Invoer!$A$5),1,1)+INT((ROWS(B$2:B269)-1)/3),"jjjjmmdd")</f>
        <v>19430331</v>
      </c>
      <c r="C269" s="35" t="str">
        <f>INDEX(Data,2,2+MOD(ROWS(C$2:C269)-1,3))</f>
        <v>07.45</v>
      </c>
      <c r="D269" s="23" t="str">
        <f t="shared" ca="1" si="21"/>
        <v>—</v>
      </c>
      <c r="E269" s="40">
        <f t="shared" ca="1" si="22"/>
        <v>7</v>
      </c>
      <c r="F269" s="23" t="str">
        <f t="shared" ca="1" si="23"/>
        <v>—</v>
      </c>
      <c r="G269" s="40">
        <f t="shared" ca="1" si="24"/>
        <v>7</v>
      </c>
    </row>
    <row r="270" spans="1:7" x14ac:dyDescent="0.25">
      <c r="A270" s="17">
        <f t="shared" si="20"/>
        <v>81</v>
      </c>
      <c r="B270" t="str">
        <f ca="1">TEXT(DATE(YEAR(Invoer!$A$5),1,1)+INT((ROWS(B$2:B270)-1)/3),"jjjjmmdd")</f>
        <v>19430331</v>
      </c>
      <c r="C270" s="35" t="str">
        <f>INDEX(Data,2,2+MOD(ROWS(C$2:C270)-1,3))</f>
        <v>13.45</v>
      </c>
      <c r="D270" s="23" t="str">
        <f t="shared" ca="1" si="21"/>
        <v>—</v>
      </c>
      <c r="E270" s="40">
        <f t="shared" ca="1" si="22"/>
        <v>7</v>
      </c>
      <c r="F270" s="23" t="str">
        <f t="shared" ca="1" si="23"/>
        <v>—</v>
      </c>
      <c r="G270" s="40">
        <f t="shared" ca="1" si="24"/>
        <v>7</v>
      </c>
    </row>
    <row r="271" spans="1:7" x14ac:dyDescent="0.25">
      <c r="A271" s="17">
        <f t="shared" si="20"/>
        <v>81</v>
      </c>
      <c r="B271" t="str">
        <f ca="1">TEXT(DATE(YEAR(Invoer!$A$5),1,1)+INT((ROWS(B$2:B271)-1)/3),"jjjjmmdd")</f>
        <v>19430331</v>
      </c>
      <c r="C271" s="35" t="str">
        <f>INDEX(Data,2,2+MOD(ROWS(C$2:C271)-1,3))</f>
        <v>19.45</v>
      </c>
      <c r="D271" s="23" t="str">
        <f t="shared" ca="1" si="21"/>
        <v>—</v>
      </c>
      <c r="E271" s="40">
        <f t="shared" ca="1" si="22"/>
        <v>7</v>
      </c>
      <c r="F271" s="23" t="str">
        <f t="shared" ca="1" si="23"/>
        <v>—</v>
      </c>
      <c r="G271" s="40">
        <f t="shared" ca="1" si="24"/>
        <v>7</v>
      </c>
    </row>
    <row r="272" spans="1:7" x14ac:dyDescent="0.25">
      <c r="A272" s="17">
        <f t="shared" si="20"/>
        <v>81</v>
      </c>
      <c r="B272" t="str">
        <f ca="1">TEXT(DATE(YEAR(Invoer!$A$5),1,1)+INT((ROWS(B$2:B272)-1)/3),"jjjjmmdd")</f>
        <v>19430401</v>
      </c>
      <c r="C272" s="35" t="str">
        <f>INDEX(Data,2,2+MOD(ROWS(C$2:C272)-1,3))</f>
        <v>07.45</v>
      </c>
      <c r="D272" s="23">
        <f t="shared" ca="1" si="21"/>
        <v>751</v>
      </c>
      <c r="E272" s="40">
        <f t="shared" ca="1" si="22"/>
        <v>0</v>
      </c>
      <c r="F272" s="23">
        <f t="shared" ca="1" si="23"/>
        <v>25</v>
      </c>
      <c r="G272" s="40">
        <f t="shared" ca="1" si="24"/>
        <v>0</v>
      </c>
    </row>
    <row r="273" spans="1:7" x14ac:dyDescent="0.25">
      <c r="A273" s="17">
        <f t="shared" si="20"/>
        <v>81</v>
      </c>
      <c r="B273" t="str">
        <f ca="1">TEXT(DATE(YEAR(Invoer!$A$5),1,1)+INT((ROWS(B$2:B273)-1)/3),"jjjjmmdd")</f>
        <v>19430401</v>
      </c>
      <c r="C273" s="35" t="str">
        <f>INDEX(Data,2,2+MOD(ROWS(C$2:C273)-1,3))</f>
        <v>13.45</v>
      </c>
      <c r="D273" s="23">
        <f t="shared" ca="1" si="21"/>
        <v>751</v>
      </c>
      <c r="E273" s="40">
        <f t="shared" ca="1" si="22"/>
        <v>0</v>
      </c>
      <c r="F273" s="23">
        <f t="shared" ca="1" si="23"/>
        <v>25</v>
      </c>
      <c r="G273" s="40">
        <f t="shared" ca="1" si="24"/>
        <v>0</v>
      </c>
    </row>
    <row r="274" spans="1:7" x14ac:dyDescent="0.25">
      <c r="A274" s="17">
        <f t="shared" si="20"/>
        <v>81</v>
      </c>
      <c r="B274" t="str">
        <f ca="1">TEXT(DATE(YEAR(Invoer!$A$5),1,1)+INT((ROWS(B$2:B274)-1)/3),"jjjjmmdd")</f>
        <v>19430401</v>
      </c>
      <c r="C274" s="35" t="str">
        <f>INDEX(Data,2,2+MOD(ROWS(C$2:C274)-1,3))</f>
        <v>19.45</v>
      </c>
      <c r="D274" s="23">
        <f t="shared" ca="1" si="21"/>
        <v>751</v>
      </c>
      <c r="E274" s="40">
        <f t="shared" ca="1" si="22"/>
        <v>0</v>
      </c>
      <c r="F274" s="23">
        <f t="shared" ca="1" si="23"/>
        <v>25</v>
      </c>
      <c r="G274" s="40">
        <f t="shared" ca="1" si="24"/>
        <v>0</v>
      </c>
    </row>
    <row r="275" spans="1:7" x14ac:dyDescent="0.25">
      <c r="A275" s="17">
        <f t="shared" si="20"/>
        <v>81</v>
      </c>
      <c r="B275" t="str">
        <f ca="1">TEXT(DATE(YEAR(Invoer!$A$5),1,1)+INT((ROWS(B$2:B275)-1)/3),"jjjjmmdd")</f>
        <v>19430402</v>
      </c>
      <c r="C275" s="35" t="str">
        <f>INDEX(Data,2,2+MOD(ROWS(C$2:C275)-1,3))</f>
        <v>07.45</v>
      </c>
      <c r="D275" s="23">
        <f t="shared" ca="1" si="21"/>
        <v>750</v>
      </c>
      <c r="E275" s="40">
        <f t="shared" ca="1" si="22"/>
        <v>0</v>
      </c>
      <c r="F275" s="23">
        <f t="shared" ca="1" si="23"/>
        <v>25</v>
      </c>
      <c r="G275" s="40">
        <f t="shared" ca="1" si="24"/>
        <v>0</v>
      </c>
    </row>
    <row r="276" spans="1:7" x14ac:dyDescent="0.25">
      <c r="A276" s="17">
        <f t="shared" si="20"/>
        <v>81</v>
      </c>
      <c r="B276" t="str">
        <f ca="1">TEXT(DATE(YEAR(Invoer!$A$5),1,1)+INT((ROWS(B$2:B276)-1)/3),"jjjjmmdd")</f>
        <v>19430402</v>
      </c>
      <c r="C276" s="35" t="str">
        <f>INDEX(Data,2,2+MOD(ROWS(C$2:C276)-1,3))</f>
        <v>13.45</v>
      </c>
      <c r="D276" s="23">
        <f t="shared" ca="1" si="21"/>
        <v>751</v>
      </c>
      <c r="E276" s="40">
        <f t="shared" ca="1" si="22"/>
        <v>0</v>
      </c>
      <c r="F276" s="23">
        <f t="shared" ca="1" si="23"/>
        <v>25</v>
      </c>
      <c r="G276" s="40">
        <f t="shared" ca="1" si="24"/>
        <v>0</v>
      </c>
    </row>
    <row r="277" spans="1:7" x14ac:dyDescent="0.25">
      <c r="A277" s="17">
        <f t="shared" si="20"/>
        <v>81</v>
      </c>
      <c r="B277" t="str">
        <f ca="1">TEXT(DATE(YEAR(Invoer!$A$5),1,1)+INT((ROWS(B$2:B277)-1)/3),"jjjjmmdd")</f>
        <v>19430402</v>
      </c>
      <c r="C277" s="35" t="str">
        <f>INDEX(Data,2,2+MOD(ROWS(C$2:C277)-1,3))</f>
        <v>19.45</v>
      </c>
      <c r="D277" s="23">
        <f t="shared" ca="1" si="21"/>
        <v>751</v>
      </c>
      <c r="E277" s="40">
        <f t="shared" ca="1" si="22"/>
        <v>0</v>
      </c>
      <c r="F277" s="23">
        <f t="shared" ca="1" si="23"/>
        <v>25</v>
      </c>
      <c r="G277" s="40">
        <f t="shared" ca="1" si="24"/>
        <v>0</v>
      </c>
    </row>
    <row r="278" spans="1:7" x14ac:dyDescent="0.25">
      <c r="A278" s="17">
        <f t="shared" si="20"/>
        <v>81</v>
      </c>
      <c r="B278" t="str">
        <f ca="1">TEXT(DATE(YEAR(Invoer!$A$5),1,1)+INT((ROWS(B$2:B278)-1)/3),"jjjjmmdd")</f>
        <v>19430403</v>
      </c>
      <c r="C278" s="35" t="str">
        <f>INDEX(Data,2,2+MOD(ROWS(C$2:C278)-1,3))</f>
        <v>07.45</v>
      </c>
      <c r="D278" s="23">
        <f t="shared" ca="1" si="21"/>
        <v>751</v>
      </c>
      <c r="E278" s="40">
        <f t="shared" ca="1" si="22"/>
        <v>0</v>
      </c>
      <c r="F278" s="23">
        <f t="shared" ca="1" si="23"/>
        <v>25</v>
      </c>
      <c r="G278" s="40">
        <f t="shared" ca="1" si="24"/>
        <v>0</v>
      </c>
    </row>
    <row r="279" spans="1:7" x14ac:dyDescent="0.25">
      <c r="A279" s="17">
        <f t="shared" si="20"/>
        <v>81</v>
      </c>
      <c r="B279" t="str">
        <f ca="1">TEXT(DATE(YEAR(Invoer!$A$5),1,1)+INT((ROWS(B$2:B279)-1)/3),"jjjjmmdd")</f>
        <v>19430403</v>
      </c>
      <c r="C279" s="35" t="str">
        <f>INDEX(Data,2,2+MOD(ROWS(C$2:C279)-1,3))</f>
        <v>13.45</v>
      </c>
      <c r="D279" s="23">
        <f t="shared" ca="1" si="21"/>
        <v>752</v>
      </c>
      <c r="E279" s="40">
        <f t="shared" ca="1" si="22"/>
        <v>0</v>
      </c>
      <c r="F279" s="23">
        <f t="shared" ca="1" si="23"/>
        <v>25</v>
      </c>
      <c r="G279" s="40">
        <f t="shared" ca="1" si="24"/>
        <v>0</v>
      </c>
    </row>
    <row r="280" spans="1:7" x14ac:dyDescent="0.25">
      <c r="A280" s="17">
        <f t="shared" si="20"/>
        <v>81</v>
      </c>
      <c r="B280" t="str">
        <f ca="1">TEXT(DATE(YEAR(Invoer!$A$5),1,1)+INT((ROWS(B$2:B280)-1)/3),"jjjjmmdd")</f>
        <v>19430403</v>
      </c>
      <c r="C280" s="35" t="str">
        <f>INDEX(Data,2,2+MOD(ROWS(C$2:C280)-1,3))</f>
        <v>19.45</v>
      </c>
      <c r="D280" s="23">
        <f t="shared" ca="1" si="21"/>
        <v>751</v>
      </c>
      <c r="E280" s="40">
        <f t="shared" ca="1" si="22"/>
        <v>0</v>
      </c>
      <c r="F280" s="23">
        <f t="shared" ca="1" si="23"/>
        <v>25</v>
      </c>
      <c r="G280" s="40">
        <f t="shared" ca="1" si="24"/>
        <v>0</v>
      </c>
    </row>
    <row r="281" spans="1:7" x14ac:dyDescent="0.25">
      <c r="A281" s="17">
        <f t="shared" si="20"/>
        <v>81</v>
      </c>
      <c r="B281" t="str">
        <f ca="1">TEXT(DATE(YEAR(Invoer!$A$5),1,1)+INT((ROWS(B$2:B281)-1)/3),"jjjjmmdd")</f>
        <v>19430404</v>
      </c>
      <c r="C281" s="35" t="str">
        <f>INDEX(Data,2,2+MOD(ROWS(C$2:C281)-1,3))</f>
        <v>07.45</v>
      </c>
      <c r="D281" s="23">
        <f t="shared" ca="1" si="21"/>
        <v>750</v>
      </c>
      <c r="E281" s="40">
        <f t="shared" ca="1" si="22"/>
        <v>0</v>
      </c>
      <c r="F281" s="23">
        <f t="shared" ca="1" si="23"/>
        <v>26</v>
      </c>
      <c r="G281" s="40">
        <f t="shared" ca="1" si="24"/>
        <v>0</v>
      </c>
    </row>
    <row r="282" spans="1:7" x14ac:dyDescent="0.25">
      <c r="A282" s="17">
        <f t="shared" si="20"/>
        <v>81</v>
      </c>
      <c r="B282" t="str">
        <f ca="1">TEXT(DATE(YEAR(Invoer!$A$5),1,1)+INT((ROWS(B$2:B282)-1)/3),"jjjjmmdd")</f>
        <v>19430404</v>
      </c>
      <c r="C282" s="35" t="str">
        <f>INDEX(Data,2,2+MOD(ROWS(C$2:C282)-1,3))</f>
        <v>13.45</v>
      </c>
      <c r="D282" s="23">
        <f t="shared" ca="1" si="21"/>
        <v>751</v>
      </c>
      <c r="E282" s="40">
        <f t="shared" ca="1" si="22"/>
        <v>0</v>
      </c>
      <c r="F282" s="23">
        <f t="shared" ca="1" si="23"/>
        <v>26</v>
      </c>
      <c r="G282" s="40">
        <f t="shared" ca="1" si="24"/>
        <v>0</v>
      </c>
    </row>
    <row r="283" spans="1:7" x14ac:dyDescent="0.25">
      <c r="A283" s="17">
        <f t="shared" si="20"/>
        <v>81</v>
      </c>
      <c r="B283" t="str">
        <f ca="1">TEXT(DATE(YEAR(Invoer!$A$5),1,1)+INT((ROWS(B$2:B283)-1)/3),"jjjjmmdd")</f>
        <v>19430404</v>
      </c>
      <c r="C283" s="35" t="str">
        <f>INDEX(Data,2,2+MOD(ROWS(C$2:C283)-1,3))</f>
        <v>19.45</v>
      </c>
      <c r="D283" s="23">
        <f t="shared" ca="1" si="21"/>
        <v>751</v>
      </c>
      <c r="E283" s="40">
        <f t="shared" ca="1" si="22"/>
        <v>0</v>
      </c>
      <c r="F283" s="23">
        <f t="shared" ca="1" si="23"/>
        <v>26</v>
      </c>
      <c r="G283" s="40">
        <f t="shared" ca="1" si="24"/>
        <v>0</v>
      </c>
    </row>
    <row r="284" spans="1:7" x14ac:dyDescent="0.25">
      <c r="A284" s="17">
        <f t="shared" si="20"/>
        <v>81</v>
      </c>
      <c r="B284" t="str">
        <f ca="1">TEXT(DATE(YEAR(Invoer!$A$5),1,1)+INT((ROWS(B$2:B284)-1)/3),"jjjjmmdd")</f>
        <v>19430405</v>
      </c>
      <c r="C284" s="35" t="str">
        <f>INDEX(Data,2,2+MOD(ROWS(C$2:C284)-1,3))</f>
        <v>07.45</v>
      </c>
      <c r="D284" s="23">
        <f t="shared" ca="1" si="21"/>
        <v>751</v>
      </c>
      <c r="E284" s="40">
        <f t="shared" ca="1" si="22"/>
        <v>0</v>
      </c>
      <c r="F284" s="23">
        <f t="shared" ca="1" si="23"/>
        <v>26</v>
      </c>
      <c r="G284" s="40">
        <f t="shared" ca="1" si="24"/>
        <v>0</v>
      </c>
    </row>
    <row r="285" spans="1:7" x14ac:dyDescent="0.25">
      <c r="A285" s="17">
        <f t="shared" si="20"/>
        <v>81</v>
      </c>
      <c r="B285" t="str">
        <f ca="1">TEXT(DATE(YEAR(Invoer!$A$5),1,1)+INT((ROWS(B$2:B285)-1)/3),"jjjjmmdd")</f>
        <v>19430405</v>
      </c>
      <c r="C285" s="35" t="str">
        <f>INDEX(Data,2,2+MOD(ROWS(C$2:C285)-1,3))</f>
        <v>13.45</v>
      </c>
      <c r="D285" s="23">
        <f t="shared" ca="1" si="21"/>
        <v>751</v>
      </c>
      <c r="E285" s="40">
        <f t="shared" ca="1" si="22"/>
        <v>0</v>
      </c>
      <c r="F285" s="23">
        <f t="shared" ca="1" si="23"/>
        <v>26</v>
      </c>
      <c r="G285" s="40">
        <f t="shared" ca="1" si="24"/>
        <v>0</v>
      </c>
    </row>
    <row r="286" spans="1:7" x14ac:dyDescent="0.25">
      <c r="A286" s="17">
        <f t="shared" si="20"/>
        <v>81</v>
      </c>
      <c r="B286" t="str">
        <f ca="1">TEXT(DATE(YEAR(Invoer!$A$5),1,1)+INT((ROWS(B$2:B286)-1)/3),"jjjjmmdd")</f>
        <v>19430405</v>
      </c>
      <c r="C286" s="35" t="str">
        <f>INDEX(Data,2,2+MOD(ROWS(C$2:C286)-1,3))</f>
        <v>19.45</v>
      </c>
      <c r="D286" s="23">
        <f t="shared" ca="1" si="21"/>
        <v>751</v>
      </c>
      <c r="E286" s="40">
        <f t="shared" ca="1" si="22"/>
        <v>0</v>
      </c>
      <c r="F286" s="23">
        <f t="shared" ca="1" si="23"/>
        <v>26</v>
      </c>
      <c r="G286" s="40">
        <f t="shared" ca="1" si="24"/>
        <v>0</v>
      </c>
    </row>
    <row r="287" spans="1:7" x14ac:dyDescent="0.25">
      <c r="A287" s="17">
        <f t="shared" si="20"/>
        <v>81</v>
      </c>
      <c r="B287" t="str">
        <f ca="1">TEXT(DATE(YEAR(Invoer!$A$5),1,1)+INT((ROWS(B$2:B287)-1)/3),"jjjjmmdd")</f>
        <v>19430406</v>
      </c>
      <c r="C287" s="35" t="str">
        <f>INDEX(Data,2,2+MOD(ROWS(C$2:C287)-1,3))</f>
        <v>07.45</v>
      </c>
      <c r="D287" s="23">
        <f t="shared" ca="1" si="21"/>
        <v>751</v>
      </c>
      <c r="E287" s="40">
        <f t="shared" ca="1" si="22"/>
        <v>0</v>
      </c>
      <c r="F287" s="23">
        <f t="shared" ca="1" si="23"/>
        <v>26</v>
      </c>
      <c r="G287" s="40">
        <f t="shared" ca="1" si="24"/>
        <v>0</v>
      </c>
    </row>
    <row r="288" spans="1:7" x14ac:dyDescent="0.25">
      <c r="A288" s="17">
        <f t="shared" si="20"/>
        <v>81</v>
      </c>
      <c r="B288" t="str">
        <f ca="1">TEXT(DATE(YEAR(Invoer!$A$5),1,1)+INT((ROWS(B$2:B288)-1)/3),"jjjjmmdd")</f>
        <v>19430406</v>
      </c>
      <c r="C288" s="35" t="str">
        <f>INDEX(Data,2,2+MOD(ROWS(C$2:C288)-1,3))</f>
        <v>13.45</v>
      </c>
      <c r="D288" s="23">
        <f t="shared" ca="1" si="21"/>
        <v>750</v>
      </c>
      <c r="E288" s="40">
        <f t="shared" ca="1" si="22"/>
        <v>0</v>
      </c>
      <c r="F288" s="23">
        <f t="shared" ca="1" si="23"/>
        <v>26</v>
      </c>
      <c r="G288" s="40">
        <f t="shared" ca="1" si="24"/>
        <v>0</v>
      </c>
    </row>
    <row r="289" spans="1:7" x14ac:dyDescent="0.25">
      <c r="A289" s="17">
        <f t="shared" si="20"/>
        <v>81</v>
      </c>
      <c r="B289" t="str">
        <f ca="1">TEXT(DATE(YEAR(Invoer!$A$5),1,1)+INT((ROWS(B$2:B289)-1)/3),"jjjjmmdd")</f>
        <v>19430406</v>
      </c>
      <c r="C289" s="35" t="str">
        <f>INDEX(Data,2,2+MOD(ROWS(C$2:C289)-1,3))</f>
        <v>19.45</v>
      </c>
      <c r="D289" s="23">
        <f t="shared" ca="1" si="21"/>
        <v>750</v>
      </c>
      <c r="E289" s="40">
        <f t="shared" ca="1" si="22"/>
        <v>0</v>
      </c>
      <c r="F289" s="23">
        <f t="shared" ca="1" si="23"/>
        <v>26</v>
      </c>
      <c r="G289" s="40">
        <f t="shared" ca="1" si="24"/>
        <v>0</v>
      </c>
    </row>
    <row r="290" spans="1:7" x14ac:dyDescent="0.25">
      <c r="A290" s="17">
        <f t="shared" si="20"/>
        <v>81</v>
      </c>
      <c r="B290" t="str">
        <f ca="1">TEXT(DATE(YEAR(Invoer!$A$5),1,1)+INT((ROWS(B$2:B290)-1)/3),"jjjjmmdd")</f>
        <v>19430407</v>
      </c>
      <c r="C290" s="35" t="str">
        <f>INDEX(Data,2,2+MOD(ROWS(C$2:C290)-1,3))</f>
        <v>07.45</v>
      </c>
      <c r="D290" s="23">
        <f t="shared" ca="1" si="21"/>
        <v>749</v>
      </c>
      <c r="E290" s="40">
        <f t="shared" ca="1" si="22"/>
        <v>0</v>
      </c>
      <c r="F290" s="23">
        <f t="shared" ca="1" si="23"/>
        <v>25</v>
      </c>
      <c r="G290" s="40">
        <f t="shared" ca="1" si="24"/>
        <v>0</v>
      </c>
    </row>
    <row r="291" spans="1:7" x14ac:dyDescent="0.25">
      <c r="A291" s="17">
        <f t="shared" si="20"/>
        <v>81</v>
      </c>
      <c r="B291" t="str">
        <f ca="1">TEXT(DATE(YEAR(Invoer!$A$5),1,1)+INT((ROWS(B$2:B291)-1)/3),"jjjjmmdd")</f>
        <v>19430407</v>
      </c>
      <c r="C291" s="35" t="str">
        <f>INDEX(Data,2,2+MOD(ROWS(C$2:C291)-1,3))</f>
        <v>13.45</v>
      </c>
      <c r="D291" s="23">
        <f t="shared" ca="1" si="21"/>
        <v>750</v>
      </c>
      <c r="E291" s="40">
        <f t="shared" ca="1" si="22"/>
        <v>0</v>
      </c>
      <c r="F291" s="23">
        <f t="shared" ca="1" si="23"/>
        <v>26</v>
      </c>
      <c r="G291" s="40">
        <f t="shared" ca="1" si="24"/>
        <v>0</v>
      </c>
    </row>
    <row r="292" spans="1:7" x14ac:dyDescent="0.25">
      <c r="A292" s="17">
        <f t="shared" si="20"/>
        <v>81</v>
      </c>
      <c r="B292" t="str">
        <f ca="1">TEXT(DATE(YEAR(Invoer!$A$5),1,1)+INT((ROWS(B$2:B292)-1)/3),"jjjjmmdd")</f>
        <v>19430407</v>
      </c>
      <c r="C292" s="35" t="str">
        <f>INDEX(Data,2,2+MOD(ROWS(C$2:C292)-1,3))</f>
        <v>19.45</v>
      </c>
      <c r="D292" s="23">
        <f t="shared" ca="1" si="21"/>
        <v>749</v>
      </c>
      <c r="E292" s="40">
        <f t="shared" ca="1" si="22"/>
        <v>0</v>
      </c>
      <c r="F292" s="23">
        <f t="shared" ca="1" si="23"/>
        <v>26</v>
      </c>
      <c r="G292" s="40">
        <f t="shared" ca="1" si="24"/>
        <v>0</v>
      </c>
    </row>
    <row r="293" spans="1:7" x14ac:dyDescent="0.25">
      <c r="A293" s="17">
        <f t="shared" si="20"/>
        <v>81</v>
      </c>
      <c r="B293" t="str">
        <f ca="1">TEXT(DATE(YEAR(Invoer!$A$5),1,1)+INT((ROWS(B$2:B293)-1)/3),"jjjjmmdd")</f>
        <v>19430408</v>
      </c>
      <c r="C293" s="35" t="str">
        <f>INDEX(Data,2,2+MOD(ROWS(C$2:C293)-1,3))</f>
        <v>07.45</v>
      </c>
      <c r="D293" s="23">
        <f t="shared" ca="1" si="21"/>
        <v>750</v>
      </c>
      <c r="E293" s="40">
        <f t="shared" ca="1" si="22"/>
        <v>0</v>
      </c>
      <c r="F293" s="23">
        <f t="shared" ca="1" si="23"/>
        <v>25</v>
      </c>
      <c r="G293" s="40">
        <f t="shared" ca="1" si="24"/>
        <v>0</v>
      </c>
    </row>
    <row r="294" spans="1:7" x14ac:dyDescent="0.25">
      <c r="A294" s="17">
        <f t="shared" si="20"/>
        <v>81</v>
      </c>
      <c r="B294" t="str">
        <f ca="1">TEXT(DATE(YEAR(Invoer!$A$5),1,1)+INT((ROWS(B$2:B294)-1)/3),"jjjjmmdd")</f>
        <v>19430408</v>
      </c>
      <c r="C294" s="35" t="str">
        <f>INDEX(Data,2,2+MOD(ROWS(C$2:C294)-1,3))</f>
        <v>13.45</v>
      </c>
      <c r="D294" s="23">
        <f t="shared" ca="1" si="21"/>
        <v>750</v>
      </c>
      <c r="E294" s="40">
        <f t="shared" ca="1" si="22"/>
        <v>0</v>
      </c>
      <c r="F294" s="23">
        <f t="shared" ca="1" si="23"/>
        <v>25</v>
      </c>
      <c r="G294" s="40">
        <f t="shared" ca="1" si="24"/>
        <v>0</v>
      </c>
    </row>
    <row r="295" spans="1:7" x14ac:dyDescent="0.25">
      <c r="A295" s="17">
        <f t="shared" si="20"/>
        <v>81</v>
      </c>
      <c r="B295" t="str">
        <f ca="1">TEXT(DATE(YEAR(Invoer!$A$5),1,1)+INT((ROWS(B$2:B295)-1)/3),"jjjjmmdd")</f>
        <v>19430408</v>
      </c>
      <c r="C295" s="35" t="str">
        <f>INDEX(Data,2,2+MOD(ROWS(C$2:C295)-1,3))</f>
        <v>19.45</v>
      </c>
      <c r="D295" s="23">
        <f t="shared" ca="1" si="21"/>
        <v>750</v>
      </c>
      <c r="E295" s="40">
        <f t="shared" ca="1" si="22"/>
        <v>0</v>
      </c>
      <c r="F295" s="23">
        <f t="shared" ca="1" si="23"/>
        <v>25</v>
      </c>
      <c r="G295" s="40">
        <f t="shared" ca="1" si="24"/>
        <v>0</v>
      </c>
    </row>
    <row r="296" spans="1:7" x14ac:dyDescent="0.25">
      <c r="A296" s="17">
        <f t="shared" si="20"/>
        <v>81</v>
      </c>
      <c r="B296" t="str">
        <f ca="1">TEXT(DATE(YEAR(Invoer!$A$5),1,1)+INT((ROWS(B$2:B296)-1)/3),"jjjjmmdd")</f>
        <v>19430409</v>
      </c>
      <c r="C296" s="35" t="str">
        <f>INDEX(Data,2,2+MOD(ROWS(C$2:C296)-1,3))</f>
        <v>07.45</v>
      </c>
      <c r="D296" s="23">
        <f t="shared" ca="1" si="21"/>
        <v>751</v>
      </c>
      <c r="E296" s="40">
        <f t="shared" ca="1" si="22"/>
        <v>0</v>
      </c>
      <c r="F296" s="23">
        <f t="shared" ca="1" si="23"/>
        <v>26</v>
      </c>
      <c r="G296" s="40">
        <f t="shared" ca="1" si="24"/>
        <v>0</v>
      </c>
    </row>
    <row r="297" spans="1:7" x14ac:dyDescent="0.25">
      <c r="A297" s="17">
        <f t="shared" si="20"/>
        <v>81</v>
      </c>
      <c r="B297" t="str">
        <f ca="1">TEXT(DATE(YEAR(Invoer!$A$5),1,1)+INT((ROWS(B$2:B297)-1)/3),"jjjjmmdd")</f>
        <v>19430409</v>
      </c>
      <c r="C297" s="35" t="str">
        <f>INDEX(Data,2,2+MOD(ROWS(C$2:C297)-1,3))</f>
        <v>13.45</v>
      </c>
      <c r="D297" s="23">
        <f t="shared" ca="1" si="21"/>
        <v>750</v>
      </c>
      <c r="E297" s="40">
        <f t="shared" ca="1" si="22"/>
        <v>0</v>
      </c>
      <c r="F297" s="23">
        <f t="shared" ca="1" si="23"/>
        <v>26</v>
      </c>
      <c r="G297" s="40">
        <f t="shared" ca="1" si="24"/>
        <v>0</v>
      </c>
    </row>
    <row r="298" spans="1:7" x14ac:dyDescent="0.25">
      <c r="A298" s="17">
        <f t="shared" si="20"/>
        <v>81</v>
      </c>
      <c r="B298" t="str">
        <f ca="1">TEXT(DATE(YEAR(Invoer!$A$5),1,1)+INT((ROWS(B$2:B298)-1)/3),"jjjjmmdd")</f>
        <v>19430409</v>
      </c>
      <c r="C298" s="35" t="str">
        <f>INDEX(Data,2,2+MOD(ROWS(C$2:C298)-1,3))</f>
        <v>19.45</v>
      </c>
      <c r="D298" s="23">
        <f t="shared" ca="1" si="21"/>
        <v>750</v>
      </c>
      <c r="E298" s="40">
        <f t="shared" ca="1" si="22"/>
        <v>0</v>
      </c>
      <c r="F298" s="23">
        <f t="shared" ca="1" si="23"/>
        <v>26</v>
      </c>
      <c r="G298" s="40">
        <f t="shared" ca="1" si="24"/>
        <v>0</v>
      </c>
    </row>
    <row r="299" spans="1:7" x14ac:dyDescent="0.25">
      <c r="A299" s="17">
        <f t="shared" si="20"/>
        <v>81</v>
      </c>
      <c r="B299" t="str">
        <f ca="1">TEXT(DATE(YEAR(Invoer!$A$5),1,1)+INT((ROWS(B$2:B299)-1)/3),"jjjjmmdd")</f>
        <v>19430410</v>
      </c>
      <c r="C299" s="35" t="str">
        <f>INDEX(Data,2,2+MOD(ROWS(C$2:C299)-1,3))</f>
        <v>07.45</v>
      </c>
      <c r="D299" s="23">
        <f t="shared" ca="1" si="21"/>
        <v>750</v>
      </c>
      <c r="E299" s="40">
        <f t="shared" ca="1" si="22"/>
        <v>0</v>
      </c>
      <c r="F299" s="23">
        <f t="shared" ca="1" si="23"/>
        <v>26</v>
      </c>
      <c r="G299" s="40">
        <f t="shared" ca="1" si="24"/>
        <v>0</v>
      </c>
    </row>
    <row r="300" spans="1:7" x14ac:dyDescent="0.25">
      <c r="A300" s="17">
        <f t="shared" si="20"/>
        <v>81</v>
      </c>
      <c r="B300" t="str">
        <f ca="1">TEXT(DATE(YEAR(Invoer!$A$5),1,1)+INT((ROWS(B$2:B300)-1)/3),"jjjjmmdd")</f>
        <v>19430410</v>
      </c>
      <c r="C300" s="35" t="str">
        <f>INDEX(Data,2,2+MOD(ROWS(C$2:C300)-1,3))</f>
        <v>13.45</v>
      </c>
      <c r="D300" s="23">
        <f t="shared" ca="1" si="21"/>
        <v>749</v>
      </c>
      <c r="E300" s="40">
        <f t="shared" ca="1" si="22"/>
        <v>0</v>
      </c>
      <c r="F300" s="23">
        <f t="shared" ca="1" si="23"/>
        <v>26</v>
      </c>
      <c r="G300" s="40">
        <f t="shared" ca="1" si="24"/>
        <v>0</v>
      </c>
    </row>
    <row r="301" spans="1:7" x14ac:dyDescent="0.25">
      <c r="A301" s="17">
        <f t="shared" si="20"/>
        <v>81</v>
      </c>
      <c r="B301" t="str">
        <f ca="1">TEXT(DATE(YEAR(Invoer!$A$5),1,1)+INT((ROWS(B$2:B301)-1)/3),"jjjjmmdd")</f>
        <v>19430410</v>
      </c>
      <c r="C301" s="35" t="str">
        <f>INDEX(Data,2,2+MOD(ROWS(C$2:C301)-1,3))</f>
        <v>19.45</v>
      </c>
      <c r="D301" s="23">
        <f t="shared" ca="1" si="21"/>
        <v>750</v>
      </c>
      <c r="E301" s="40">
        <f t="shared" ca="1" si="22"/>
        <v>0</v>
      </c>
      <c r="F301" s="23">
        <f t="shared" ca="1" si="23"/>
        <v>26</v>
      </c>
      <c r="G301" s="40">
        <f t="shared" ca="1" si="24"/>
        <v>0</v>
      </c>
    </row>
    <row r="302" spans="1:7" x14ac:dyDescent="0.25">
      <c r="A302" s="17">
        <f t="shared" si="20"/>
        <v>81</v>
      </c>
      <c r="B302" t="str">
        <f ca="1">TEXT(DATE(YEAR(Invoer!$A$5),1,1)+INT((ROWS(B$2:B302)-1)/3),"jjjjmmdd")</f>
        <v>19430411</v>
      </c>
      <c r="C302" s="35" t="str">
        <f>INDEX(Data,2,2+MOD(ROWS(C$2:C302)-1,3))</f>
        <v>07.45</v>
      </c>
      <c r="D302" s="23">
        <f t="shared" ca="1" si="21"/>
        <v>749</v>
      </c>
      <c r="E302" s="40">
        <f t="shared" ca="1" si="22"/>
        <v>0</v>
      </c>
      <c r="F302" s="23">
        <f t="shared" ca="1" si="23"/>
        <v>26</v>
      </c>
      <c r="G302" s="40">
        <f t="shared" ca="1" si="24"/>
        <v>0</v>
      </c>
    </row>
    <row r="303" spans="1:7" x14ac:dyDescent="0.25">
      <c r="A303" s="17">
        <f t="shared" si="20"/>
        <v>81</v>
      </c>
      <c r="B303" t="str">
        <f ca="1">TEXT(DATE(YEAR(Invoer!$A$5),1,1)+INT((ROWS(B$2:B303)-1)/3),"jjjjmmdd")</f>
        <v>19430411</v>
      </c>
      <c r="C303" s="35" t="str">
        <f>INDEX(Data,2,2+MOD(ROWS(C$2:C303)-1,3))</f>
        <v>13.45</v>
      </c>
      <c r="D303" s="23">
        <f t="shared" ca="1" si="21"/>
        <v>748</v>
      </c>
      <c r="E303" s="40">
        <f t="shared" ca="1" si="22"/>
        <v>0</v>
      </c>
      <c r="F303" s="23">
        <f t="shared" ca="1" si="23"/>
        <v>26</v>
      </c>
      <c r="G303" s="40">
        <f t="shared" ca="1" si="24"/>
        <v>0</v>
      </c>
    </row>
    <row r="304" spans="1:7" x14ac:dyDescent="0.25">
      <c r="A304" s="17">
        <f t="shared" si="20"/>
        <v>81</v>
      </c>
      <c r="B304" t="str">
        <f ca="1">TEXT(DATE(YEAR(Invoer!$A$5),1,1)+INT((ROWS(B$2:B304)-1)/3),"jjjjmmdd")</f>
        <v>19430411</v>
      </c>
      <c r="C304" s="35" t="str">
        <f>INDEX(Data,2,2+MOD(ROWS(C$2:C304)-1,3))</f>
        <v>19.45</v>
      </c>
      <c r="D304" s="23">
        <f t="shared" ca="1" si="21"/>
        <v>748</v>
      </c>
      <c r="E304" s="40">
        <f t="shared" ca="1" si="22"/>
        <v>0</v>
      </c>
      <c r="F304" s="23">
        <f t="shared" ca="1" si="23"/>
        <v>26</v>
      </c>
      <c r="G304" s="40">
        <f t="shared" ca="1" si="24"/>
        <v>0</v>
      </c>
    </row>
    <row r="305" spans="1:7" x14ac:dyDescent="0.25">
      <c r="A305" s="17">
        <f t="shared" si="20"/>
        <v>81</v>
      </c>
      <c r="B305" t="str">
        <f ca="1">TEXT(DATE(YEAR(Invoer!$A$5),1,1)+INT((ROWS(B$2:B305)-1)/3),"jjjjmmdd")</f>
        <v>19430412</v>
      </c>
      <c r="C305" s="35" t="str">
        <f>INDEX(Data,2,2+MOD(ROWS(C$2:C305)-1,3))</f>
        <v>07.45</v>
      </c>
      <c r="D305" s="23">
        <f t="shared" ca="1" si="21"/>
        <v>748</v>
      </c>
      <c r="E305" s="40">
        <f t="shared" ca="1" si="22"/>
        <v>0</v>
      </c>
      <c r="F305" s="23">
        <f t="shared" ca="1" si="23"/>
        <v>26</v>
      </c>
      <c r="G305" s="40">
        <f t="shared" ca="1" si="24"/>
        <v>0</v>
      </c>
    </row>
    <row r="306" spans="1:7" x14ac:dyDescent="0.25">
      <c r="A306" s="17">
        <f t="shared" si="20"/>
        <v>81</v>
      </c>
      <c r="B306" t="str">
        <f ca="1">TEXT(DATE(YEAR(Invoer!$A$5),1,1)+INT((ROWS(B$2:B306)-1)/3),"jjjjmmdd")</f>
        <v>19430412</v>
      </c>
      <c r="C306" s="35" t="str">
        <f>INDEX(Data,2,2+MOD(ROWS(C$2:C306)-1,3))</f>
        <v>13.45</v>
      </c>
      <c r="D306" s="23">
        <f t="shared" ca="1" si="21"/>
        <v>748</v>
      </c>
      <c r="E306" s="40">
        <f t="shared" ca="1" si="22"/>
        <v>0</v>
      </c>
      <c r="F306" s="23">
        <f t="shared" ca="1" si="23"/>
        <v>26</v>
      </c>
      <c r="G306" s="40">
        <f t="shared" ca="1" si="24"/>
        <v>0</v>
      </c>
    </row>
    <row r="307" spans="1:7" x14ac:dyDescent="0.25">
      <c r="A307" s="17">
        <f t="shared" si="20"/>
        <v>81</v>
      </c>
      <c r="B307" t="str">
        <f ca="1">TEXT(DATE(YEAR(Invoer!$A$5),1,1)+INT((ROWS(B$2:B307)-1)/3),"jjjjmmdd")</f>
        <v>19430412</v>
      </c>
      <c r="C307" s="35" t="str">
        <f>INDEX(Data,2,2+MOD(ROWS(C$2:C307)-1,3))</f>
        <v>19.45</v>
      </c>
      <c r="D307" s="23">
        <f t="shared" ca="1" si="21"/>
        <v>748</v>
      </c>
      <c r="E307" s="40">
        <f t="shared" ca="1" si="22"/>
        <v>0</v>
      </c>
      <c r="F307" s="23">
        <f t="shared" ca="1" si="23"/>
        <v>26</v>
      </c>
      <c r="G307" s="40">
        <f t="shared" ca="1" si="24"/>
        <v>0</v>
      </c>
    </row>
    <row r="308" spans="1:7" x14ac:dyDescent="0.25">
      <c r="A308" s="17">
        <f t="shared" si="20"/>
        <v>81</v>
      </c>
      <c r="B308" t="str">
        <f ca="1">TEXT(DATE(YEAR(Invoer!$A$5),1,1)+INT((ROWS(B$2:B308)-1)/3),"jjjjmmdd")</f>
        <v>19430413</v>
      </c>
      <c r="C308" s="35" t="str">
        <f>INDEX(Data,2,2+MOD(ROWS(C$2:C308)-1,3))</f>
        <v>07.45</v>
      </c>
      <c r="D308" s="23">
        <f t="shared" ca="1" si="21"/>
        <v>750</v>
      </c>
      <c r="E308" s="40">
        <f t="shared" ca="1" si="22"/>
        <v>0</v>
      </c>
      <c r="F308" s="23">
        <f t="shared" ca="1" si="23"/>
        <v>26</v>
      </c>
      <c r="G308" s="40">
        <f t="shared" ca="1" si="24"/>
        <v>0</v>
      </c>
    </row>
    <row r="309" spans="1:7" x14ac:dyDescent="0.25">
      <c r="A309" s="17">
        <f t="shared" si="20"/>
        <v>81</v>
      </c>
      <c r="B309" t="str">
        <f ca="1">TEXT(DATE(YEAR(Invoer!$A$5),1,1)+INT((ROWS(B$2:B309)-1)/3),"jjjjmmdd")</f>
        <v>19430413</v>
      </c>
      <c r="C309" s="35" t="str">
        <f>INDEX(Data,2,2+MOD(ROWS(C$2:C309)-1,3))</f>
        <v>13.45</v>
      </c>
      <c r="D309" s="23">
        <f t="shared" ca="1" si="21"/>
        <v>750</v>
      </c>
      <c r="E309" s="40">
        <f t="shared" ca="1" si="22"/>
        <v>0</v>
      </c>
      <c r="F309" s="23">
        <f t="shared" ca="1" si="23"/>
        <v>26</v>
      </c>
      <c r="G309" s="40">
        <f t="shared" ca="1" si="24"/>
        <v>0</v>
      </c>
    </row>
    <row r="310" spans="1:7" x14ac:dyDescent="0.25">
      <c r="A310" s="17">
        <f t="shared" si="20"/>
        <v>81</v>
      </c>
      <c r="B310" t="str">
        <f ca="1">TEXT(DATE(YEAR(Invoer!$A$5),1,1)+INT((ROWS(B$2:B310)-1)/3),"jjjjmmdd")</f>
        <v>19430413</v>
      </c>
      <c r="C310" s="35" t="str">
        <f>INDEX(Data,2,2+MOD(ROWS(C$2:C310)-1,3))</f>
        <v>19.45</v>
      </c>
      <c r="D310" s="23">
        <f t="shared" ca="1" si="21"/>
        <v>751</v>
      </c>
      <c r="E310" s="40">
        <f t="shared" ca="1" si="22"/>
        <v>0</v>
      </c>
      <c r="F310" s="23">
        <f t="shared" ca="1" si="23"/>
        <v>26</v>
      </c>
      <c r="G310" s="40">
        <f t="shared" ca="1" si="24"/>
        <v>0</v>
      </c>
    </row>
    <row r="311" spans="1:7" x14ac:dyDescent="0.25">
      <c r="A311" s="17">
        <f t="shared" si="20"/>
        <v>81</v>
      </c>
      <c r="B311" t="str">
        <f ca="1">TEXT(DATE(YEAR(Invoer!$A$5),1,1)+INT((ROWS(B$2:B311)-1)/3),"jjjjmmdd")</f>
        <v>19430414</v>
      </c>
      <c r="C311" s="35" t="str">
        <f>INDEX(Data,2,2+MOD(ROWS(C$2:C311)-1,3))</f>
        <v>07.45</v>
      </c>
      <c r="D311" s="23">
        <f t="shared" ca="1" si="21"/>
        <v>751</v>
      </c>
      <c r="E311" s="40">
        <f t="shared" ca="1" si="22"/>
        <v>0</v>
      </c>
      <c r="F311" s="23">
        <f t="shared" ca="1" si="23"/>
        <v>27</v>
      </c>
      <c r="G311" s="40">
        <f t="shared" ca="1" si="24"/>
        <v>0</v>
      </c>
    </row>
    <row r="312" spans="1:7" x14ac:dyDescent="0.25">
      <c r="A312" s="17">
        <f t="shared" si="20"/>
        <v>81</v>
      </c>
      <c r="B312" t="str">
        <f ca="1">TEXT(DATE(YEAR(Invoer!$A$5),1,1)+INT((ROWS(B$2:B312)-1)/3),"jjjjmmdd")</f>
        <v>19430414</v>
      </c>
      <c r="C312" s="35" t="str">
        <f>INDEX(Data,2,2+MOD(ROWS(C$2:C312)-1,3))</f>
        <v>13.45</v>
      </c>
      <c r="D312" s="23">
        <f t="shared" ca="1" si="21"/>
        <v>750</v>
      </c>
      <c r="E312" s="40">
        <f t="shared" ca="1" si="22"/>
        <v>0</v>
      </c>
      <c r="F312" s="23">
        <f t="shared" ca="1" si="23"/>
        <v>27</v>
      </c>
      <c r="G312" s="40">
        <f t="shared" ca="1" si="24"/>
        <v>0</v>
      </c>
    </row>
    <row r="313" spans="1:7" x14ac:dyDescent="0.25">
      <c r="A313" s="17">
        <f t="shared" si="20"/>
        <v>81</v>
      </c>
      <c r="B313" t="str">
        <f ca="1">TEXT(DATE(YEAR(Invoer!$A$5),1,1)+INT((ROWS(B$2:B313)-1)/3),"jjjjmmdd")</f>
        <v>19430414</v>
      </c>
      <c r="C313" s="35" t="str">
        <f>INDEX(Data,2,2+MOD(ROWS(C$2:C313)-1,3))</f>
        <v>19.45</v>
      </c>
      <c r="D313" s="23">
        <f t="shared" ca="1" si="21"/>
        <v>750</v>
      </c>
      <c r="E313" s="40">
        <f t="shared" ca="1" si="22"/>
        <v>0</v>
      </c>
      <c r="F313" s="23">
        <f t="shared" ca="1" si="23"/>
        <v>27</v>
      </c>
      <c r="G313" s="40">
        <f t="shared" ca="1" si="24"/>
        <v>0</v>
      </c>
    </row>
    <row r="314" spans="1:7" x14ac:dyDescent="0.25">
      <c r="A314" s="17">
        <f t="shared" si="20"/>
        <v>81</v>
      </c>
      <c r="B314" t="str">
        <f ca="1">TEXT(DATE(YEAR(Invoer!$A$5),1,1)+INT((ROWS(B$2:B314)-1)/3),"jjjjmmdd")</f>
        <v>19430415</v>
      </c>
      <c r="C314" s="35" t="str">
        <f>INDEX(Data,2,2+MOD(ROWS(C$2:C314)-1,3))</f>
        <v>07.45</v>
      </c>
      <c r="D314" s="23">
        <f t="shared" ca="1" si="21"/>
        <v>750</v>
      </c>
      <c r="E314" s="40">
        <f t="shared" ca="1" si="22"/>
        <v>0</v>
      </c>
      <c r="F314" s="23">
        <f t="shared" ca="1" si="23"/>
        <v>26</v>
      </c>
      <c r="G314" s="40">
        <f t="shared" ca="1" si="24"/>
        <v>0</v>
      </c>
    </row>
    <row r="315" spans="1:7" x14ac:dyDescent="0.25">
      <c r="A315" s="17">
        <f t="shared" si="20"/>
        <v>81</v>
      </c>
      <c r="B315" t="str">
        <f ca="1">TEXT(DATE(YEAR(Invoer!$A$5),1,1)+INT((ROWS(B$2:B315)-1)/3),"jjjjmmdd")</f>
        <v>19430415</v>
      </c>
      <c r="C315" s="35" t="str">
        <f>INDEX(Data,2,2+MOD(ROWS(C$2:C315)-1,3))</f>
        <v>13.45</v>
      </c>
      <c r="D315" s="23">
        <f t="shared" ca="1" si="21"/>
        <v>749</v>
      </c>
      <c r="E315" s="40">
        <f t="shared" ca="1" si="22"/>
        <v>0</v>
      </c>
      <c r="F315" s="23">
        <f t="shared" ca="1" si="23"/>
        <v>26</v>
      </c>
      <c r="G315" s="40">
        <f t="shared" ca="1" si="24"/>
        <v>0</v>
      </c>
    </row>
    <row r="316" spans="1:7" x14ac:dyDescent="0.25">
      <c r="A316" s="17">
        <f t="shared" si="20"/>
        <v>81</v>
      </c>
      <c r="B316" t="str">
        <f ca="1">TEXT(DATE(YEAR(Invoer!$A$5),1,1)+INT((ROWS(B$2:B316)-1)/3),"jjjjmmdd")</f>
        <v>19430415</v>
      </c>
      <c r="C316" s="35" t="str">
        <f>INDEX(Data,2,2+MOD(ROWS(C$2:C316)-1,3))</f>
        <v>19.45</v>
      </c>
      <c r="D316" s="23">
        <f t="shared" ca="1" si="21"/>
        <v>750</v>
      </c>
      <c r="E316" s="40">
        <f t="shared" ca="1" si="22"/>
        <v>0</v>
      </c>
      <c r="F316" s="23">
        <f t="shared" ca="1" si="23"/>
        <v>26</v>
      </c>
      <c r="G316" s="40">
        <f t="shared" ca="1" si="24"/>
        <v>0</v>
      </c>
    </row>
    <row r="317" spans="1:7" x14ac:dyDescent="0.25">
      <c r="A317" s="17">
        <f t="shared" si="20"/>
        <v>81</v>
      </c>
      <c r="B317" t="str">
        <f ca="1">TEXT(DATE(YEAR(Invoer!$A$5),1,1)+INT((ROWS(B$2:B317)-1)/3),"jjjjmmdd")</f>
        <v>19430416</v>
      </c>
      <c r="C317" s="35" t="str">
        <f>INDEX(Data,2,2+MOD(ROWS(C$2:C317)-1,3))</f>
        <v>07.45</v>
      </c>
      <c r="D317" s="23">
        <f t="shared" ca="1" si="21"/>
        <v>750</v>
      </c>
      <c r="E317" s="40">
        <f t="shared" ca="1" si="22"/>
        <v>0</v>
      </c>
      <c r="F317" s="23">
        <f t="shared" ca="1" si="23"/>
        <v>27</v>
      </c>
      <c r="G317" s="40">
        <f t="shared" ca="1" si="24"/>
        <v>0</v>
      </c>
    </row>
    <row r="318" spans="1:7" x14ac:dyDescent="0.25">
      <c r="A318" s="17">
        <f t="shared" si="20"/>
        <v>81</v>
      </c>
      <c r="B318" t="str">
        <f ca="1">TEXT(DATE(YEAR(Invoer!$A$5),1,1)+INT((ROWS(B$2:B318)-1)/3),"jjjjmmdd")</f>
        <v>19430416</v>
      </c>
      <c r="C318" s="35" t="str">
        <f>INDEX(Data,2,2+MOD(ROWS(C$2:C318)-1,3))</f>
        <v>13.45</v>
      </c>
      <c r="D318" s="23">
        <f t="shared" ca="1" si="21"/>
        <v>749</v>
      </c>
      <c r="E318" s="40">
        <f t="shared" ca="1" si="22"/>
        <v>0</v>
      </c>
      <c r="F318" s="23">
        <f t="shared" ca="1" si="23"/>
        <v>27</v>
      </c>
      <c r="G318" s="40">
        <f t="shared" ca="1" si="24"/>
        <v>0</v>
      </c>
    </row>
    <row r="319" spans="1:7" x14ac:dyDescent="0.25">
      <c r="A319" s="17">
        <f t="shared" si="20"/>
        <v>81</v>
      </c>
      <c r="B319" t="str">
        <f ca="1">TEXT(DATE(YEAR(Invoer!$A$5),1,1)+INT((ROWS(B$2:B319)-1)/3),"jjjjmmdd")</f>
        <v>19430416</v>
      </c>
      <c r="C319" s="35" t="str">
        <f>INDEX(Data,2,2+MOD(ROWS(C$2:C319)-1,3))</f>
        <v>19.45</v>
      </c>
      <c r="D319" s="23">
        <f t="shared" ca="1" si="21"/>
        <v>750</v>
      </c>
      <c r="E319" s="40">
        <f t="shared" ca="1" si="22"/>
        <v>0</v>
      </c>
      <c r="F319" s="23">
        <f t="shared" ca="1" si="23"/>
        <v>26</v>
      </c>
      <c r="G319" s="40">
        <f t="shared" ca="1" si="24"/>
        <v>0</v>
      </c>
    </row>
    <row r="320" spans="1:7" x14ac:dyDescent="0.25">
      <c r="A320" s="17">
        <f t="shared" si="20"/>
        <v>81</v>
      </c>
      <c r="B320" t="str">
        <f ca="1">TEXT(DATE(YEAR(Invoer!$A$5),1,1)+INT((ROWS(B$2:B320)-1)/3),"jjjjmmdd")</f>
        <v>19430417</v>
      </c>
      <c r="C320" s="35" t="str">
        <f>INDEX(Data,2,2+MOD(ROWS(C$2:C320)-1,3))</f>
        <v>07.45</v>
      </c>
      <c r="D320" s="23">
        <f t="shared" ca="1" si="21"/>
        <v>750</v>
      </c>
      <c r="E320" s="40">
        <f t="shared" ca="1" si="22"/>
        <v>0</v>
      </c>
      <c r="F320" s="23">
        <f t="shared" ca="1" si="23"/>
        <v>26</v>
      </c>
      <c r="G320" s="40">
        <f t="shared" ca="1" si="24"/>
        <v>0</v>
      </c>
    </row>
    <row r="321" spans="1:7" x14ac:dyDescent="0.25">
      <c r="A321" s="17">
        <f t="shared" si="20"/>
        <v>81</v>
      </c>
      <c r="B321" t="str">
        <f ca="1">TEXT(DATE(YEAR(Invoer!$A$5),1,1)+INT((ROWS(B$2:B321)-1)/3),"jjjjmmdd")</f>
        <v>19430417</v>
      </c>
      <c r="C321" s="35" t="str">
        <f>INDEX(Data,2,2+MOD(ROWS(C$2:C321)-1,3))</f>
        <v>13.45</v>
      </c>
      <c r="D321" s="23">
        <f t="shared" ca="1" si="21"/>
        <v>749</v>
      </c>
      <c r="E321" s="40">
        <f t="shared" ca="1" si="22"/>
        <v>0</v>
      </c>
      <c r="F321" s="23">
        <f t="shared" ca="1" si="23"/>
        <v>26</v>
      </c>
      <c r="G321" s="40">
        <f t="shared" ca="1" si="24"/>
        <v>0</v>
      </c>
    </row>
    <row r="322" spans="1:7" x14ac:dyDescent="0.25">
      <c r="A322" s="17">
        <f t="shared" ref="A322:A385" si="25">INDEX(Stations,2,1)</f>
        <v>81</v>
      </c>
      <c r="B322" t="str">
        <f ca="1">TEXT(DATE(YEAR(Invoer!$A$5),1,1)+INT((ROWS(B$2:B322)-1)/3),"jjjjmmdd")</f>
        <v>19430417</v>
      </c>
      <c r="C322" s="35" t="str">
        <f>INDEX(Data,2,2+MOD(ROWS(C$2:C322)-1,3))</f>
        <v>19.45</v>
      </c>
      <c r="D322" s="23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750</v>
      </c>
      <c r="E322" s="40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23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)</f>
        <v>26</v>
      </c>
      <c r="G322" s="40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7">
        <f t="shared" si="25"/>
        <v>81</v>
      </c>
      <c r="B323" t="str">
        <f ca="1">TEXT(DATE(YEAR(Invoer!$A$5),1,1)+INT((ROWS(B$2:B323)-1)/3),"jjjjmmdd")</f>
        <v>19430418</v>
      </c>
      <c r="C323" s="35" t="str">
        <f>INDEX(Data,2,2+MOD(ROWS(C$2:C323)-1,3))</f>
        <v>07.45</v>
      </c>
      <c r="D323" s="23">
        <f t="shared" ca="1" si="26"/>
        <v>750</v>
      </c>
      <c r="E323" s="40">
        <f t="shared" ca="1" si="27"/>
        <v>0</v>
      </c>
      <c r="F323" s="23">
        <f t="shared" ca="1" si="28"/>
        <v>26</v>
      </c>
      <c r="G323" s="40">
        <f t="shared" ca="1" si="29"/>
        <v>0</v>
      </c>
    </row>
    <row r="324" spans="1:7" x14ac:dyDescent="0.25">
      <c r="A324" s="17">
        <f t="shared" si="25"/>
        <v>81</v>
      </c>
      <c r="B324" t="str">
        <f ca="1">TEXT(DATE(YEAR(Invoer!$A$5),1,1)+INT((ROWS(B$2:B324)-1)/3),"jjjjmmdd")</f>
        <v>19430418</v>
      </c>
      <c r="C324" s="35" t="str">
        <f>INDEX(Data,2,2+MOD(ROWS(C$2:C324)-1,3))</f>
        <v>13.45</v>
      </c>
      <c r="D324" s="23">
        <f t="shared" ca="1" si="26"/>
        <v>749</v>
      </c>
      <c r="E324" s="40">
        <f t="shared" ca="1" si="27"/>
        <v>0</v>
      </c>
      <c r="F324" s="23">
        <f t="shared" ca="1" si="28"/>
        <v>26</v>
      </c>
      <c r="G324" s="40">
        <f t="shared" ca="1" si="29"/>
        <v>0</v>
      </c>
    </row>
    <row r="325" spans="1:7" x14ac:dyDescent="0.25">
      <c r="A325" s="17">
        <f t="shared" si="25"/>
        <v>81</v>
      </c>
      <c r="B325" t="str">
        <f ca="1">TEXT(DATE(YEAR(Invoer!$A$5),1,1)+INT((ROWS(B$2:B325)-1)/3),"jjjjmmdd")</f>
        <v>19430418</v>
      </c>
      <c r="C325" s="35" t="str">
        <f>INDEX(Data,2,2+MOD(ROWS(C$2:C325)-1,3))</f>
        <v>19.45</v>
      </c>
      <c r="D325" s="23">
        <f t="shared" ca="1" si="26"/>
        <v>750</v>
      </c>
      <c r="E325" s="40">
        <f t="shared" ca="1" si="27"/>
        <v>0</v>
      </c>
      <c r="F325" s="23">
        <f t="shared" ca="1" si="28"/>
        <v>26</v>
      </c>
      <c r="G325" s="40">
        <f t="shared" ca="1" si="29"/>
        <v>0</v>
      </c>
    </row>
    <row r="326" spans="1:7" x14ac:dyDescent="0.25">
      <c r="A326" s="17">
        <f t="shared" si="25"/>
        <v>81</v>
      </c>
      <c r="B326" t="str">
        <f ca="1">TEXT(DATE(YEAR(Invoer!$A$5),1,1)+INT((ROWS(B$2:B326)-1)/3),"jjjjmmdd")</f>
        <v>19430419</v>
      </c>
      <c r="C326" s="35" t="str">
        <f>INDEX(Data,2,2+MOD(ROWS(C$2:C326)-1,3))</f>
        <v>07.45</v>
      </c>
      <c r="D326" s="23">
        <f t="shared" ca="1" si="26"/>
        <v>750</v>
      </c>
      <c r="E326" s="40">
        <f t="shared" ca="1" si="27"/>
        <v>0</v>
      </c>
      <c r="F326" s="23">
        <f t="shared" ca="1" si="28"/>
        <v>26</v>
      </c>
      <c r="G326" s="40">
        <f t="shared" ca="1" si="29"/>
        <v>0</v>
      </c>
    </row>
    <row r="327" spans="1:7" x14ac:dyDescent="0.25">
      <c r="A327" s="17">
        <f t="shared" si="25"/>
        <v>81</v>
      </c>
      <c r="B327" t="str">
        <f ca="1">TEXT(DATE(YEAR(Invoer!$A$5),1,1)+INT((ROWS(B$2:B327)-1)/3),"jjjjmmdd")</f>
        <v>19430419</v>
      </c>
      <c r="C327" s="35" t="str">
        <f>INDEX(Data,2,2+MOD(ROWS(C$2:C327)-1,3))</f>
        <v>13.45</v>
      </c>
      <c r="D327" s="23">
        <f t="shared" ca="1" si="26"/>
        <v>750</v>
      </c>
      <c r="E327" s="40">
        <f t="shared" ca="1" si="27"/>
        <v>0</v>
      </c>
      <c r="F327" s="23">
        <f t="shared" ca="1" si="28"/>
        <v>26</v>
      </c>
      <c r="G327" s="40">
        <f t="shared" ca="1" si="29"/>
        <v>0</v>
      </c>
    </row>
    <row r="328" spans="1:7" x14ac:dyDescent="0.25">
      <c r="A328" s="17">
        <f t="shared" si="25"/>
        <v>81</v>
      </c>
      <c r="B328" t="str">
        <f ca="1">TEXT(DATE(YEAR(Invoer!$A$5),1,1)+INT((ROWS(B$2:B328)-1)/3),"jjjjmmdd")</f>
        <v>19430419</v>
      </c>
      <c r="C328" s="35" t="str">
        <f>INDEX(Data,2,2+MOD(ROWS(C$2:C328)-1,3))</f>
        <v>19.45</v>
      </c>
      <c r="D328" s="23">
        <f t="shared" ca="1" si="26"/>
        <v>751</v>
      </c>
      <c r="E328" s="40">
        <f t="shared" ca="1" si="27"/>
        <v>0</v>
      </c>
      <c r="F328" s="23">
        <f t="shared" ca="1" si="28"/>
        <v>26</v>
      </c>
      <c r="G328" s="40">
        <f t="shared" ca="1" si="29"/>
        <v>0</v>
      </c>
    </row>
    <row r="329" spans="1:7" x14ac:dyDescent="0.25">
      <c r="A329" s="17">
        <f t="shared" si="25"/>
        <v>81</v>
      </c>
      <c r="B329" t="str">
        <f ca="1">TEXT(DATE(YEAR(Invoer!$A$5),1,1)+INT((ROWS(B$2:B329)-1)/3),"jjjjmmdd")</f>
        <v>19430420</v>
      </c>
      <c r="C329" s="35" t="str">
        <f>INDEX(Data,2,2+MOD(ROWS(C$2:C329)-1,3))</f>
        <v>07.45</v>
      </c>
      <c r="D329" s="23">
        <f t="shared" ca="1" si="26"/>
        <v>752</v>
      </c>
      <c r="E329" s="40">
        <f t="shared" ca="1" si="27"/>
        <v>0</v>
      </c>
      <c r="F329" s="23">
        <f t="shared" ca="1" si="28"/>
        <v>26</v>
      </c>
      <c r="G329" s="40">
        <f t="shared" ca="1" si="29"/>
        <v>0</v>
      </c>
    </row>
    <row r="330" spans="1:7" x14ac:dyDescent="0.25">
      <c r="A330" s="17">
        <f t="shared" si="25"/>
        <v>81</v>
      </c>
      <c r="B330" t="str">
        <f ca="1">TEXT(DATE(YEAR(Invoer!$A$5),1,1)+INT((ROWS(B$2:B330)-1)/3),"jjjjmmdd")</f>
        <v>19430420</v>
      </c>
      <c r="C330" s="35" t="str">
        <f>INDEX(Data,2,2+MOD(ROWS(C$2:C330)-1,3))</f>
        <v>13.45</v>
      </c>
      <c r="D330" s="23">
        <f t="shared" ca="1" si="26"/>
        <v>751</v>
      </c>
      <c r="E330" s="40">
        <f t="shared" ca="1" si="27"/>
        <v>0</v>
      </c>
      <c r="F330" s="23">
        <f t="shared" ca="1" si="28"/>
        <v>26</v>
      </c>
      <c r="G330" s="40">
        <f t="shared" ca="1" si="29"/>
        <v>0</v>
      </c>
    </row>
    <row r="331" spans="1:7" x14ac:dyDescent="0.25">
      <c r="A331" s="17">
        <f t="shared" si="25"/>
        <v>81</v>
      </c>
      <c r="B331" t="str">
        <f ca="1">TEXT(DATE(YEAR(Invoer!$A$5),1,1)+INT((ROWS(B$2:B331)-1)/3),"jjjjmmdd")</f>
        <v>19430420</v>
      </c>
      <c r="C331" s="35" t="str">
        <f>INDEX(Data,2,2+MOD(ROWS(C$2:C331)-1,3))</f>
        <v>19.45</v>
      </c>
      <c r="D331" s="23">
        <f t="shared" ca="1" si="26"/>
        <v>752</v>
      </c>
      <c r="E331" s="40">
        <f t="shared" ca="1" si="27"/>
        <v>0</v>
      </c>
      <c r="F331" s="23">
        <f t="shared" ca="1" si="28"/>
        <v>26</v>
      </c>
      <c r="G331" s="40">
        <f t="shared" ca="1" si="29"/>
        <v>0</v>
      </c>
    </row>
    <row r="332" spans="1:7" x14ac:dyDescent="0.25">
      <c r="A332" s="17">
        <f t="shared" si="25"/>
        <v>81</v>
      </c>
      <c r="B332" t="str">
        <f ca="1">TEXT(DATE(YEAR(Invoer!$A$5),1,1)+INT((ROWS(B$2:B332)-1)/3),"jjjjmmdd")</f>
        <v>19430421</v>
      </c>
      <c r="C332" s="35" t="str">
        <f>INDEX(Data,2,2+MOD(ROWS(C$2:C332)-1,3))</f>
        <v>07.45</v>
      </c>
      <c r="D332" s="23">
        <f t="shared" ca="1" si="26"/>
        <v>753</v>
      </c>
      <c r="E332" s="40">
        <f t="shared" ca="1" si="27"/>
        <v>0</v>
      </c>
      <c r="F332" s="23">
        <f t="shared" ca="1" si="28"/>
        <v>27</v>
      </c>
      <c r="G332" s="40">
        <f t="shared" ca="1" si="29"/>
        <v>0</v>
      </c>
    </row>
    <row r="333" spans="1:7" x14ac:dyDescent="0.25">
      <c r="A333" s="17">
        <f t="shared" si="25"/>
        <v>81</v>
      </c>
      <c r="B333" t="str">
        <f ca="1">TEXT(DATE(YEAR(Invoer!$A$5),1,1)+INT((ROWS(B$2:B333)-1)/3),"jjjjmmdd")</f>
        <v>19430421</v>
      </c>
      <c r="C333" s="35" t="str">
        <f>INDEX(Data,2,2+MOD(ROWS(C$2:C333)-1,3))</f>
        <v>13.45</v>
      </c>
      <c r="D333" s="23">
        <f t="shared" ca="1" si="26"/>
        <v>752</v>
      </c>
      <c r="E333" s="40">
        <f t="shared" ca="1" si="27"/>
        <v>0</v>
      </c>
      <c r="F333" s="23">
        <f t="shared" ca="1" si="28"/>
        <v>26</v>
      </c>
      <c r="G333" s="40">
        <f t="shared" ca="1" si="29"/>
        <v>0</v>
      </c>
    </row>
    <row r="334" spans="1:7" x14ac:dyDescent="0.25">
      <c r="A334" s="17">
        <f t="shared" si="25"/>
        <v>81</v>
      </c>
      <c r="B334" t="str">
        <f ca="1">TEXT(DATE(YEAR(Invoer!$A$5),1,1)+INT((ROWS(B$2:B334)-1)/3),"jjjjmmdd")</f>
        <v>19430421</v>
      </c>
      <c r="C334" s="35" t="str">
        <f>INDEX(Data,2,2+MOD(ROWS(C$2:C334)-1,3))</f>
        <v>19.45</v>
      </c>
      <c r="D334" s="23">
        <f t="shared" ca="1" si="26"/>
        <v>752</v>
      </c>
      <c r="E334" s="40">
        <f t="shared" ca="1" si="27"/>
        <v>0</v>
      </c>
      <c r="F334" s="23">
        <f t="shared" ca="1" si="28"/>
        <v>26</v>
      </c>
      <c r="G334" s="40">
        <f t="shared" ca="1" si="29"/>
        <v>0</v>
      </c>
    </row>
    <row r="335" spans="1:7" x14ac:dyDescent="0.25">
      <c r="A335" s="17">
        <f t="shared" si="25"/>
        <v>81</v>
      </c>
      <c r="B335" t="str">
        <f ca="1">TEXT(DATE(YEAR(Invoer!$A$5),1,1)+INT((ROWS(B$2:B335)-1)/3),"jjjjmmdd")</f>
        <v>19430422</v>
      </c>
      <c r="C335" s="35" t="str">
        <f>INDEX(Data,2,2+MOD(ROWS(C$2:C335)-1,3))</f>
        <v>07.45</v>
      </c>
      <c r="D335" s="23">
        <f t="shared" ca="1" si="26"/>
        <v>752</v>
      </c>
      <c r="E335" s="40">
        <f t="shared" ca="1" si="27"/>
        <v>0</v>
      </c>
      <c r="F335" s="23">
        <f t="shared" ca="1" si="28"/>
        <v>26</v>
      </c>
      <c r="G335" s="40">
        <f t="shared" ca="1" si="29"/>
        <v>0</v>
      </c>
    </row>
    <row r="336" spans="1:7" x14ac:dyDescent="0.25">
      <c r="A336" s="17">
        <f t="shared" si="25"/>
        <v>81</v>
      </c>
      <c r="B336" t="str">
        <f ca="1">TEXT(DATE(YEAR(Invoer!$A$5),1,1)+INT((ROWS(B$2:B336)-1)/3),"jjjjmmdd")</f>
        <v>19430422</v>
      </c>
      <c r="C336" s="35" t="str">
        <f>INDEX(Data,2,2+MOD(ROWS(C$2:C336)-1,3))</f>
        <v>13.45</v>
      </c>
      <c r="D336" s="23">
        <f t="shared" ca="1" si="26"/>
        <v>751</v>
      </c>
      <c r="E336" s="40">
        <f t="shared" ca="1" si="27"/>
        <v>0</v>
      </c>
      <c r="F336" s="23">
        <f t="shared" ca="1" si="28"/>
        <v>27</v>
      </c>
      <c r="G336" s="40">
        <f t="shared" ca="1" si="29"/>
        <v>0</v>
      </c>
    </row>
    <row r="337" spans="1:7" x14ac:dyDescent="0.25">
      <c r="A337" s="17">
        <f t="shared" si="25"/>
        <v>81</v>
      </c>
      <c r="B337" t="str">
        <f ca="1">TEXT(DATE(YEAR(Invoer!$A$5),1,1)+INT((ROWS(B$2:B337)-1)/3),"jjjjmmdd")</f>
        <v>19430422</v>
      </c>
      <c r="C337" s="35" t="str">
        <f>INDEX(Data,2,2+MOD(ROWS(C$2:C337)-1,3))</f>
        <v>19.45</v>
      </c>
      <c r="D337" s="23">
        <f t="shared" ca="1" si="26"/>
        <v>752</v>
      </c>
      <c r="E337" s="40">
        <f t="shared" ca="1" si="27"/>
        <v>0</v>
      </c>
      <c r="F337" s="23">
        <f t="shared" ca="1" si="28"/>
        <v>27</v>
      </c>
      <c r="G337" s="40">
        <f t="shared" ca="1" si="29"/>
        <v>0</v>
      </c>
    </row>
    <row r="338" spans="1:7" x14ac:dyDescent="0.25">
      <c r="A338" s="17">
        <f t="shared" si="25"/>
        <v>81</v>
      </c>
      <c r="B338" t="str">
        <f ca="1">TEXT(DATE(YEAR(Invoer!$A$5),1,1)+INT((ROWS(B$2:B338)-1)/3),"jjjjmmdd")</f>
        <v>19430423</v>
      </c>
      <c r="C338" s="35" t="str">
        <f>INDEX(Data,2,2+MOD(ROWS(C$2:C338)-1,3))</f>
        <v>07.45</v>
      </c>
      <c r="D338" s="23">
        <f t="shared" ca="1" si="26"/>
        <v>752</v>
      </c>
      <c r="E338" s="40">
        <f t="shared" ca="1" si="27"/>
        <v>0</v>
      </c>
      <c r="F338" s="23">
        <f t="shared" ca="1" si="28"/>
        <v>26</v>
      </c>
      <c r="G338" s="40">
        <f t="shared" ca="1" si="29"/>
        <v>0</v>
      </c>
    </row>
    <row r="339" spans="1:7" x14ac:dyDescent="0.25">
      <c r="A339" s="17">
        <f t="shared" si="25"/>
        <v>81</v>
      </c>
      <c r="B339" t="str">
        <f ca="1">TEXT(DATE(YEAR(Invoer!$A$5),1,1)+INT((ROWS(B$2:B339)-1)/3),"jjjjmmdd")</f>
        <v>19430423</v>
      </c>
      <c r="C339" s="35" t="str">
        <f>INDEX(Data,2,2+MOD(ROWS(C$2:C339)-1,3))</f>
        <v>13.45</v>
      </c>
      <c r="D339" s="23">
        <f t="shared" ca="1" si="26"/>
        <v>750</v>
      </c>
      <c r="E339" s="40">
        <f t="shared" ca="1" si="27"/>
        <v>0</v>
      </c>
      <c r="F339" s="23">
        <f t="shared" ca="1" si="28"/>
        <v>26</v>
      </c>
      <c r="G339" s="40">
        <f t="shared" ca="1" si="29"/>
        <v>0</v>
      </c>
    </row>
    <row r="340" spans="1:7" x14ac:dyDescent="0.25">
      <c r="A340" s="17">
        <f t="shared" si="25"/>
        <v>81</v>
      </c>
      <c r="B340" t="str">
        <f ca="1">TEXT(DATE(YEAR(Invoer!$A$5),1,1)+INT((ROWS(B$2:B340)-1)/3),"jjjjmmdd")</f>
        <v>19430423</v>
      </c>
      <c r="C340" s="35" t="str">
        <f>INDEX(Data,2,2+MOD(ROWS(C$2:C340)-1,3))</f>
        <v>19.45</v>
      </c>
      <c r="D340" s="23">
        <f t="shared" ca="1" si="26"/>
        <v>750</v>
      </c>
      <c r="E340" s="40">
        <f t="shared" ca="1" si="27"/>
        <v>0</v>
      </c>
      <c r="F340" s="23">
        <f t="shared" ca="1" si="28"/>
        <v>26</v>
      </c>
      <c r="G340" s="40">
        <f t="shared" ca="1" si="29"/>
        <v>0</v>
      </c>
    </row>
    <row r="341" spans="1:7" x14ac:dyDescent="0.25">
      <c r="A341" s="17">
        <f t="shared" si="25"/>
        <v>81</v>
      </c>
      <c r="B341" t="str">
        <f ca="1">TEXT(DATE(YEAR(Invoer!$A$5),1,1)+INT((ROWS(B$2:B341)-1)/3),"jjjjmmdd")</f>
        <v>19430424</v>
      </c>
      <c r="C341" s="35" t="str">
        <f>INDEX(Data,2,2+MOD(ROWS(C$2:C341)-1,3))</f>
        <v>07.45</v>
      </c>
      <c r="D341" s="23">
        <f t="shared" ca="1" si="26"/>
        <v>750</v>
      </c>
      <c r="E341" s="40">
        <f t="shared" ca="1" si="27"/>
        <v>0</v>
      </c>
      <c r="F341" s="23">
        <f t="shared" ca="1" si="28"/>
        <v>25</v>
      </c>
      <c r="G341" s="40">
        <f t="shared" ca="1" si="29"/>
        <v>0</v>
      </c>
    </row>
    <row r="342" spans="1:7" x14ac:dyDescent="0.25">
      <c r="A342" s="17">
        <f t="shared" si="25"/>
        <v>81</v>
      </c>
      <c r="B342" t="str">
        <f ca="1">TEXT(DATE(YEAR(Invoer!$A$5),1,1)+INT((ROWS(B$2:B342)-1)/3),"jjjjmmdd")</f>
        <v>19430424</v>
      </c>
      <c r="C342" s="35" t="str">
        <f>INDEX(Data,2,2+MOD(ROWS(C$2:C342)-1,3))</f>
        <v>13.45</v>
      </c>
      <c r="D342" s="23">
        <f t="shared" ca="1" si="26"/>
        <v>750</v>
      </c>
      <c r="E342" s="40">
        <f t="shared" ca="1" si="27"/>
        <v>0</v>
      </c>
      <c r="F342" s="23">
        <f t="shared" ca="1" si="28"/>
        <v>25</v>
      </c>
      <c r="G342" s="40">
        <f t="shared" ca="1" si="29"/>
        <v>0</v>
      </c>
    </row>
    <row r="343" spans="1:7" x14ac:dyDescent="0.25">
      <c r="A343" s="17">
        <f t="shared" si="25"/>
        <v>81</v>
      </c>
      <c r="B343" t="str">
        <f ca="1">TEXT(DATE(YEAR(Invoer!$A$5),1,1)+INT((ROWS(B$2:B343)-1)/3),"jjjjmmdd")</f>
        <v>19430424</v>
      </c>
      <c r="C343" s="35" t="str">
        <f>INDEX(Data,2,2+MOD(ROWS(C$2:C343)-1,3))</f>
        <v>19.45</v>
      </c>
      <c r="D343" s="23">
        <f t="shared" ca="1" si="26"/>
        <v>750</v>
      </c>
      <c r="E343" s="40">
        <f t="shared" ca="1" si="27"/>
        <v>0</v>
      </c>
      <c r="F343" s="23">
        <f t="shared" ca="1" si="28"/>
        <v>26</v>
      </c>
      <c r="G343" s="40">
        <f t="shared" ca="1" si="29"/>
        <v>0</v>
      </c>
    </row>
    <row r="344" spans="1:7" x14ac:dyDescent="0.25">
      <c r="A344" s="17">
        <f t="shared" si="25"/>
        <v>81</v>
      </c>
      <c r="B344" t="str">
        <f ca="1">TEXT(DATE(YEAR(Invoer!$A$5),1,1)+INT((ROWS(B$2:B344)-1)/3),"jjjjmmdd")</f>
        <v>19430425</v>
      </c>
      <c r="C344" s="35" t="str">
        <f>INDEX(Data,2,2+MOD(ROWS(C$2:C344)-1,3))</f>
        <v>07.45</v>
      </c>
      <c r="D344" s="23">
        <f t="shared" ca="1" si="26"/>
        <v>750</v>
      </c>
      <c r="E344" s="40">
        <f t="shared" ca="1" si="27"/>
        <v>0</v>
      </c>
      <c r="F344" s="23">
        <f t="shared" ca="1" si="28"/>
        <v>26</v>
      </c>
      <c r="G344" s="40">
        <f t="shared" ca="1" si="29"/>
        <v>0</v>
      </c>
    </row>
    <row r="345" spans="1:7" x14ac:dyDescent="0.25">
      <c r="A345" s="17">
        <f t="shared" si="25"/>
        <v>81</v>
      </c>
      <c r="B345" t="str">
        <f ca="1">TEXT(DATE(YEAR(Invoer!$A$5),1,1)+INT((ROWS(B$2:B345)-1)/3),"jjjjmmdd")</f>
        <v>19430425</v>
      </c>
      <c r="C345" s="35" t="str">
        <f>INDEX(Data,2,2+MOD(ROWS(C$2:C345)-1,3))</f>
        <v>13.45</v>
      </c>
      <c r="D345" s="23">
        <f t="shared" ca="1" si="26"/>
        <v>750</v>
      </c>
      <c r="E345" s="40">
        <f t="shared" ca="1" si="27"/>
        <v>0</v>
      </c>
      <c r="F345" s="23">
        <f t="shared" ca="1" si="28"/>
        <v>26</v>
      </c>
      <c r="G345" s="40">
        <f t="shared" ca="1" si="29"/>
        <v>0</v>
      </c>
    </row>
    <row r="346" spans="1:7" x14ac:dyDescent="0.25">
      <c r="A346" s="17">
        <f t="shared" si="25"/>
        <v>81</v>
      </c>
      <c r="B346" t="str">
        <f ca="1">TEXT(DATE(YEAR(Invoer!$A$5),1,1)+INT((ROWS(B$2:B346)-1)/3),"jjjjmmdd")</f>
        <v>19430425</v>
      </c>
      <c r="C346" s="35" t="str">
        <f>INDEX(Data,2,2+MOD(ROWS(C$2:C346)-1,3))</f>
        <v>19.45</v>
      </c>
      <c r="D346" s="23">
        <f t="shared" ca="1" si="26"/>
        <v>750</v>
      </c>
      <c r="E346" s="40">
        <f t="shared" ca="1" si="27"/>
        <v>0</v>
      </c>
      <c r="F346" s="23">
        <f t="shared" ca="1" si="28"/>
        <v>26</v>
      </c>
      <c r="G346" s="40">
        <f t="shared" ca="1" si="29"/>
        <v>0</v>
      </c>
    </row>
    <row r="347" spans="1:7" x14ac:dyDescent="0.25">
      <c r="A347" s="17">
        <f t="shared" si="25"/>
        <v>81</v>
      </c>
      <c r="B347" t="str">
        <f ca="1">TEXT(DATE(YEAR(Invoer!$A$5),1,1)+INT((ROWS(B$2:B347)-1)/3),"jjjjmmdd")</f>
        <v>19430426</v>
      </c>
      <c r="C347" s="35" t="str">
        <f>INDEX(Data,2,2+MOD(ROWS(C$2:C347)-1,3))</f>
        <v>07.45</v>
      </c>
      <c r="D347" s="23">
        <f t="shared" ca="1" si="26"/>
        <v>750</v>
      </c>
      <c r="E347" s="40">
        <f t="shared" ca="1" si="27"/>
        <v>0</v>
      </c>
      <c r="F347" s="23">
        <f t="shared" ca="1" si="28"/>
        <v>26</v>
      </c>
      <c r="G347" s="40">
        <f t="shared" ca="1" si="29"/>
        <v>0</v>
      </c>
    </row>
    <row r="348" spans="1:7" x14ac:dyDescent="0.25">
      <c r="A348" s="17">
        <f t="shared" si="25"/>
        <v>81</v>
      </c>
      <c r="B348" t="str">
        <f ca="1">TEXT(DATE(YEAR(Invoer!$A$5),1,1)+INT((ROWS(B$2:B348)-1)/3),"jjjjmmdd")</f>
        <v>19430426</v>
      </c>
      <c r="C348" s="35" t="str">
        <f>INDEX(Data,2,2+MOD(ROWS(C$2:C348)-1,3))</f>
        <v>13.45</v>
      </c>
      <c r="D348" s="23">
        <f t="shared" ca="1" si="26"/>
        <v>750</v>
      </c>
      <c r="E348" s="40">
        <f t="shared" ca="1" si="27"/>
        <v>0</v>
      </c>
      <c r="F348" s="23">
        <f t="shared" ca="1" si="28"/>
        <v>26</v>
      </c>
      <c r="G348" s="40">
        <f t="shared" ca="1" si="29"/>
        <v>0</v>
      </c>
    </row>
    <row r="349" spans="1:7" x14ac:dyDescent="0.25">
      <c r="A349" s="17">
        <f t="shared" si="25"/>
        <v>81</v>
      </c>
      <c r="B349" t="str">
        <f ca="1">TEXT(DATE(YEAR(Invoer!$A$5),1,1)+INT((ROWS(B$2:B349)-1)/3),"jjjjmmdd")</f>
        <v>19430426</v>
      </c>
      <c r="C349" s="35" t="str">
        <f>INDEX(Data,2,2+MOD(ROWS(C$2:C349)-1,3))</f>
        <v>19.45</v>
      </c>
      <c r="D349" s="23">
        <f t="shared" ca="1" si="26"/>
        <v>750</v>
      </c>
      <c r="E349" s="40">
        <f t="shared" ca="1" si="27"/>
        <v>0</v>
      </c>
      <c r="F349" s="23">
        <f t="shared" ca="1" si="28"/>
        <v>26</v>
      </c>
      <c r="G349" s="40">
        <f t="shared" ca="1" si="29"/>
        <v>0</v>
      </c>
    </row>
    <row r="350" spans="1:7" x14ac:dyDescent="0.25">
      <c r="A350" s="17">
        <f t="shared" si="25"/>
        <v>81</v>
      </c>
      <c r="B350" t="str">
        <f ca="1">TEXT(DATE(YEAR(Invoer!$A$5),1,1)+INT((ROWS(B$2:B350)-1)/3),"jjjjmmdd")</f>
        <v>19430427</v>
      </c>
      <c r="C350" s="35" t="str">
        <f>INDEX(Data,2,2+MOD(ROWS(C$2:C350)-1,3))</f>
        <v>07.45</v>
      </c>
      <c r="D350" s="23">
        <f t="shared" ca="1" si="26"/>
        <v>750</v>
      </c>
      <c r="E350" s="40">
        <f t="shared" ca="1" si="27"/>
        <v>0</v>
      </c>
      <c r="F350" s="23">
        <f t="shared" ca="1" si="28"/>
        <v>26</v>
      </c>
      <c r="G350" s="40">
        <f t="shared" ca="1" si="29"/>
        <v>0</v>
      </c>
    </row>
    <row r="351" spans="1:7" x14ac:dyDescent="0.25">
      <c r="A351" s="17">
        <f t="shared" si="25"/>
        <v>81</v>
      </c>
      <c r="B351" t="str">
        <f ca="1">TEXT(DATE(YEAR(Invoer!$A$5),1,1)+INT((ROWS(B$2:B351)-1)/3),"jjjjmmdd")</f>
        <v>19430427</v>
      </c>
      <c r="C351" s="35" t="str">
        <f>INDEX(Data,2,2+MOD(ROWS(C$2:C351)-1,3))</f>
        <v>13.45</v>
      </c>
      <c r="D351" s="23">
        <f t="shared" ca="1" si="26"/>
        <v>750</v>
      </c>
      <c r="E351" s="40">
        <f t="shared" ca="1" si="27"/>
        <v>0</v>
      </c>
      <c r="F351" s="23">
        <f t="shared" ca="1" si="28"/>
        <v>26</v>
      </c>
      <c r="G351" s="40">
        <f t="shared" ca="1" si="29"/>
        <v>0</v>
      </c>
    </row>
    <row r="352" spans="1:7" x14ac:dyDescent="0.25">
      <c r="A352" s="17">
        <f t="shared" si="25"/>
        <v>81</v>
      </c>
      <c r="B352" t="str">
        <f ca="1">TEXT(DATE(YEAR(Invoer!$A$5),1,1)+INT((ROWS(B$2:B352)-1)/3),"jjjjmmdd")</f>
        <v>19430427</v>
      </c>
      <c r="C352" s="35" t="str">
        <f>INDEX(Data,2,2+MOD(ROWS(C$2:C352)-1,3))</f>
        <v>19.45</v>
      </c>
      <c r="D352" s="23">
        <f t="shared" ca="1" si="26"/>
        <v>749</v>
      </c>
      <c r="E352" s="40">
        <f t="shared" ca="1" si="27"/>
        <v>0</v>
      </c>
      <c r="F352" s="23">
        <f t="shared" ca="1" si="28"/>
        <v>26</v>
      </c>
      <c r="G352" s="40">
        <f t="shared" ca="1" si="29"/>
        <v>0</v>
      </c>
    </row>
    <row r="353" spans="1:7" x14ac:dyDescent="0.25">
      <c r="A353" s="17">
        <f t="shared" si="25"/>
        <v>81</v>
      </c>
      <c r="B353" t="str">
        <f ca="1">TEXT(DATE(YEAR(Invoer!$A$5),1,1)+INT((ROWS(B$2:B353)-1)/3),"jjjjmmdd")</f>
        <v>19430428</v>
      </c>
      <c r="C353" s="35" t="str">
        <f>INDEX(Data,2,2+MOD(ROWS(C$2:C353)-1,3))</f>
        <v>07.45</v>
      </c>
      <c r="D353" s="23">
        <f t="shared" ca="1" si="26"/>
        <v>750</v>
      </c>
      <c r="E353" s="40">
        <f t="shared" ca="1" si="27"/>
        <v>0</v>
      </c>
      <c r="F353" s="23">
        <f t="shared" ca="1" si="28"/>
        <v>26</v>
      </c>
      <c r="G353" s="40">
        <f t="shared" ca="1" si="29"/>
        <v>0</v>
      </c>
    </row>
    <row r="354" spans="1:7" x14ac:dyDescent="0.25">
      <c r="A354" s="17">
        <f t="shared" si="25"/>
        <v>81</v>
      </c>
      <c r="B354" t="str">
        <f ca="1">TEXT(DATE(YEAR(Invoer!$A$5),1,1)+INT((ROWS(B$2:B354)-1)/3),"jjjjmmdd")</f>
        <v>19430428</v>
      </c>
      <c r="C354" s="35" t="str">
        <f>INDEX(Data,2,2+MOD(ROWS(C$2:C354)-1,3))</f>
        <v>13.45</v>
      </c>
      <c r="D354" s="23">
        <f t="shared" ca="1" si="26"/>
        <v>749</v>
      </c>
      <c r="E354" s="40">
        <f t="shared" ca="1" si="27"/>
        <v>0</v>
      </c>
      <c r="F354" s="23">
        <f t="shared" ca="1" si="28"/>
        <v>26</v>
      </c>
      <c r="G354" s="40">
        <f t="shared" ca="1" si="29"/>
        <v>0</v>
      </c>
    </row>
    <row r="355" spans="1:7" x14ac:dyDescent="0.25">
      <c r="A355" s="17">
        <f t="shared" si="25"/>
        <v>81</v>
      </c>
      <c r="B355" t="str">
        <f ca="1">TEXT(DATE(YEAR(Invoer!$A$5),1,1)+INT((ROWS(B$2:B355)-1)/3),"jjjjmmdd")</f>
        <v>19430428</v>
      </c>
      <c r="C355" s="35" t="str">
        <f>INDEX(Data,2,2+MOD(ROWS(C$2:C355)-1,3))</f>
        <v>19.45</v>
      </c>
      <c r="D355" s="23">
        <f t="shared" ca="1" si="26"/>
        <v>750</v>
      </c>
      <c r="E355" s="40">
        <f t="shared" ca="1" si="27"/>
        <v>0</v>
      </c>
      <c r="F355" s="23">
        <f t="shared" ca="1" si="28"/>
        <v>26</v>
      </c>
      <c r="G355" s="40">
        <f t="shared" ca="1" si="29"/>
        <v>0</v>
      </c>
    </row>
    <row r="356" spans="1:7" x14ac:dyDescent="0.25">
      <c r="A356" s="17">
        <f t="shared" si="25"/>
        <v>81</v>
      </c>
      <c r="B356" t="str">
        <f ca="1">TEXT(DATE(YEAR(Invoer!$A$5),1,1)+INT((ROWS(B$2:B356)-1)/3),"jjjjmmdd")</f>
        <v>19430429</v>
      </c>
      <c r="C356" s="35" t="str">
        <f>INDEX(Data,2,2+MOD(ROWS(C$2:C356)-1,3))</f>
        <v>07.45</v>
      </c>
      <c r="D356" s="23">
        <f t="shared" ca="1" si="26"/>
        <v>749</v>
      </c>
      <c r="E356" s="40">
        <f t="shared" ca="1" si="27"/>
        <v>0</v>
      </c>
      <c r="F356" s="23">
        <f t="shared" ca="1" si="28"/>
        <v>25</v>
      </c>
      <c r="G356" s="40">
        <f t="shared" ca="1" si="29"/>
        <v>0</v>
      </c>
    </row>
    <row r="357" spans="1:7" x14ac:dyDescent="0.25">
      <c r="A357" s="17">
        <f t="shared" si="25"/>
        <v>81</v>
      </c>
      <c r="B357" t="str">
        <f ca="1">TEXT(DATE(YEAR(Invoer!$A$5),1,1)+INT((ROWS(B$2:B357)-1)/3),"jjjjmmdd")</f>
        <v>19430429</v>
      </c>
      <c r="C357" s="35" t="str">
        <f>INDEX(Data,2,2+MOD(ROWS(C$2:C357)-1,3))</f>
        <v>13.45</v>
      </c>
      <c r="D357" s="23">
        <f t="shared" ca="1" si="26"/>
        <v>749</v>
      </c>
      <c r="E357" s="40">
        <f t="shared" ca="1" si="27"/>
        <v>0</v>
      </c>
      <c r="F357" s="23">
        <f t="shared" ca="1" si="28"/>
        <v>26</v>
      </c>
      <c r="G357" s="40">
        <f t="shared" ca="1" si="29"/>
        <v>0</v>
      </c>
    </row>
    <row r="358" spans="1:7" x14ac:dyDescent="0.25">
      <c r="A358" s="17">
        <f t="shared" si="25"/>
        <v>81</v>
      </c>
      <c r="B358" t="str">
        <f ca="1">TEXT(DATE(YEAR(Invoer!$A$5),1,1)+INT((ROWS(B$2:B358)-1)/3),"jjjjmmdd")</f>
        <v>19430429</v>
      </c>
      <c r="C358" s="35" t="str">
        <f>INDEX(Data,2,2+MOD(ROWS(C$2:C358)-1,3))</f>
        <v>19.45</v>
      </c>
      <c r="D358" s="23">
        <f t="shared" ca="1" si="26"/>
        <v>750</v>
      </c>
      <c r="E358" s="40">
        <f t="shared" ca="1" si="27"/>
        <v>0</v>
      </c>
      <c r="F358" s="23">
        <f t="shared" ca="1" si="28"/>
        <v>26</v>
      </c>
      <c r="G358" s="40">
        <f t="shared" ca="1" si="29"/>
        <v>0</v>
      </c>
    </row>
    <row r="359" spans="1:7" x14ac:dyDescent="0.25">
      <c r="A359" s="17">
        <f t="shared" si="25"/>
        <v>81</v>
      </c>
      <c r="B359" t="str">
        <f ca="1">TEXT(DATE(YEAR(Invoer!$A$5),1,1)+INT((ROWS(B$2:B359)-1)/3),"jjjjmmdd")</f>
        <v>19430430</v>
      </c>
      <c r="C359" s="35" t="str">
        <f>INDEX(Data,2,2+MOD(ROWS(C$2:C359)-1,3))</f>
        <v>07.45</v>
      </c>
      <c r="D359" s="23">
        <f t="shared" ca="1" si="26"/>
        <v>749</v>
      </c>
      <c r="E359" s="40">
        <f t="shared" ca="1" si="27"/>
        <v>0</v>
      </c>
      <c r="F359" s="23">
        <f t="shared" ca="1" si="28"/>
        <v>26</v>
      </c>
      <c r="G359" s="40">
        <f t="shared" ca="1" si="29"/>
        <v>0</v>
      </c>
    </row>
    <row r="360" spans="1:7" x14ac:dyDescent="0.25">
      <c r="A360" s="17">
        <f t="shared" si="25"/>
        <v>81</v>
      </c>
      <c r="B360" t="str">
        <f ca="1">TEXT(DATE(YEAR(Invoer!$A$5),1,1)+INT((ROWS(B$2:B360)-1)/3),"jjjjmmdd")</f>
        <v>19430430</v>
      </c>
      <c r="C360" s="35" t="str">
        <f>INDEX(Data,2,2+MOD(ROWS(C$2:C360)-1,3))</f>
        <v>13.45</v>
      </c>
      <c r="D360" s="23">
        <f t="shared" ca="1" si="26"/>
        <v>750</v>
      </c>
      <c r="E360" s="40">
        <f t="shared" ca="1" si="27"/>
        <v>0</v>
      </c>
      <c r="F360" s="23">
        <f t="shared" ca="1" si="28"/>
        <v>26</v>
      </c>
      <c r="G360" s="40">
        <f t="shared" ca="1" si="29"/>
        <v>0</v>
      </c>
    </row>
    <row r="361" spans="1:7" x14ac:dyDescent="0.25">
      <c r="A361" s="17">
        <f t="shared" si="25"/>
        <v>81</v>
      </c>
      <c r="B361" t="str">
        <f ca="1">TEXT(DATE(YEAR(Invoer!$A$5),1,1)+INT((ROWS(B$2:B361)-1)/3),"jjjjmmdd")</f>
        <v>19430430</v>
      </c>
      <c r="C361" s="35" t="str">
        <f>INDEX(Data,2,2+MOD(ROWS(C$2:C361)-1,3))</f>
        <v>19.45</v>
      </c>
      <c r="D361" s="23">
        <f t="shared" ca="1" si="26"/>
        <v>750</v>
      </c>
      <c r="E361" s="40">
        <f t="shared" ca="1" si="27"/>
        <v>0</v>
      </c>
      <c r="F361" s="23">
        <f t="shared" ca="1" si="28"/>
        <v>26</v>
      </c>
      <c r="G361" s="40">
        <f t="shared" ca="1" si="29"/>
        <v>0</v>
      </c>
    </row>
    <row r="362" spans="1:7" x14ac:dyDescent="0.25">
      <c r="A362" s="17">
        <f t="shared" si="25"/>
        <v>81</v>
      </c>
      <c r="B362" t="str">
        <f ca="1">TEXT(DATE(YEAR(Invoer!$A$5),1,1)+INT((ROWS(B$2:B362)-1)/3),"jjjjmmdd")</f>
        <v>19430501</v>
      </c>
      <c r="C362" s="35" t="str">
        <f>INDEX(Data,2,2+MOD(ROWS(C$2:C362)-1,3))</f>
        <v>07.45</v>
      </c>
      <c r="D362" s="23" t="str">
        <f t="shared" ca="1" si="26"/>
        <v>—</v>
      </c>
      <c r="E362" s="40">
        <f t="shared" ca="1" si="27"/>
        <v>7</v>
      </c>
      <c r="F362" s="23" t="str">
        <f t="shared" ca="1" si="28"/>
        <v>—</v>
      </c>
      <c r="G362" s="40">
        <f t="shared" ca="1" si="29"/>
        <v>7</v>
      </c>
    </row>
    <row r="363" spans="1:7" x14ac:dyDescent="0.25">
      <c r="A363" s="17">
        <f t="shared" si="25"/>
        <v>81</v>
      </c>
      <c r="B363" t="str">
        <f ca="1">TEXT(DATE(YEAR(Invoer!$A$5),1,1)+INT((ROWS(B$2:B363)-1)/3),"jjjjmmdd")</f>
        <v>19430501</v>
      </c>
      <c r="C363" s="35" t="str">
        <f>INDEX(Data,2,2+MOD(ROWS(C$2:C363)-1,3))</f>
        <v>13.45</v>
      </c>
      <c r="D363" s="23" t="str">
        <f t="shared" ca="1" si="26"/>
        <v>—</v>
      </c>
      <c r="E363" s="40">
        <f t="shared" ca="1" si="27"/>
        <v>7</v>
      </c>
      <c r="F363" s="23" t="str">
        <f t="shared" ca="1" si="28"/>
        <v>—</v>
      </c>
      <c r="G363" s="40">
        <f t="shared" ca="1" si="29"/>
        <v>7</v>
      </c>
    </row>
    <row r="364" spans="1:7" x14ac:dyDescent="0.25">
      <c r="A364" s="17">
        <f t="shared" si="25"/>
        <v>81</v>
      </c>
      <c r="B364" t="str">
        <f ca="1">TEXT(DATE(YEAR(Invoer!$A$5),1,1)+INT((ROWS(B$2:B364)-1)/3),"jjjjmmdd")</f>
        <v>19430501</v>
      </c>
      <c r="C364" s="35" t="str">
        <f>INDEX(Data,2,2+MOD(ROWS(C$2:C364)-1,3))</f>
        <v>19.45</v>
      </c>
      <c r="D364" s="23" t="str">
        <f t="shared" ca="1" si="26"/>
        <v>—</v>
      </c>
      <c r="E364" s="40">
        <f t="shared" ca="1" si="27"/>
        <v>7</v>
      </c>
      <c r="F364" s="23" t="str">
        <f t="shared" ca="1" si="28"/>
        <v>—</v>
      </c>
      <c r="G364" s="40">
        <f t="shared" ca="1" si="29"/>
        <v>7</v>
      </c>
    </row>
    <row r="365" spans="1:7" x14ac:dyDescent="0.25">
      <c r="A365" s="17">
        <f t="shared" si="25"/>
        <v>81</v>
      </c>
      <c r="B365" t="str">
        <f ca="1">TEXT(DATE(YEAR(Invoer!$A$5),1,1)+INT((ROWS(B$2:B365)-1)/3),"jjjjmmdd")</f>
        <v>19430502</v>
      </c>
      <c r="C365" s="35" t="str">
        <f>INDEX(Data,2,2+MOD(ROWS(C$2:C365)-1,3))</f>
        <v>07.45</v>
      </c>
      <c r="D365" s="23" t="str">
        <f t="shared" ca="1" si="26"/>
        <v>—</v>
      </c>
      <c r="E365" s="40">
        <f t="shared" ca="1" si="27"/>
        <v>7</v>
      </c>
      <c r="F365" s="23" t="str">
        <f t="shared" ca="1" si="28"/>
        <v>—</v>
      </c>
      <c r="G365" s="40">
        <f t="shared" ca="1" si="29"/>
        <v>7</v>
      </c>
    </row>
    <row r="366" spans="1:7" x14ac:dyDescent="0.25">
      <c r="A366" s="17">
        <f t="shared" si="25"/>
        <v>81</v>
      </c>
      <c r="B366" t="str">
        <f ca="1">TEXT(DATE(YEAR(Invoer!$A$5),1,1)+INT((ROWS(B$2:B366)-1)/3),"jjjjmmdd")</f>
        <v>19430502</v>
      </c>
      <c r="C366" s="35" t="str">
        <f>INDEX(Data,2,2+MOD(ROWS(C$2:C366)-1,3))</f>
        <v>13.45</v>
      </c>
      <c r="D366" s="23" t="str">
        <f t="shared" ca="1" si="26"/>
        <v>—</v>
      </c>
      <c r="E366" s="40">
        <f t="shared" ca="1" si="27"/>
        <v>7</v>
      </c>
      <c r="F366" s="23" t="str">
        <f t="shared" ca="1" si="28"/>
        <v>—</v>
      </c>
      <c r="G366" s="40">
        <f t="shared" ca="1" si="29"/>
        <v>7</v>
      </c>
    </row>
    <row r="367" spans="1:7" x14ac:dyDescent="0.25">
      <c r="A367" s="17">
        <f t="shared" si="25"/>
        <v>81</v>
      </c>
      <c r="B367" t="str">
        <f ca="1">TEXT(DATE(YEAR(Invoer!$A$5),1,1)+INT((ROWS(B$2:B367)-1)/3),"jjjjmmdd")</f>
        <v>19430502</v>
      </c>
      <c r="C367" s="35" t="str">
        <f>INDEX(Data,2,2+MOD(ROWS(C$2:C367)-1,3))</f>
        <v>19.45</v>
      </c>
      <c r="D367" s="23" t="str">
        <f t="shared" ca="1" si="26"/>
        <v>—</v>
      </c>
      <c r="E367" s="40">
        <f t="shared" ca="1" si="27"/>
        <v>7</v>
      </c>
      <c r="F367" s="23" t="str">
        <f t="shared" ca="1" si="28"/>
        <v>—</v>
      </c>
      <c r="G367" s="40">
        <f t="shared" ca="1" si="29"/>
        <v>7</v>
      </c>
    </row>
    <row r="368" spans="1:7" x14ac:dyDescent="0.25">
      <c r="A368" s="17">
        <f t="shared" si="25"/>
        <v>81</v>
      </c>
      <c r="B368" t="str">
        <f ca="1">TEXT(DATE(YEAR(Invoer!$A$5),1,1)+INT((ROWS(B$2:B368)-1)/3),"jjjjmmdd")</f>
        <v>19430503</v>
      </c>
      <c r="C368" s="35" t="str">
        <f>INDEX(Data,2,2+MOD(ROWS(C$2:C368)-1,3))</f>
        <v>07.45</v>
      </c>
      <c r="D368" s="23" t="str">
        <f t="shared" ca="1" si="26"/>
        <v>—</v>
      </c>
      <c r="E368" s="40">
        <f t="shared" ca="1" si="27"/>
        <v>7</v>
      </c>
      <c r="F368" s="23" t="str">
        <f t="shared" ca="1" si="28"/>
        <v>—</v>
      </c>
      <c r="G368" s="40">
        <f t="shared" ca="1" si="29"/>
        <v>7</v>
      </c>
    </row>
    <row r="369" spans="1:7" x14ac:dyDescent="0.25">
      <c r="A369" s="17">
        <f t="shared" si="25"/>
        <v>81</v>
      </c>
      <c r="B369" t="str">
        <f ca="1">TEXT(DATE(YEAR(Invoer!$A$5),1,1)+INT((ROWS(B$2:B369)-1)/3),"jjjjmmdd")</f>
        <v>19430503</v>
      </c>
      <c r="C369" s="35" t="str">
        <f>INDEX(Data,2,2+MOD(ROWS(C$2:C369)-1,3))</f>
        <v>13.45</v>
      </c>
      <c r="D369" s="23" t="str">
        <f t="shared" ca="1" si="26"/>
        <v>—</v>
      </c>
      <c r="E369" s="40">
        <f t="shared" ca="1" si="27"/>
        <v>7</v>
      </c>
      <c r="F369" s="23" t="str">
        <f t="shared" ca="1" si="28"/>
        <v>—</v>
      </c>
      <c r="G369" s="40">
        <f t="shared" ca="1" si="29"/>
        <v>7</v>
      </c>
    </row>
    <row r="370" spans="1:7" x14ac:dyDescent="0.25">
      <c r="A370" s="17">
        <f t="shared" si="25"/>
        <v>81</v>
      </c>
      <c r="B370" t="str">
        <f ca="1">TEXT(DATE(YEAR(Invoer!$A$5),1,1)+INT((ROWS(B$2:B370)-1)/3),"jjjjmmdd")</f>
        <v>19430503</v>
      </c>
      <c r="C370" s="35" t="str">
        <f>INDEX(Data,2,2+MOD(ROWS(C$2:C370)-1,3))</f>
        <v>19.45</v>
      </c>
      <c r="D370" s="23" t="str">
        <f t="shared" ca="1" si="26"/>
        <v>—</v>
      </c>
      <c r="E370" s="40">
        <f t="shared" ca="1" si="27"/>
        <v>7</v>
      </c>
      <c r="F370" s="23" t="str">
        <f t="shared" ca="1" si="28"/>
        <v>—</v>
      </c>
      <c r="G370" s="40">
        <f t="shared" ca="1" si="29"/>
        <v>7</v>
      </c>
    </row>
    <row r="371" spans="1:7" x14ac:dyDescent="0.25">
      <c r="A371" s="17">
        <f t="shared" si="25"/>
        <v>81</v>
      </c>
      <c r="B371" t="str">
        <f ca="1">TEXT(DATE(YEAR(Invoer!$A$5),1,1)+INT((ROWS(B$2:B371)-1)/3),"jjjjmmdd")</f>
        <v>19430504</v>
      </c>
      <c r="C371" s="35" t="str">
        <f>INDEX(Data,2,2+MOD(ROWS(C$2:C371)-1,3))</f>
        <v>07.45</v>
      </c>
      <c r="D371" s="23" t="str">
        <f t="shared" ca="1" si="26"/>
        <v>—</v>
      </c>
      <c r="E371" s="40">
        <f t="shared" ca="1" si="27"/>
        <v>7</v>
      </c>
      <c r="F371" s="23" t="str">
        <f t="shared" ca="1" si="28"/>
        <v>—</v>
      </c>
      <c r="G371" s="40">
        <f t="shared" ca="1" si="29"/>
        <v>7</v>
      </c>
    </row>
    <row r="372" spans="1:7" x14ac:dyDescent="0.25">
      <c r="A372" s="17">
        <f t="shared" si="25"/>
        <v>81</v>
      </c>
      <c r="B372" t="str">
        <f ca="1">TEXT(DATE(YEAR(Invoer!$A$5),1,1)+INT((ROWS(B$2:B372)-1)/3),"jjjjmmdd")</f>
        <v>19430504</v>
      </c>
      <c r="C372" s="35" t="str">
        <f>INDEX(Data,2,2+MOD(ROWS(C$2:C372)-1,3))</f>
        <v>13.45</v>
      </c>
      <c r="D372" s="23" t="str">
        <f t="shared" ca="1" si="26"/>
        <v>—</v>
      </c>
      <c r="E372" s="40">
        <f t="shared" ca="1" si="27"/>
        <v>7</v>
      </c>
      <c r="F372" s="23" t="str">
        <f t="shared" ca="1" si="28"/>
        <v>—</v>
      </c>
      <c r="G372" s="40">
        <f t="shared" ca="1" si="29"/>
        <v>7</v>
      </c>
    </row>
    <row r="373" spans="1:7" x14ac:dyDescent="0.25">
      <c r="A373" s="17">
        <f t="shared" si="25"/>
        <v>81</v>
      </c>
      <c r="B373" t="str">
        <f ca="1">TEXT(DATE(YEAR(Invoer!$A$5),1,1)+INT((ROWS(B$2:B373)-1)/3),"jjjjmmdd")</f>
        <v>19430504</v>
      </c>
      <c r="C373" s="35" t="str">
        <f>INDEX(Data,2,2+MOD(ROWS(C$2:C373)-1,3))</f>
        <v>19.45</v>
      </c>
      <c r="D373" s="23" t="str">
        <f t="shared" ca="1" si="26"/>
        <v>—</v>
      </c>
      <c r="E373" s="40">
        <f t="shared" ca="1" si="27"/>
        <v>7</v>
      </c>
      <c r="F373" s="23" t="str">
        <f t="shared" ca="1" si="28"/>
        <v>—</v>
      </c>
      <c r="G373" s="40">
        <f t="shared" ca="1" si="29"/>
        <v>7</v>
      </c>
    </row>
    <row r="374" spans="1:7" x14ac:dyDescent="0.25">
      <c r="A374" s="17">
        <f t="shared" si="25"/>
        <v>81</v>
      </c>
      <c r="B374" t="str">
        <f ca="1">TEXT(DATE(YEAR(Invoer!$A$5),1,1)+INT((ROWS(B$2:B374)-1)/3),"jjjjmmdd")</f>
        <v>19430505</v>
      </c>
      <c r="C374" s="35" t="str">
        <f>INDEX(Data,2,2+MOD(ROWS(C$2:C374)-1,3))</f>
        <v>07.45</v>
      </c>
      <c r="D374" s="23" t="str">
        <f t="shared" ca="1" si="26"/>
        <v>—</v>
      </c>
      <c r="E374" s="40">
        <f t="shared" ca="1" si="27"/>
        <v>7</v>
      </c>
      <c r="F374" s="23" t="str">
        <f t="shared" ca="1" si="28"/>
        <v>—</v>
      </c>
      <c r="G374" s="40">
        <f t="shared" ca="1" si="29"/>
        <v>7</v>
      </c>
    </row>
    <row r="375" spans="1:7" x14ac:dyDescent="0.25">
      <c r="A375" s="17">
        <f t="shared" si="25"/>
        <v>81</v>
      </c>
      <c r="B375" t="str">
        <f ca="1">TEXT(DATE(YEAR(Invoer!$A$5),1,1)+INT((ROWS(B$2:B375)-1)/3),"jjjjmmdd")</f>
        <v>19430505</v>
      </c>
      <c r="C375" s="35" t="str">
        <f>INDEX(Data,2,2+MOD(ROWS(C$2:C375)-1,3))</f>
        <v>13.45</v>
      </c>
      <c r="D375" s="23" t="str">
        <f t="shared" ca="1" si="26"/>
        <v>—</v>
      </c>
      <c r="E375" s="40">
        <f t="shared" ca="1" si="27"/>
        <v>7</v>
      </c>
      <c r="F375" s="23" t="str">
        <f t="shared" ca="1" si="28"/>
        <v>—</v>
      </c>
      <c r="G375" s="40">
        <f t="shared" ca="1" si="29"/>
        <v>7</v>
      </c>
    </row>
    <row r="376" spans="1:7" x14ac:dyDescent="0.25">
      <c r="A376" s="17">
        <f t="shared" si="25"/>
        <v>81</v>
      </c>
      <c r="B376" t="str">
        <f ca="1">TEXT(DATE(YEAR(Invoer!$A$5),1,1)+INT((ROWS(B$2:B376)-1)/3),"jjjjmmdd")</f>
        <v>19430505</v>
      </c>
      <c r="C376" s="35" t="str">
        <f>INDEX(Data,2,2+MOD(ROWS(C$2:C376)-1,3))</f>
        <v>19.45</v>
      </c>
      <c r="D376" s="23" t="str">
        <f t="shared" ca="1" si="26"/>
        <v>—</v>
      </c>
      <c r="E376" s="40">
        <f t="shared" ca="1" si="27"/>
        <v>7</v>
      </c>
      <c r="F376" s="23" t="str">
        <f t="shared" ca="1" si="28"/>
        <v>—</v>
      </c>
      <c r="G376" s="40">
        <f t="shared" ca="1" si="29"/>
        <v>7</v>
      </c>
    </row>
    <row r="377" spans="1:7" x14ac:dyDescent="0.25">
      <c r="A377" s="17">
        <f t="shared" si="25"/>
        <v>81</v>
      </c>
      <c r="B377" t="str">
        <f ca="1">TEXT(DATE(YEAR(Invoer!$A$5),1,1)+INT((ROWS(B$2:B377)-1)/3),"jjjjmmdd")</f>
        <v>19430506</v>
      </c>
      <c r="C377" s="35" t="str">
        <f>INDEX(Data,2,2+MOD(ROWS(C$2:C377)-1,3))</f>
        <v>07.45</v>
      </c>
      <c r="D377" s="23" t="str">
        <f t="shared" ca="1" si="26"/>
        <v>—</v>
      </c>
      <c r="E377" s="40">
        <f t="shared" ca="1" si="27"/>
        <v>7</v>
      </c>
      <c r="F377" s="23" t="str">
        <f t="shared" ca="1" si="28"/>
        <v>—</v>
      </c>
      <c r="G377" s="40">
        <f t="shared" ca="1" si="29"/>
        <v>7</v>
      </c>
    </row>
    <row r="378" spans="1:7" x14ac:dyDescent="0.25">
      <c r="A378" s="17">
        <f t="shared" si="25"/>
        <v>81</v>
      </c>
      <c r="B378" t="str">
        <f ca="1">TEXT(DATE(YEAR(Invoer!$A$5),1,1)+INT((ROWS(B$2:B378)-1)/3),"jjjjmmdd")</f>
        <v>19430506</v>
      </c>
      <c r="C378" s="35" t="str">
        <f>INDEX(Data,2,2+MOD(ROWS(C$2:C378)-1,3))</f>
        <v>13.45</v>
      </c>
      <c r="D378" s="23" t="str">
        <f t="shared" ca="1" si="26"/>
        <v>—</v>
      </c>
      <c r="E378" s="40">
        <f t="shared" ca="1" si="27"/>
        <v>7</v>
      </c>
      <c r="F378" s="23" t="str">
        <f t="shared" ca="1" si="28"/>
        <v>—</v>
      </c>
      <c r="G378" s="40">
        <f t="shared" ca="1" si="29"/>
        <v>7</v>
      </c>
    </row>
    <row r="379" spans="1:7" x14ac:dyDescent="0.25">
      <c r="A379" s="17">
        <f t="shared" si="25"/>
        <v>81</v>
      </c>
      <c r="B379" t="str">
        <f ca="1">TEXT(DATE(YEAR(Invoer!$A$5),1,1)+INT((ROWS(B$2:B379)-1)/3),"jjjjmmdd")</f>
        <v>19430506</v>
      </c>
      <c r="C379" s="35" t="str">
        <f>INDEX(Data,2,2+MOD(ROWS(C$2:C379)-1,3))</f>
        <v>19.45</v>
      </c>
      <c r="D379" s="23" t="str">
        <f t="shared" ca="1" si="26"/>
        <v>—</v>
      </c>
      <c r="E379" s="40">
        <f t="shared" ca="1" si="27"/>
        <v>7</v>
      </c>
      <c r="F379" s="23" t="str">
        <f t="shared" ca="1" si="28"/>
        <v>—</v>
      </c>
      <c r="G379" s="40">
        <f t="shared" ca="1" si="29"/>
        <v>7</v>
      </c>
    </row>
    <row r="380" spans="1:7" x14ac:dyDescent="0.25">
      <c r="A380" s="17">
        <f t="shared" si="25"/>
        <v>81</v>
      </c>
      <c r="B380" t="str">
        <f ca="1">TEXT(DATE(YEAR(Invoer!$A$5),1,1)+INT((ROWS(B$2:B380)-1)/3),"jjjjmmdd")</f>
        <v>19430507</v>
      </c>
      <c r="C380" s="35" t="str">
        <f>INDEX(Data,2,2+MOD(ROWS(C$2:C380)-1,3))</f>
        <v>07.45</v>
      </c>
      <c r="D380" s="23" t="str">
        <f t="shared" ca="1" si="26"/>
        <v>—</v>
      </c>
      <c r="E380" s="40">
        <f t="shared" ca="1" si="27"/>
        <v>7</v>
      </c>
      <c r="F380" s="23" t="str">
        <f t="shared" ca="1" si="28"/>
        <v>—</v>
      </c>
      <c r="G380" s="40">
        <f t="shared" ca="1" si="29"/>
        <v>7</v>
      </c>
    </row>
    <row r="381" spans="1:7" x14ac:dyDescent="0.25">
      <c r="A381" s="17">
        <f t="shared" si="25"/>
        <v>81</v>
      </c>
      <c r="B381" t="str">
        <f ca="1">TEXT(DATE(YEAR(Invoer!$A$5),1,1)+INT((ROWS(B$2:B381)-1)/3),"jjjjmmdd")</f>
        <v>19430507</v>
      </c>
      <c r="C381" s="35" t="str">
        <f>INDEX(Data,2,2+MOD(ROWS(C$2:C381)-1,3))</f>
        <v>13.45</v>
      </c>
      <c r="D381" s="23" t="str">
        <f t="shared" ca="1" si="26"/>
        <v>—</v>
      </c>
      <c r="E381" s="40">
        <f t="shared" ca="1" si="27"/>
        <v>7</v>
      </c>
      <c r="F381" s="23" t="str">
        <f t="shared" ca="1" si="28"/>
        <v>—</v>
      </c>
      <c r="G381" s="40">
        <f t="shared" ca="1" si="29"/>
        <v>7</v>
      </c>
    </row>
    <row r="382" spans="1:7" x14ac:dyDescent="0.25">
      <c r="A382" s="17">
        <f t="shared" si="25"/>
        <v>81</v>
      </c>
      <c r="B382" t="str">
        <f ca="1">TEXT(DATE(YEAR(Invoer!$A$5),1,1)+INT((ROWS(B$2:B382)-1)/3),"jjjjmmdd")</f>
        <v>19430507</v>
      </c>
      <c r="C382" s="35" t="str">
        <f>INDEX(Data,2,2+MOD(ROWS(C$2:C382)-1,3))</f>
        <v>19.45</v>
      </c>
      <c r="D382" s="23" t="str">
        <f t="shared" ca="1" si="26"/>
        <v>—</v>
      </c>
      <c r="E382" s="40">
        <f t="shared" ca="1" si="27"/>
        <v>7</v>
      </c>
      <c r="F382" s="23" t="str">
        <f t="shared" ca="1" si="28"/>
        <v>—</v>
      </c>
      <c r="G382" s="40">
        <f t="shared" ca="1" si="29"/>
        <v>7</v>
      </c>
    </row>
    <row r="383" spans="1:7" x14ac:dyDescent="0.25">
      <c r="A383" s="17">
        <f t="shared" si="25"/>
        <v>81</v>
      </c>
      <c r="B383" t="str">
        <f ca="1">TEXT(DATE(YEAR(Invoer!$A$5),1,1)+INT((ROWS(B$2:B383)-1)/3),"jjjjmmdd")</f>
        <v>19430508</v>
      </c>
      <c r="C383" s="35" t="str">
        <f>INDEX(Data,2,2+MOD(ROWS(C$2:C383)-1,3))</f>
        <v>07.45</v>
      </c>
      <c r="D383" s="23" t="str">
        <f t="shared" ca="1" si="26"/>
        <v>—</v>
      </c>
      <c r="E383" s="40">
        <f t="shared" ca="1" si="27"/>
        <v>7</v>
      </c>
      <c r="F383" s="23" t="str">
        <f t="shared" ca="1" si="28"/>
        <v>—</v>
      </c>
      <c r="G383" s="40">
        <f t="shared" ca="1" si="29"/>
        <v>7</v>
      </c>
    </row>
    <row r="384" spans="1:7" x14ac:dyDescent="0.25">
      <c r="A384" s="17">
        <f t="shared" si="25"/>
        <v>81</v>
      </c>
      <c r="B384" t="str">
        <f ca="1">TEXT(DATE(YEAR(Invoer!$A$5),1,1)+INT((ROWS(B$2:B384)-1)/3),"jjjjmmdd")</f>
        <v>19430508</v>
      </c>
      <c r="C384" s="35" t="str">
        <f>INDEX(Data,2,2+MOD(ROWS(C$2:C384)-1,3))</f>
        <v>13.45</v>
      </c>
      <c r="D384" s="23" t="str">
        <f t="shared" ca="1" si="26"/>
        <v>—</v>
      </c>
      <c r="E384" s="40">
        <f t="shared" ca="1" si="27"/>
        <v>7</v>
      </c>
      <c r="F384" s="23" t="str">
        <f t="shared" ca="1" si="28"/>
        <v>—</v>
      </c>
      <c r="G384" s="40">
        <f t="shared" ca="1" si="29"/>
        <v>7</v>
      </c>
    </row>
    <row r="385" spans="1:7" x14ac:dyDescent="0.25">
      <c r="A385" s="17">
        <f t="shared" si="25"/>
        <v>81</v>
      </c>
      <c r="B385" t="str">
        <f ca="1">TEXT(DATE(YEAR(Invoer!$A$5),1,1)+INT((ROWS(B$2:B385)-1)/3),"jjjjmmdd")</f>
        <v>19430508</v>
      </c>
      <c r="C385" s="35" t="str">
        <f>INDEX(Data,2,2+MOD(ROWS(C$2:C385)-1,3))</f>
        <v>19.45</v>
      </c>
      <c r="D385" s="23" t="str">
        <f t="shared" ca="1" si="26"/>
        <v>—</v>
      </c>
      <c r="E385" s="40">
        <f t="shared" ca="1" si="27"/>
        <v>7</v>
      </c>
      <c r="F385" s="23" t="str">
        <f t="shared" ca="1" si="28"/>
        <v>—</v>
      </c>
      <c r="G385" s="40">
        <f t="shared" ca="1" si="29"/>
        <v>7</v>
      </c>
    </row>
    <row r="386" spans="1:7" x14ac:dyDescent="0.25">
      <c r="A386" s="17">
        <f t="shared" ref="A386:A449" si="30">INDEX(Stations,2,1)</f>
        <v>81</v>
      </c>
      <c r="B386" t="str">
        <f ca="1">TEXT(DATE(YEAR(Invoer!$A$5),1,1)+INT((ROWS(B$2:B386)-1)/3),"jjjjmmdd")</f>
        <v>19430509</v>
      </c>
      <c r="C386" s="35" t="str">
        <f>INDEX(Data,2,2+MOD(ROWS(C$2:C386)-1,3))</f>
        <v>07.45</v>
      </c>
      <c r="D386" s="23" t="str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—</v>
      </c>
      <c r="E386" s="40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7</v>
      </c>
      <c r="F386" s="23" t="str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)</f>
        <v>—</v>
      </c>
      <c r="G386" s="40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7</v>
      </c>
    </row>
    <row r="387" spans="1:7" x14ac:dyDescent="0.25">
      <c r="A387" s="17">
        <f t="shared" si="30"/>
        <v>81</v>
      </c>
      <c r="B387" t="str">
        <f ca="1">TEXT(DATE(YEAR(Invoer!$A$5),1,1)+INT((ROWS(B$2:B387)-1)/3),"jjjjmmdd")</f>
        <v>19430509</v>
      </c>
      <c r="C387" s="35" t="str">
        <f>INDEX(Data,2,2+MOD(ROWS(C$2:C387)-1,3))</f>
        <v>13.45</v>
      </c>
      <c r="D387" s="23" t="str">
        <f t="shared" ca="1" si="31"/>
        <v>—</v>
      </c>
      <c r="E387" s="40">
        <f t="shared" ca="1" si="32"/>
        <v>7</v>
      </c>
      <c r="F387" s="23" t="str">
        <f t="shared" ca="1" si="33"/>
        <v>—</v>
      </c>
      <c r="G387" s="40">
        <f t="shared" ca="1" si="34"/>
        <v>7</v>
      </c>
    </row>
    <row r="388" spans="1:7" x14ac:dyDescent="0.25">
      <c r="A388" s="17">
        <f t="shared" si="30"/>
        <v>81</v>
      </c>
      <c r="B388" t="str">
        <f ca="1">TEXT(DATE(YEAR(Invoer!$A$5),1,1)+INT((ROWS(B$2:B388)-1)/3),"jjjjmmdd")</f>
        <v>19430509</v>
      </c>
      <c r="C388" s="35" t="str">
        <f>INDEX(Data,2,2+MOD(ROWS(C$2:C388)-1,3))</f>
        <v>19.45</v>
      </c>
      <c r="D388" s="23" t="str">
        <f t="shared" ca="1" si="31"/>
        <v>—</v>
      </c>
      <c r="E388" s="40">
        <f t="shared" ca="1" si="32"/>
        <v>7</v>
      </c>
      <c r="F388" s="23" t="str">
        <f t="shared" ca="1" si="33"/>
        <v>—</v>
      </c>
      <c r="G388" s="40">
        <f t="shared" ca="1" si="34"/>
        <v>7</v>
      </c>
    </row>
    <row r="389" spans="1:7" x14ac:dyDescent="0.25">
      <c r="A389" s="17">
        <f t="shared" si="30"/>
        <v>81</v>
      </c>
      <c r="B389" t="str">
        <f ca="1">TEXT(DATE(YEAR(Invoer!$A$5),1,1)+INT((ROWS(B$2:B389)-1)/3),"jjjjmmdd")</f>
        <v>19430510</v>
      </c>
      <c r="C389" s="35" t="str">
        <f>INDEX(Data,2,2+MOD(ROWS(C$2:C389)-1,3))</f>
        <v>07.45</v>
      </c>
      <c r="D389" s="23" t="str">
        <f t="shared" ca="1" si="31"/>
        <v>—</v>
      </c>
      <c r="E389" s="40">
        <f t="shared" ca="1" si="32"/>
        <v>7</v>
      </c>
      <c r="F389" s="23" t="str">
        <f t="shared" ca="1" si="33"/>
        <v>—</v>
      </c>
      <c r="G389" s="40">
        <f t="shared" ca="1" si="34"/>
        <v>7</v>
      </c>
    </row>
    <row r="390" spans="1:7" x14ac:dyDescent="0.25">
      <c r="A390" s="17">
        <f t="shared" si="30"/>
        <v>81</v>
      </c>
      <c r="B390" t="str">
        <f ca="1">TEXT(DATE(YEAR(Invoer!$A$5),1,1)+INT((ROWS(B$2:B390)-1)/3),"jjjjmmdd")</f>
        <v>19430510</v>
      </c>
      <c r="C390" s="35" t="str">
        <f>INDEX(Data,2,2+MOD(ROWS(C$2:C390)-1,3))</f>
        <v>13.45</v>
      </c>
      <c r="D390" s="23" t="str">
        <f t="shared" ca="1" si="31"/>
        <v>—</v>
      </c>
      <c r="E390" s="40">
        <f t="shared" ca="1" si="32"/>
        <v>7</v>
      </c>
      <c r="F390" s="23" t="str">
        <f t="shared" ca="1" si="33"/>
        <v>—</v>
      </c>
      <c r="G390" s="40">
        <f t="shared" ca="1" si="34"/>
        <v>7</v>
      </c>
    </row>
    <row r="391" spans="1:7" x14ac:dyDescent="0.25">
      <c r="A391" s="17">
        <f t="shared" si="30"/>
        <v>81</v>
      </c>
      <c r="B391" t="str">
        <f ca="1">TEXT(DATE(YEAR(Invoer!$A$5),1,1)+INT((ROWS(B$2:B391)-1)/3),"jjjjmmdd")</f>
        <v>19430510</v>
      </c>
      <c r="C391" s="35" t="str">
        <f>INDEX(Data,2,2+MOD(ROWS(C$2:C391)-1,3))</f>
        <v>19.45</v>
      </c>
      <c r="D391" s="23" t="str">
        <f t="shared" ca="1" si="31"/>
        <v>—</v>
      </c>
      <c r="E391" s="40">
        <f t="shared" ca="1" si="32"/>
        <v>7</v>
      </c>
      <c r="F391" s="23" t="str">
        <f t="shared" ca="1" si="33"/>
        <v>—</v>
      </c>
      <c r="G391" s="40">
        <f t="shared" ca="1" si="34"/>
        <v>7</v>
      </c>
    </row>
    <row r="392" spans="1:7" x14ac:dyDescent="0.25">
      <c r="A392" s="17">
        <f t="shared" si="30"/>
        <v>81</v>
      </c>
      <c r="B392" t="str">
        <f ca="1">TEXT(DATE(YEAR(Invoer!$A$5),1,1)+INT((ROWS(B$2:B392)-1)/3),"jjjjmmdd")</f>
        <v>19430511</v>
      </c>
      <c r="C392" s="35" t="str">
        <f>INDEX(Data,2,2+MOD(ROWS(C$2:C392)-1,3))</f>
        <v>07.45</v>
      </c>
      <c r="D392" s="23" t="str">
        <f t="shared" ca="1" si="31"/>
        <v>—</v>
      </c>
      <c r="E392" s="40">
        <f t="shared" ca="1" si="32"/>
        <v>7</v>
      </c>
      <c r="F392" s="23" t="str">
        <f t="shared" ca="1" si="33"/>
        <v>—</v>
      </c>
      <c r="G392" s="40">
        <f t="shared" ca="1" si="34"/>
        <v>7</v>
      </c>
    </row>
    <row r="393" spans="1:7" x14ac:dyDescent="0.25">
      <c r="A393" s="17">
        <f t="shared" si="30"/>
        <v>81</v>
      </c>
      <c r="B393" t="str">
        <f ca="1">TEXT(DATE(YEAR(Invoer!$A$5),1,1)+INT((ROWS(B$2:B393)-1)/3),"jjjjmmdd")</f>
        <v>19430511</v>
      </c>
      <c r="C393" s="35" t="str">
        <f>INDEX(Data,2,2+MOD(ROWS(C$2:C393)-1,3))</f>
        <v>13.45</v>
      </c>
      <c r="D393" s="23" t="str">
        <f t="shared" ca="1" si="31"/>
        <v>—</v>
      </c>
      <c r="E393" s="40">
        <f t="shared" ca="1" si="32"/>
        <v>7</v>
      </c>
      <c r="F393" s="23" t="str">
        <f t="shared" ca="1" si="33"/>
        <v>—</v>
      </c>
      <c r="G393" s="40">
        <f t="shared" ca="1" si="34"/>
        <v>7</v>
      </c>
    </row>
    <row r="394" spans="1:7" x14ac:dyDescent="0.25">
      <c r="A394" s="17">
        <f t="shared" si="30"/>
        <v>81</v>
      </c>
      <c r="B394" t="str">
        <f ca="1">TEXT(DATE(YEAR(Invoer!$A$5),1,1)+INT((ROWS(B$2:B394)-1)/3),"jjjjmmdd")</f>
        <v>19430511</v>
      </c>
      <c r="C394" s="35" t="str">
        <f>INDEX(Data,2,2+MOD(ROWS(C$2:C394)-1,3))</f>
        <v>19.45</v>
      </c>
      <c r="D394" s="23" t="str">
        <f t="shared" ca="1" si="31"/>
        <v>—</v>
      </c>
      <c r="E394" s="40">
        <f t="shared" ca="1" si="32"/>
        <v>7</v>
      </c>
      <c r="F394" s="23" t="str">
        <f t="shared" ca="1" si="33"/>
        <v>—</v>
      </c>
      <c r="G394" s="40">
        <f t="shared" ca="1" si="34"/>
        <v>7</v>
      </c>
    </row>
    <row r="395" spans="1:7" x14ac:dyDescent="0.25">
      <c r="A395" s="17">
        <f t="shared" si="30"/>
        <v>81</v>
      </c>
      <c r="B395" t="str">
        <f ca="1">TEXT(DATE(YEAR(Invoer!$A$5),1,1)+INT((ROWS(B$2:B395)-1)/3),"jjjjmmdd")</f>
        <v>19430512</v>
      </c>
      <c r="C395" s="35" t="str">
        <f>INDEX(Data,2,2+MOD(ROWS(C$2:C395)-1,3))</f>
        <v>07.45</v>
      </c>
      <c r="D395" s="23" t="str">
        <f t="shared" ca="1" si="31"/>
        <v>—</v>
      </c>
      <c r="E395" s="40">
        <f t="shared" ca="1" si="32"/>
        <v>7</v>
      </c>
      <c r="F395" s="23" t="str">
        <f t="shared" ca="1" si="33"/>
        <v>—</v>
      </c>
      <c r="G395" s="40">
        <f t="shared" ca="1" si="34"/>
        <v>7</v>
      </c>
    </row>
    <row r="396" spans="1:7" x14ac:dyDescent="0.25">
      <c r="A396" s="17">
        <f t="shared" si="30"/>
        <v>81</v>
      </c>
      <c r="B396" t="str">
        <f ca="1">TEXT(DATE(YEAR(Invoer!$A$5),1,1)+INT((ROWS(B$2:B396)-1)/3),"jjjjmmdd")</f>
        <v>19430512</v>
      </c>
      <c r="C396" s="35" t="str">
        <f>INDEX(Data,2,2+MOD(ROWS(C$2:C396)-1,3))</f>
        <v>13.45</v>
      </c>
      <c r="D396" s="23" t="str">
        <f t="shared" ca="1" si="31"/>
        <v>—</v>
      </c>
      <c r="E396" s="40">
        <f t="shared" ca="1" si="32"/>
        <v>7</v>
      </c>
      <c r="F396" s="23" t="str">
        <f t="shared" ca="1" si="33"/>
        <v>—</v>
      </c>
      <c r="G396" s="40">
        <f t="shared" ca="1" si="34"/>
        <v>7</v>
      </c>
    </row>
    <row r="397" spans="1:7" x14ac:dyDescent="0.25">
      <c r="A397" s="17">
        <f t="shared" si="30"/>
        <v>81</v>
      </c>
      <c r="B397" t="str">
        <f ca="1">TEXT(DATE(YEAR(Invoer!$A$5),1,1)+INT((ROWS(B$2:B397)-1)/3),"jjjjmmdd")</f>
        <v>19430512</v>
      </c>
      <c r="C397" s="35" t="str">
        <f>INDEX(Data,2,2+MOD(ROWS(C$2:C397)-1,3))</f>
        <v>19.45</v>
      </c>
      <c r="D397" s="23" t="str">
        <f t="shared" ca="1" si="31"/>
        <v>—</v>
      </c>
      <c r="E397" s="40">
        <f t="shared" ca="1" si="32"/>
        <v>7</v>
      </c>
      <c r="F397" s="23" t="str">
        <f t="shared" ca="1" si="33"/>
        <v>—</v>
      </c>
      <c r="G397" s="40">
        <f t="shared" ca="1" si="34"/>
        <v>7</v>
      </c>
    </row>
    <row r="398" spans="1:7" x14ac:dyDescent="0.25">
      <c r="A398" s="17">
        <f t="shared" si="30"/>
        <v>81</v>
      </c>
      <c r="B398" t="str">
        <f ca="1">TEXT(DATE(YEAR(Invoer!$A$5),1,1)+INT((ROWS(B$2:B398)-1)/3),"jjjjmmdd")</f>
        <v>19430513</v>
      </c>
      <c r="C398" s="35" t="str">
        <f>INDEX(Data,2,2+MOD(ROWS(C$2:C398)-1,3))</f>
        <v>07.45</v>
      </c>
      <c r="D398" s="23" t="str">
        <f t="shared" ca="1" si="31"/>
        <v>—</v>
      </c>
      <c r="E398" s="40">
        <f t="shared" ca="1" si="32"/>
        <v>7</v>
      </c>
      <c r="F398" s="23" t="str">
        <f t="shared" ca="1" si="33"/>
        <v>—</v>
      </c>
      <c r="G398" s="40">
        <f t="shared" ca="1" si="34"/>
        <v>7</v>
      </c>
    </row>
    <row r="399" spans="1:7" x14ac:dyDescent="0.25">
      <c r="A399" s="17">
        <f t="shared" si="30"/>
        <v>81</v>
      </c>
      <c r="B399" t="str">
        <f ca="1">TEXT(DATE(YEAR(Invoer!$A$5),1,1)+INT((ROWS(B$2:B399)-1)/3),"jjjjmmdd")</f>
        <v>19430513</v>
      </c>
      <c r="C399" s="35" t="str">
        <f>INDEX(Data,2,2+MOD(ROWS(C$2:C399)-1,3))</f>
        <v>13.45</v>
      </c>
      <c r="D399" s="23" t="str">
        <f t="shared" ca="1" si="31"/>
        <v>—</v>
      </c>
      <c r="E399" s="40">
        <f t="shared" ca="1" si="32"/>
        <v>7</v>
      </c>
      <c r="F399" s="23" t="str">
        <f t="shared" ca="1" si="33"/>
        <v>—</v>
      </c>
      <c r="G399" s="40">
        <f t="shared" ca="1" si="34"/>
        <v>7</v>
      </c>
    </row>
    <row r="400" spans="1:7" x14ac:dyDescent="0.25">
      <c r="A400" s="17">
        <f t="shared" si="30"/>
        <v>81</v>
      </c>
      <c r="B400" t="str">
        <f ca="1">TEXT(DATE(YEAR(Invoer!$A$5),1,1)+INT((ROWS(B$2:B400)-1)/3),"jjjjmmdd")</f>
        <v>19430513</v>
      </c>
      <c r="C400" s="35" t="str">
        <f>INDEX(Data,2,2+MOD(ROWS(C$2:C400)-1,3))</f>
        <v>19.45</v>
      </c>
      <c r="D400" s="23" t="str">
        <f t="shared" ca="1" si="31"/>
        <v>—</v>
      </c>
      <c r="E400" s="40">
        <f t="shared" ca="1" si="32"/>
        <v>7</v>
      </c>
      <c r="F400" s="23" t="str">
        <f t="shared" ca="1" si="33"/>
        <v>—</v>
      </c>
      <c r="G400" s="40">
        <f t="shared" ca="1" si="34"/>
        <v>7</v>
      </c>
    </row>
    <row r="401" spans="1:7" x14ac:dyDescent="0.25">
      <c r="A401" s="17">
        <f t="shared" si="30"/>
        <v>81</v>
      </c>
      <c r="B401" t="str">
        <f ca="1">TEXT(DATE(YEAR(Invoer!$A$5),1,1)+INT((ROWS(B$2:B401)-1)/3),"jjjjmmdd")</f>
        <v>19430514</v>
      </c>
      <c r="C401" s="35" t="str">
        <f>INDEX(Data,2,2+MOD(ROWS(C$2:C401)-1,3))</f>
        <v>07.45</v>
      </c>
      <c r="D401" s="23" t="str">
        <f t="shared" ca="1" si="31"/>
        <v>—</v>
      </c>
      <c r="E401" s="40">
        <f t="shared" ca="1" si="32"/>
        <v>7</v>
      </c>
      <c r="F401" s="23" t="str">
        <f t="shared" ca="1" si="33"/>
        <v>—</v>
      </c>
      <c r="G401" s="40">
        <f t="shared" ca="1" si="34"/>
        <v>7</v>
      </c>
    </row>
    <row r="402" spans="1:7" x14ac:dyDescent="0.25">
      <c r="A402" s="17">
        <f t="shared" si="30"/>
        <v>81</v>
      </c>
      <c r="B402" t="str">
        <f ca="1">TEXT(DATE(YEAR(Invoer!$A$5),1,1)+INT((ROWS(B$2:B402)-1)/3),"jjjjmmdd")</f>
        <v>19430514</v>
      </c>
      <c r="C402" s="35" t="str">
        <f>INDEX(Data,2,2+MOD(ROWS(C$2:C402)-1,3))</f>
        <v>13.45</v>
      </c>
      <c r="D402" s="23" t="str">
        <f t="shared" ca="1" si="31"/>
        <v>—</v>
      </c>
      <c r="E402" s="40">
        <f t="shared" ca="1" si="32"/>
        <v>7</v>
      </c>
      <c r="F402" s="23" t="str">
        <f t="shared" ca="1" si="33"/>
        <v>—</v>
      </c>
      <c r="G402" s="40">
        <f t="shared" ca="1" si="34"/>
        <v>7</v>
      </c>
    </row>
    <row r="403" spans="1:7" x14ac:dyDescent="0.25">
      <c r="A403" s="17">
        <f t="shared" si="30"/>
        <v>81</v>
      </c>
      <c r="B403" t="str">
        <f ca="1">TEXT(DATE(YEAR(Invoer!$A$5),1,1)+INT((ROWS(B$2:B403)-1)/3),"jjjjmmdd")</f>
        <v>19430514</v>
      </c>
      <c r="C403" s="35" t="str">
        <f>INDEX(Data,2,2+MOD(ROWS(C$2:C403)-1,3))</f>
        <v>19.45</v>
      </c>
      <c r="D403" s="23" t="str">
        <f t="shared" ca="1" si="31"/>
        <v>—</v>
      </c>
      <c r="E403" s="40">
        <f t="shared" ca="1" si="32"/>
        <v>7</v>
      </c>
      <c r="F403" s="23" t="str">
        <f t="shared" ca="1" si="33"/>
        <v>—</v>
      </c>
      <c r="G403" s="40">
        <f t="shared" ca="1" si="34"/>
        <v>7</v>
      </c>
    </row>
    <row r="404" spans="1:7" x14ac:dyDescent="0.25">
      <c r="A404" s="17">
        <f t="shared" si="30"/>
        <v>81</v>
      </c>
      <c r="B404" t="str">
        <f ca="1">TEXT(DATE(YEAR(Invoer!$A$5),1,1)+INT((ROWS(B$2:B404)-1)/3),"jjjjmmdd")</f>
        <v>19430515</v>
      </c>
      <c r="C404" s="35" t="str">
        <f>INDEX(Data,2,2+MOD(ROWS(C$2:C404)-1,3))</f>
        <v>07.45</v>
      </c>
      <c r="D404" s="23" t="str">
        <f t="shared" ca="1" si="31"/>
        <v>—</v>
      </c>
      <c r="E404" s="40">
        <f t="shared" ca="1" si="32"/>
        <v>7</v>
      </c>
      <c r="F404" s="23" t="str">
        <f t="shared" ca="1" si="33"/>
        <v>—</v>
      </c>
      <c r="G404" s="40">
        <f t="shared" ca="1" si="34"/>
        <v>7</v>
      </c>
    </row>
    <row r="405" spans="1:7" x14ac:dyDescent="0.25">
      <c r="A405" s="17">
        <f t="shared" si="30"/>
        <v>81</v>
      </c>
      <c r="B405" t="str">
        <f ca="1">TEXT(DATE(YEAR(Invoer!$A$5),1,1)+INT((ROWS(B$2:B405)-1)/3),"jjjjmmdd")</f>
        <v>19430515</v>
      </c>
      <c r="C405" s="35" t="str">
        <f>INDEX(Data,2,2+MOD(ROWS(C$2:C405)-1,3))</f>
        <v>13.45</v>
      </c>
      <c r="D405" s="23" t="str">
        <f t="shared" ca="1" si="31"/>
        <v>—</v>
      </c>
      <c r="E405" s="40">
        <f t="shared" ca="1" si="32"/>
        <v>7</v>
      </c>
      <c r="F405" s="23" t="str">
        <f t="shared" ca="1" si="33"/>
        <v>—</v>
      </c>
      <c r="G405" s="40">
        <f t="shared" ca="1" si="34"/>
        <v>7</v>
      </c>
    </row>
    <row r="406" spans="1:7" x14ac:dyDescent="0.25">
      <c r="A406" s="17">
        <f t="shared" si="30"/>
        <v>81</v>
      </c>
      <c r="B406" t="str">
        <f ca="1">TEXT(DATE(YEAR(Invoer!$A$5),1,1)+INT((ROWS(B$2:B406)-1)/3),"jjjjmmdd")</f>
        <v>19430515</v>
      </c>
      <c r="C406" s="35" t="str">
        <f>INDEX(Data,2,2+MOD(ROWS(C$2:C406)-1,3))</f>
        <v>19.45</v>
      </c>
      <c r="D406" s="23" t="str">
        <f t="shared" ca="1" si="31"/>
        <v>—</v>
      </c>
      <c r="E406" s="40">
        <f t="shared" ca="1" si="32"/>
        <v>7</v>
      </c>
      <c r="F406" s="23" t="str">
        <f t="shared" ca="1" si="33"/>
        <v>—</v>
      </c>
      <c r="G406" s="40">
        <f t="shared" ca="1" si="34"/>
        <v>7</v>
      </c>
    </row>
    <row r="407" spans="1:7" x14ac:dyDescent="0.25">
      <c r="A407" s="17">
        <f t="shared" si="30"/>
        <v>81</v>
      </c>
      <c r="B407" t="str">
        <f ca="1">TEXT(DATE(YEAR(Invoer!$A$5),1,1)+INT((ROWS(B$2:B407)-1)/3),"jjjjmmdd")</f>
        <v>19430516</v>
      </c>
      <c r="C407" s="35" t="str">
        <f>INDEX(Data,2,2+MOD(ROWS(C$2:C407)-1,3))</f>
        <v>07.45</v>
      </c>
      <c r="D407" s="23" t="str">
        <f t="shared" ca="1" si="31"/>
        <v>—</v>
      </c>
      <c r="E407" s="40">
        <f t="shared" ca="1" si="32"/>
        <v>7</v>
      </c>
      <c r="F407" s="23" t="str">
        <f t="shared" ca="1" si="33"/>
        <v>—</v>
      </c>
      <c r="G407" s="40">
        <f t="shared" ca="1" si="34"/>
        <v>7</v>
      </c>
    </row>
    <row r="408" spans="1:7" x14ac:dyDescent="0.25">
      <c r="A408" s="17">
        <f t="shared" si="30"/>
        <v>81</v>
      </c>
      <c r="B408" t="str">
        <f ca="1">TEXT(DATE(YEAR(Invoer!$A$5),1,1)+INT((ROWS(B$2:B408)-1)/3),"jjjjmmdd")</f>
        <v>19430516</v>
      </c>
      <c r="C408" s="35" t="str">
        <f>INDEX(Data,2,2+MOD(ROWS(C$2:C408)-1,3))</f>
        <v>13.45</v>
      </c>
      <c r="D408" s="23" t="str">
        <f t="shared" ca="1" si="31"/>
        <v>—</v>
      </c>
      <c r="E408" s="40">
        <f t="shared" ca="1" si="32"/>
        <v>7</v>
      </c>
      <c r="F408" s="23" t="str">
        <f t="shared" ca="1" si="33"/>
        <v>—</v>
      </c>
      <c r="G408" s="40">
        <f t="shared" ca="1" si="34"/>
        <v>7</v>
      </c>
    </row>
    <row r="409" spans="1:7" x14ac:dyDescent="0.25">
      <c r="A409" s="17">
        <f t="shared" si="30"/>
        <v>81</v>
      </c>
      <c r="B409" t="str">
        <f ca="1">TEXT(DATE(YEAR(Invoer!$A$5),1,1)+INT((ROWS(B$2:B409)-1)/3),"jjjjmmdd")</f>
        <v>19430516</v>
      </c>
      <c r="C409" s="35" t="str">
        <f>INDEX(Data,2,2+MOD(ROWS(C$2:C409)-1,3))</f>
        <v>19.45</v>
      </c>
      <c r="D409" s="23" t="str">
        <f t="shared" ca="1" si="31"/>
        <v>—</v>
      </c>
      <c r="E409" s="40">
        <f t="shared" ca="1" si="32"/>
        <v>7</v>
      </c>
      <c r="F409" s="23" t="str">
        <f t="shared" ca="1" si="33"/>
        <v>—</v>
      </c>
      <c r="G409" s="40">
        <f t="shared" ca="1" si="34"/>
        <v>7</v>
      </c>
    </row>
    <row r="410" spans="1:7" x14ac:dyDescent="0.25">
      <c r="A410" s="17">
        <f t="shared" si="30"/>
        <v>81</v>
      </c>
      <c r="B410" t="str">
        <f ca="1">TEXT(DATE(YEAR(Invoer!$A$5),1,1)+INT((ROWS(B$2:B410)-1)/3),"jjjjmmdd")</f>
        <v>19430517</v>
      </c>
      <c r="C410" s="35" t="str">
        <f>INDEX(Data,2,2+MOD(ROWS(C$2:C410)-1,3))</f>
        <v>07.45</v>
      </c>
      <c r="D410" s="23" t="str">
        <f t="shared" ca="1" si="31"/>
        <v>—</v>
      </c>
      <c r="E410" s="40">
        <f t="shared" ca="1" si="32"/>
        <v>7</v>
      </c>
      <c r="F410" s="23" t="str">
        <f t="shared" ca="1" si="33"/>
        <v>—</v>
      </c>
      <c r="G410" s="40">
        <f t="shared" ca="1" si="34"/>
        <v>7</v>
      </c>
    </row>
    <row r="411" spans="1:7" x14ac:dyDescent="0.25">
      <c r="A411" s="17">
        <f t="shared" si="30"/>
        <v>81</v>
      </c>
      <c r="B411" t="str">
        <f ca="1">TEXT(DATE(YEAR(Invoer!$A$5),1,1)+INT((ROWS(B$2:B411)-1)/3),"jjjjmmdd")</f>
        <v>19430517</v>
      </c>
      <c r="C411" s="35" t="str">
        <f>INDEX(Data,2,2+MOD(ROWS(C$2:C411)-1,3))</f>
        <v>13.45</v>
      </c>
      <c r="D411" s="23" t="str">
        <f t="shared" ca="1" si="31"/>
        <v>—</v>
      </c>
      <c r="E411" s="40">
        <f t="shared" ca="1" si="32"/>
        <v>7</v>
      </c>
      <c r="F411" s="23" t="str">
        <f t="shared" ca="1" si="33"/>
        <v>—</v>
      </c>
      <c r="G411" s="40">
        <f t="shared" ca="1" si="34"/>
        <v>7</v>
      </c>
    </row>
    <row r="412" spans="1:7" x14ac:dyDescent="0.25">
      <c r="A412" s="17">
        <f t="shared" si="30"/>
        <v>81</v>
      </c>
      <c r="B412" t="str">
        <f ca="1">TEXT(DATE(YEAR(Invoer!$A$5),1,1)+INT((ROWS(B$2:B412)-1)/3),"jjjjmmdd")</f>
        <v>19430517</v>
      </c>
      <c r="C412" s="35" t="str">
        <f>INDEX(Data,2,2+MOD(ROWS(C$2:C412)-1,3))</f>
        <v>19.45</v>
      </c>
      <c r="D412" s="23" t="str">
        <f t="shared" ca="1" si="31"/>
        <v>—</v>
      </c>
      <c r="E412" s="40">
        <f t="shared" ca="1" si="32"/>
        <v>7</v>
      </c>
      <c r="F412" s="23" t="str">
        <f t="shared" ca="1" si="33"/>
        <v>—</v>
      </c>
      <c r="G412" s="40">
        <f t="shared" ca="1" si="34"/>
        <v>7</v>
      </c>
    </row>
    <row r="413" spans="1:7" x14ac:dyDescent="0.25">
      <c r="A413" s="17">
        <f t="shared" si="30"/>
        <v>81</v>
      </c>
      <c r="B413" t="str">
        <f ca="1">TEXT(DATE(YEAR(Invoer!$A$5),1,1)+INT((ROWS(B$2:B413)-1)/3),"jjjjmmdd")</f>
        <v>19430518</v>
      </c>
      <c r="C413" s="35" t="str">
        <f>INDEX(Data,2,2+MOD(ROWS(C$2:C413)-1,3))</f>
        <v>07.45</v>
      </c>
      <c r="D413" s="23" t="str">
        <f t="shared" ca="1" si="31"/>
        <v>—</v>
      </c>
      <c r="E413" s="40">
        <f t="shared" ca="1" si="32"/>
        <v>7</v>
      </c>
      <c r="F413" s="23" t="str">
        <f t="shared" ca="1" si="33"/>
        <v>—</v>
      </c>
      <c r="G413" s="40">
        <f t="shared" ca="1" si="34"/>
        <v>7</v>
      </c>
    </row>
    <row r="414" spans="1:7" x14ac:dyDescent="0.25">
      <c r="A414" s="17">
        <f t="shared" si="30"/>
        <v>81</v>
      </c>
      <c r="B414" t="str">
        <f ca="1">TEXT(DATE(YEAR(Invoer!$A$5),1,1)+INT((ROWS(B$2:B414)-1)/3),"jjjjmmdd")</f>
        <v>19430518</v>
      </c>
      <c r="C414" s="35" t="str">
        <f>INDEX(Data,2,2+MOD(ROWS(C$2:C414)-1,3))</f>
        <v>13.45</v>
      </c>
      <c r="D414" s="23" t="str">
        <f t="shared" ca="1" si="31"/>
        <v>—</v>
      </c>
      <c r="E414" s="40">
        <f t="shared" ca="1" si="32"/>
        <v>7</v>
      </c>
      <c r="F414" s="23" t="str">
        <f t="shared" ca="1" si="33"/>
        <v>—</v>
      </c>
      <c r="G414" s="40">
        <f t="shared" ca="1" si="34"/>
        <v>7</v>
      </c>
    </row>
    <row r="415" spans="1:7" x14ac:dyDescent="0.25">
      <c r="A415" s="17">
        <f t="shared" si="30"/>
        <v>81</v>
      </c>
      <c r="B415" t="str">
        <f ca="1">TEXT(DATE(YEAR(Invoer!$A$5),1,1)+INT((ROWS(B$2:B415)-1)/3),"jjjjmmdd")</f>
        <v>19430518</v>
      </c>
      <c r="C415" s="35" t="str">
        <f>INDEX(Data,2,2+MOD(ROWS(C$2:C415)-1,3))</f>
        <v>19.45</v>
      </c>
      <c r="D415" s="23" t="str">
        <f t="shared" ca="1" si="31"/>
        <v>—</v>
      </c>
      <c r="E415" s="40">
        <f t="shared" ca="1" si="32"/>
        <v>7</v>
      </c>
      <c r="F415" s="23" t="str">
        <f t="shared" ca="1" si="33"/>
        <v>—</v>
      </c>
      <c r="G415" s="40">
        <f t="shared" ca="1" si="34"/>
        <v>7</v>
      </c>
    </row>
    <row r="416" spans="1:7" x14ac:dyDescent="0.25">
      <c r="A416" s="17">
        <f t="shared" si="30"/>
        <v>81</v>
      </c>
      <c r="B416" t="str">
        <f ca="1">TEXT(DATE(YEAR(Invoer!$A$5),1,1)+INT((ROWS(B$2:B416)-1)/3),"jjjjmmdd")</f>
        <v>19430519</v>
      </c>
      <c r="C416" s="35" t="str">
        <f>INDEX(Data,2,2+MOD(ROWS(C$2:C416)-1,3))</f>
        <v>07.45</v>
      </c>
      <c r="D416" s="23" t="str">
        <f t="shared" ca="1" si="31"/>
        <v>—</v>
      </c>
      <c r="E416" s="40">
        <f t="shared" ca="1" si="32"/>
        <v>7</v>
      </c>
      <c r="F416" s="23" t="str">
        <f t="shared" ca="1" si="33"/>
        <v>—</v>
      </c>
      <c r="G416" s="40">
        <f t="shared" ca="1" si="34"/>
        <v>7</v>
      </c>
    </row>
    <row r="417" spans="1:7" x14ac:dyDescent="0.25">
      <c r="A417" s="17">
        <f t="shared" si="30"/>
        <v>81</v>
      </c>
      <c r="B417" t="str">
        <f ca="1">TEXT(DATE(YEAR(Invoer!$A$5),1,1)+INT((ROWS(B$2:B417)-1)/3),"jjjjmmdd")</f>
        <v>19430519</v>
      </c>
      <c r="C417" s="35" t="str">
        <f>INDEX(Data,2,2+MOD(ROWS(C$2:C417)-1,3))</f>
        <v>13.45</v>
      </c>
      <c r="D417" s="23" t="str">
        <f t="shared" ca="1" si="31"/>
        <v>—</v>
      </c>
      <c r="E417" s="40">
        <f t="shared" ca="1" si="32"/>
        <v>7</v>
      </c>
      <c r="F417" s="23" t="str">
        <f t="shared" ca="1" si="33"/>
        <v>—</v>
      </c>
      <c r="G417" s="40">
        <f t="shared" ca="1" si="34"/>
        <v>7</v>
      </c>
    </row>
    <row r="418" spans="1:7" x14ac:dyDescent="0.25">
      <c r="A418" s="17">
        <f t="shared" si="30"/>
        <v>81</v>
      </c>
      <c r="B418" t="str">
        <f ca="1">TEXT(DATE(YEAR(Invoer!$A$5),1,1)+INT((ROWS(B$2:B418)-1)/3),"jjjjmmdd")</f>
        <v>19430519</v>
      </c>
      <c r="C418" s="35" t="str">
        <f>INDEX(Data,2,2+MOD(ROWS(C$2:C418)-1,3))</f>
        <v>19.45</v>
      </c>
      <c r="D418" s="23" t="str">
        <f t="shared" ca="1" si="31"/>
        <v>—</v>
      </c>
      <c r="E418" s="40">
        <f t="shared" ca="1" si="32"/>
        <v>7</v>
      </c>
      <c r="F418" s="23" t="str">
        <f t="shared" ca="1" si="33"/>
        <v>—</v>
      </c>
      <c r="G418" s="40">
        <f t="shared" ca="1" si="34"/>
        <v>7</v>
      </c>
    </row>
    <row r="419" spans="1:7" x14ac:dyDescent="0.25">
      <c r="A419" s="17">
        <f t="shared" si="30"/>
        <v>81</v>
      </c>
      <c r="B419" t="str">
        <f ca="1">TEXT(DATE(YEAR(Invoer!$A$5),1,1)+INT((ROWS(B$2:B419)-1)/3),"jjjjmmdd")</f>
        <v>19430520</v>
      </c>
      <c r="C419" s="35" t="str">
        <f>INDEX(Data,2,2+MOD(ROWS(C$2:C419)-1,3))</f>
        <v>07.45</v>
      </c>
      <c r="D419" s="23" t="str">
        <f t="shared" ca="1" si="31"/>
        <v>—</v>
      </c>
      <c r="E419" s="40">
        <f t="shared" ca="1" si="32"/>
        <v>7</v>
      </c>
      <c r="F419" s="23" t="str">
        <f t="shared" ca="1" si="33"/>
        <v>—</v>
      </c>
      <c r="G419" s="40">
        <f t="shared" ca="1" si="34"/>
        <v>7</v>
      </c>
    </row>
    <row r="420" spans="1:7" x14ac:dyDescent="0.25">
      <c r="A420" s="17">
        <f t="shared" si="30"/>
        <v>81</v>
      </c>
      <c r="B420" t="str">
        <f ca="1">TEXT(DATE(YEAR(Invoer!$A$5),1,1)+INT((ROWS(B$2:B420)-1)/3),"jjjjmmdd")</f>
        <v>19430520</v>
      </c>
      <c r="C420" s="35" t="str">
        <f>INDEX(Data,2,2+MOD(ROWS(C$2:C420)-1,3))</f>
        <v>13.45</v>
      </c>
      <c r="D420" s="23" t="str">
        <f t="shared" ca="1" si="31"/>
        <v>—</v>
      </c>
      <c r="E420" s="40">
        <f t="shared" ca="1" si="32"/>
        <v>7</v>
      </c>
      <c r="F420" s="23" t="str">
        <f t="shared" ca="1" si="33"/>
        <v>—</v>
      </c>
      <c r="G420" s="40">
        <f t="shared" ca="1" si="34"/>
        <v>7</v>
      </c>
    </row>
    <row r="421" spans="1:7" x14ac:dyDescent="0.25">
      <c r="A421" s="17">
        <f t="shared" si="30"/>
        <v>81</v>
      </c>
      <c r="B421" t="str">
        <f ca="1">TEXT(DATE(YEAR(Invoer!$A$5),1,1)+INT((ROWS(B$2:B421)-1)/3),"jjjjmmdd")</f>
        <v>19430520</v>
      </c>
      <c r="C421" s="35" t="str">
        <f>INDEX(Data,2,2+MOD(ROWS(C$2:C421)-1,3))</f>
        <v>19.45</v>
      </c>
      <c r="D421" s="23" t="str">
        <f t="shared" ca="1" si="31"/>
        <v>—</v>
      </c>
      <c r="E421" s="40">
        <f t="shared" ca="1" si="32"/>
        <v>7</v>
      </c>
      <c r="F421" s="23" t="str">
        <f t="shared" ca="1" si="33"/>
        <v>—</v>
      </c>
      <c r="G421" s="40">
        <f t="shared" ca="1" si="34"/>
        <v>7</v>
      </c>
    </row>
    <row r="422" spans="1:7" x14ac:dyDescent="0.25">
      <c r="A422" s="17">
        <f t="shared" si="30"/>
        <v>81</v>
      </c>
      <c r="B422" t="str">
        <f ca="1">TEXT(DATE(YEAR(Invoer!$A$5),1,1)+INT((ROWS(B$2:B422)-1)/3),"jjjjmmdd")</f>
        <v>19430521</v>
      </c>
      <c r="C422" s="35" t="str">
        <f>INDEX(Data,2,2+MOD(ROWS(C$2:C422)-1,3))</f>
        <v>07.45</v>
      </c>
      <c r="D422" s="23" t="str">
        <f t="shared" ca="1" si="31"/>
        <v>—</v>
      </c>
      <c r="E422" s="40">
        <f t="shared" ca="1" si="32"/>
        <v>7</v>
      </c>
      <c r="F422" s="23" t="str">
        <f t="shared" ca="1" si="33"/>
        <v>—</v>
      </c>
      <c r="G422" s="40">
        <f t="shared" ca="1" si="34"/>
        <v>7</v>
      </c>
    </row>
    <row r="423" spans="1:7" x14ac:dyDescent="0.25">
      <c r="A423" s="17">
        <f t="shared" si="30"/>
        <v>81</v>
      </c>
      <c r="B423" t="str">
        <f ca="1">TEXT(DATE(YEAR(Invoer!$A$5),1,1)+INT((ROWS(B$2:B423)-1)/3),"jjjjmmdd")</f>
        <v>19430521</v>
      </c>
      <c r="C423" s="35" t="str">
        <f>INDEX(Data,2,2+MOD(ROWS(C$2:C423)-1,3))</f>
        <v>13.45</v>
      </c>
      <c r="D423" s="23" t="str">
        <f t="shared" ca="1" si="31"/>
        <v>—</v>
      </c>
      <c r="E423" s="40">
        <f t="shared" ca="1" si="32"/>
        <v>7</v>
      </c>
      <c r="F423" s="23" t="str">
        <f t="shared" ca="1" si="33"/>
        <v>—</v>
      </c>
      <c r="G423" s="40">
        <f t="shared" ca="1" si="34"/>
        <v>7</v>
      </c>
    </row>
    <row r="424" spans="1:7" x14ac:dyDescent="0.25">
      <c r="A424" s="17">
        <f t="shared" si="30"/>
        <v>81</v>
      </c>
      <c r="B424" t="str">
        <f ca="1">TEXT(DATE(YEAR(Invoer!$A$5),1,1)+INT((ROWS(B$2:B424)-1)/3),"jjjjmmdd")</f>
        <v>19430521</v>
      </c>
      <c r="C424" s="35" t="str">
        <f>INDEX(Data,2,2+MOD(ROWS(C$2:C424)-1,3))</f>
        <v>19.45</v>
      </c>
      <c r="D424" s="23" t="str">
        <f t="shared" ca="1" si="31"/>
        <v>—</v>
      </c>
      <c r="E424" s="40">
        <f t="shared" ca="1" si="32"/>
        <v>7</v>
      </c>
      <c r="F424" s="23" t="str">
        <f t="shared" ca="1" si="33"/>
        <v>—</v>
      </c>
      <c r="G424" s="40">
        <f t="shared" ca="1" si="34"/>
        <v>7</v>
      </c>
    </row>
    <row r="425" spans="1:7" x14ac:dyDescent="0.25">
      <c r="A425" s="17">
        <f t="shared" si="30"/>
        <v>81</v>
      </c>
      <c r="B425" t="str">
        <f ca="1">TEXT(DATE(YEAR(Invoer!$A$5),1,1)+INT((ROWS(B$2:B425)-1)/3),"jjjjmmdd")</f>
        <v>19430522</v>
      </c>
      <c r="C425" s="35" t="str">
        <f>INDEX(Data,2,2+MOD(ROWS(C$2:C425)-1,3))</f>
        <v>07.45</v>
      </c>
      <c r="D425" s="23" t="str">
        <f t="shared" ca="1" si="31"/>
        <v>—</v>
      </c>
      <c r="E425" s="40">
        <f t="shared" ca="1" si="32"/>
        <v>7</v>
      </c>
      <c r="F425" s="23" t="str">
        <f t="shared" ca="1" si="33"/>
        <v>—</v>
      </c>
      <c r="G425" s="40">
        <f t="shared" ca="1" si="34"/>
        <v>7</v>
      </c>
    </row>
    <row r="426" spans="1:7" x14ac:dyDescent="0.25">
      <c r="A426" s="17">
        <f t="shared" si="30"/>
        <v>81</v>
      </c>
      <c r="B426" t="str">
        <f ca="1">TEXT(DATE(YEAR(Invoer!$A$5),1,1)+INT((ROWS(B$2:B426)-1)/3),"jjjjmmdd")</f>
        <v>19430522</v>
      </c>
      <c r="C426" s="35" t="str">
        <f>INDEX(Data,2,2+MOD(ROWS(C$2:C426)-1,3))</f>
        <v>13.45</v>
      </c>
      <c r="D426" s="23" t="str">
        <f t="shared" ca="1" si="31"/>
        <v>—</v>
      </c>
      <c r="E426" s="40">
        <f t="shared" ca="1" si="32"/>
        <v>7</v>
      </c>
      <c r="F426" s="23" t="str">
        <f t="shared" ca="1" si="33"/>
        <v>—</v>
      </c>
      <c r="G426" s="40">
        <f t="shared" ca="1" si="34"/>
        <v>7</v>
      </c>
    </row>
    <row r="427" spans="1:7" x14ac:dyDescent="0.25">
      <c r="A427" s="17">
        <f t="shared" si="30"/>
        <v>81</v>
      </c>
      <c r="B427" t="str">
        <f ca="1">TEXT(DATE(YEAR(Invoer!$A$5),1,1)+INT((ROWS(B$2:B427)-1)/3),"jjjjmmdd")</f>
        <v>19430522</v>
      </c>
      <c r="C427" s="35" t="str">
        <f>INDEX(Data,2,2+MOD(ROWS(C$2:C427)-1,3))</f>
        <v>19.45</v>
      </c>
      <c r="D427" s="23" t="str">
        <f t="shared" ca="1" si="31"/>
        <v>—</v>
      </c>
      <c r="E427" s="40">
        <f t="shared" ca="1" si="32"/>
        <v>7</v>
      </c>
      <c r="F427" s="23" t="str">
        <f t="shared" ca="1" si="33"/>
        <v>—</v>
      </c>
      <c r="G427" s="40">
        <f t="shared" ca="1" si="34"/>
        <v>7</v>
      </c>
    </row>
    <row r="428" spans="1:7" x14ac:dyDescent="0.25">
      <c r="A428" s="17">
        <f t="shared" si="30"/>
        <v>81</v>
      </c>
      <c r="B428" t="str">
        <f ca="1">TEXT(DATE(YEAR(Invoer!$A$5),1,1)+INT((ROWS(B$2:B428)-1)/3),"jjjjmmdd")</f>
        <v>19430523</v>
      </c>
      <c r="C428" s="35" t="str">
        <f>INDEX(Data,2,2+MOD(ROWS(C$2:C428)-1,3))</f>
        <v>07.45</v>
      </c>
      <c r="D428" s="23" t="str">
        <f t="shared" ca="1" si="31"/>
        <v>—</v>
      </c>
      <c r="E428" s="40">
        <f t="shared" ca="1" si="32"/>
        <v>7</v>
      </c>
      <c r="F428" s="23" t="str">
        <f t="shared" ca="1" si="33"/>
        <v>—</v>
      </c>
      <c r="G428" s="40">
        <f t="shared" ca="1" si="34"/>
        <v>7</v>
      </c>
    </row>
    <row r="429" spans="1:7" x14ac:dyDescent="0.25">
      <c r="A429" s="17">
        <f t="shared" si="30"/>
        <v>81</v>
      </c>
      <c r="B429" t="str">
        <f ca="1">TEXT(DATE(YEAR(Invoer!$A$5),1,1)+INT((ROWS(B$2:B429)-1)/3),"jjjjmmdd")</f>
        <v>19430523</v>
      </c>
      <c r="C429" s="35" t="str">
        <f>INDEX(Data,2,2+MOD(ROWS(C$2:C429)-1,3))</f>
        <v>13.45</v>
      </c>
      <c r="D429" s="23" t="str">
        <f t="shared" ca="1" si="31"/>
        <v>—</v>
      </c>
      <c r="E429" s="40">
        <f t="shared" ca="1" si="32"/>
        <v>7</v>
      </c>
      <c r="F429" s="23" t="str">
        <f t="shared" ca="1" si="33"/>
        <v>—</v>
      </c>
      <c r="G429" s="40">
        <f t="shared" ca="1" si="34"/>
        <v>7</v>
      </c>
    </row>
    <row r="430" spans="1:7" x14ac:dyDescent="0.25">
      <c r="A430" s="17">
        <f t="shared" si="30"/>
        <v>81</v>
      </c>
      <c r="B430" t="str">
        <f ca="1">TEXT(DATE(YEAR(Invoer!$A$5),1,1)+INT((ROWS(B$2:B430)-1)/3),"jjjjmmdd")</f>
        <v>19430523</v>
      </c>
      <c r="C430" s="35" t="str">
        <f>INDEX(Data,2,2+MOD(ROWS(C$2:C430)-1,3))</f>
        <v>19.45</v>
      </c>
      <c r="D430" s="23" t="str">
        <f t="shared" ca="1" si="31"/>
        <v>—</v>
      </c>
      <c r="E430" s="40">
        <f t="shared" ca="1" si="32"/>
        <v>7</v>
      </c>
      <c r="F430" s="23" t="str">
        <f t="shared" ca="1" si="33"/>
        <v>—</v>
      </c>
      <c r="G430" s="40">
        <f t="shared" ca="1" si="34"/>
        <v>7</v>
      </c>
    </row>
    <row r="431" spans="1:7" x14ac:dyDescent="0.25">
      <c r="A431" s="17">
        <f t="shared" si="30"/>
        <v>81</v>
      </c>
      <c r="B431" t="str">
        <f ca="1">TEXT(DATE(YEAR(Invoer!$A$5),1,1)+INT((ROWS(B$2:B431)-1)/3),"jjjjmmdd")</f>
        <v>19430524</v>
      </c>
      <c r="C431" s="35" t="str">
        <f>INDEX(Data,2,2+MOD(ROWS(C$2:C431)-1,3))</f>
        <v>07.45</v>
      </c>
      <c r="D431" s="23" t="str">
        <f t="shared" ca="1" si="31"/>
        <v>—</v>
      </c>
      <c r="E431" s="40">
        <f t="shared" ca="1" si="32"/>
        <v>7</v>
      </c>
      <c r="F431" s="23" t="str">
        <f t="shared" ca="1" si="33"/>
        <v>—</v>
      </c>
      <c r="G431" s="40">
        <f t="shared" ca="1" si="34"/>
        <v>7</v>
      </c>
    </row>
    <row r="432" spans="1:7" x14ac:dyDescent="0.25">
      <c r="A432" s="17">
        <f t="shared" si="30"/>
        <v>81</v>
      </c>
      <c r="B432" t="str">
        <f ca="1">TEXT(DATE(YEAR(Invoer!$A$5),1,1)+INT((ROWS(B$2:B432)-1)/3),"jjjjmmdd")</f>
        <v>19430524</v>
      </c>
      <c r="C432" s="35" t="str">
        <f>INDEX(Data,2,2+MOD(ROWS(C$2:C432)-1,3))</f>
        <v>13.45</v>
      </c>
      <c r="D432" s="23" t="str">
        <f t="shared" ca="1" si="31"/>
        <v>—</v>
      </c>
      <c r="E432" s="40">
        <f t="shared" ca="1" si="32"/>
        <v>7</v>
      </c>
      <c r="F432" s="23" t="str">
        <f t="shared" ca="1" si="33"/>
        <v>—</v>
      </c>
      <c r="G432" s="40">
        <f t="shared" ca="1" si="34"/>
        <v>7</v>
      </c>
    </row>
    <row r="433" spans="1:7" x14ac:dyDescent="0.25">
      <c r="A433" s="17">
        <f t="shared" si="30"/>
        <v>81</v>
      </c>
      <c r="B433" t="str">
        <f ca="1">TEXT(DATE(YEAR(Invoer!$A$5),1,1)+INT((ROWS(B$2:B433)-1)/3),"jjjjmmdd")</f>
        <v>19430524</v>
      </c>
      <c r="C433" s="35" t="str">
        <f>INDEX(Data,2,2+MOD(ROWS(C$2:C433)-1,3))</f>
        <v>19.45</v>
      </c>
      <c r="D433" s="23" t="str">
        <f t="shared" ca="1" si="31"/>
        <v>—</v>
      </c>
      <c r="E433" s="40">
        <f t="shared" ca="1" si="32"/>
        <v>7</v>
      </c>
      <c r="F433" s="23" t="str">
        <f t="shared" ca="1" si="33"/>
        <v>—</v>
      </c>
      <c r="G433" s="40">
        <f t="shared" ca="1" si="34"/>
        <v>7</v>
      </c>
    </row>
    <row r="434" spans="1:7" x14ac:dyDescent="0.25">
      <c r="A434" s="17">
        <f t="shared" si="30"/>
        <v>81</v>
      </c>
      <c r="B434" t="str">
        <f ca="1">TEXT(DATE(YEAR(Invoer!$A$5),1,1)+INT((ROWS(B$2:B434)-1)/3),"jjjjmmdd")</f>
        <v>19430525</v>
      </c>
      <c r="C434" s="35" t="str">
        <f>INDEX(Data,2,2+MOD(ROWS(C$2:C434)-1,3))</f>
        <v>07.45</v>
      </c>
      <c r="D434" s="23" t="str">
        <f t="shared" ca="1" si="31"/>
        <v>—</v>
      </c>
      <c r="E434" s="40">
        <f t="shared" ca="1" si="32"/>
        <v>7</v>
      </c>
      <c r="F434" s="23" t="str">
        <f t="shared" ca="1" si="33"/>
        <v>—</v>
      </c>
      <c r="G434" s="40">
        <f t="shared" ca="1" si="34"/>
        <v>7</v>
      </c>
    </row>
    <row r="435" spans="1:7" x14ac:dyDescent="0.25">
      <c r="A435" s="17">
        <f t="shared" si="30"/>
        <v>81</v>
      </c>
      <c r="B435" t="str">
        <f ca="1">TEXT(DATE(YEAR(Invoer!$A$5),1,1)+INT((ROWS(B$2:B435)-1)/3),"jjjjmmdd")</f>
        <v>19430525</v>
      </c>
      <c r="C435" s="35" t="str">
        <f>INDEX(Data,2,2+MOD(ROWS(C$2:C435)-1,3))</f>
        <v>13.45</v>
      </c>
      <c r="D435" s="23" t="str">
        <f t="shared" ca="1" si="31"/>
        <v>—</v>
      </c>
      <c r="E435" s="40">
        <f t="shared" ca="1" si="32"/>
        <v>7</v>
      </c>
      <c r="F435" s="23" t="str">
        <f t="shared" ca="1" si="33"/>
        <v>—</v>
      </c>
      <c r="G435" s="40">
        <f t="shared" ca="1" si="34"/>
        <v>7</v>
      </c>
    </row>
    <row r="436" spans="1:7" x14ac:dyDescent="0.25">
      <c r="A436" s="17">
        <f t="shared" si="30"/>
        <v>81</v>
      </c>
      <c r="B436" t="str">
        <f ca="1">TEXT(DATE(YEAR(Invoer!$A$5),1,1)+INT((ROWS(B$2:B436)-1)/3),"jjjjmmdd")</f>
        <v>19430525</v>
      </c>
      <c r="C436" s="35" t="str">
        <f>INDEX(Data,2,2+MOD(ROWS(C$2:C436)-1,3))</f>
        <v>19.45</v>
      </c>
      <c r="D436" s="23" t="str">
        <f t="shared" ca="1" si="31"/>
        <v>—</v>
      </c>
      <c r="E436" s="40">
        <f t="shared" ca="1" si="32"/>
        <v>7</v>
      </c>
      <c r="F436" s="23" t="str">
        <f t="shared" ca="1" si="33"/>
        <v>—</v>
      </c>
      <c r="G436" s="40">
        <f t="shared" ca="1" si="34"/>
        <v>7</v>
      </c>
    </row>
    <row r="437" spans="1:7" x14ac:dyDescent="0.25">
      <c r="A437" s="17">
        <f t="shared" si="30"/>
        <v>81</v>
      </c>
      <c r="B437" t="str">
        <f ca="1">TEXT(DATE(YEAR(Invoer!$A$5),1,1)+INT((ROWS(B$2:B437)-1)/3),"jjjjmmdd")</f>
        <v>19430526</v>
      </c>
      <c r="C437" s="35" t="str">
        <f>INDEX(Data,2,2+MOD(ROWS(C$2:C437)-1,3))</f>
        <v>07.45</v>
      </c>
      <c r="D437" s="23" t="str">
        <f t="shared" ca="1" si="31"/>
        <v>—</v>
      </c>
      <c r="E437" s="40">
        <f t="shared" ca="1" si="32"/>
        <v>7</v>
      </c>
      <c r="F437" s="23" t="str">
        <f t="shared" ca="1" si="33"/>
        <v>—</v>
      </c>
      <c r="G437" s="40">
        <f t="shared" ca="1" si="34"/>
        <v>7</v>
      </c>
    </row>
    <row r="438" spans="1:7" x14ac:dyDescent="0.25">
      <c r="A438" s="17">
        <f t="shared" si="30"/>
        <v>81</v>
      </c>
      <c r="B438" t="str">
        <f ca="1">TEXT(DATE(YEAR(Invoer!$A$5),1,1)+INT((ROWS(B$2:B438)-1)/3),"jjjjmmdd")</f>
        <v>19430526</v>
      </c>
      <c r="C438" s="35" t="str">
        <f>INDEX(Data,2,2+MOD(ROWS(C$2:C438)-1,3))</f>
        <v>13.45</v>
      </c>
      <c r="D438" s="23" t="str">
        <f t="shared" ca="1" si="31"/>
        <v>—</v>
      </c>
      <c r="E438" s="40">
        <f t="shared" ca="1" si="32"/>
        <v>7</v>
      </c>
      <c r="F438" s="23" t="str">
        <f t="shared" ca="1" si="33"/>
        <v>—</v>
      </c>
      <c r="G438" s="40">
        <f t="shared" ca="1" si="34"/>
        <v>7</v>
      </c>
    </row>
    <row r="439" spans="1:7" x14ac:dyDescent="0.25">
      <c r="A439" s="17">
        <f t="shared" si="30"/>
        <v>81</v>
      </c>
      <c r="B439" t="str">
        <f ca="1">TEXT(DATE(YEAR(Invoer!$A$5),1,1)+INT((ROWS(B$2:B439)-1)/3),"jjjjmmdd")</f>
        <v>19430526</v>
      </c>
      <c r="C439" s="35" t="str">
        <f>INDEX(Data,2,2+MOD(ROWS(C$2:C439)-1,3))</f>
        <v>19.45</v>
      </c>
      <c r="D439" s="23" t="str">
        <f t="shared" ca="1" si="31"/>
        <v>—</v>
      </c>
      <c r="E439" s="40">
        <f t="shared" ca="1" si="32"/>
        <v>7</v>
      </c>
      <c r="F439" s="23" t="str">
        <f t="shared" ca="1" si="33"/>
        <v>—</v>
      </c>
      <c r="G439" s="40">
        <f t="shared" ca="1" si="34"/>
        <v>7</v>
      </c>
    </row>
    <row r="440" spans="1:7" x14ac:dyDescent="0.25">
      <c r="A440" s="17">
        <f t="shared" si="30"/>
        <v>81</v>
      </c>
      <c r="B440" t="str">
        <f ca="1">TEXT(DATE(YEAR(Invoer!$A$5),1,1)+INT((ROWS(B$2:B440)-1)/3),"jjjjmmdd")</f>
        <v>19430527</v>
      </c>
      <c r="C440" s="35" t="str">
        <f>INDEX(Data,2,2+MOD(ROWS(C$2:C440)-1,3))</f>
        <v>07.45</v>
      </c>
      <c r="D440" s="23" t="str">
        <f t="shared" ca="1" si="31"/>
        <v>—</v>
      </c>
      <c r="E440" s="40">
        <f t="shared" ca="1" si="32"/>
        <v>7</v>
      </c>
      <c r="F440" s="23" t="str">
        <f t="shared" ca="1" si="33"/>
        <v>—</v>
      </c>
      <c r="G440" s="40">
        <f t="shared" ca="1" si="34"/>
        <v>7</v>
      </c>
    </row>
    <row r="441" spans="1:7" x14ac:dyDescent="0.25">
      <c r="A441" s="17">
        <f t="shared" si="30"/>
        <v>81</v>
      </c>
      <c r="B441" t="str">
        <f ca="1">TEXT(DATE(YEAR(Invoer!$A$5),1,1)+INT((ROWS(B$2:B441)-1)/3),"jjjjmmdd")</f>
        <v>19430527</v>
      </c>
      <c r="C441" s="35" t="str">
        <f>INDEX(Data,2,2+MOD(ROWS(C$2:C441)-1,3))</f>
        <v>13.45</v>
      </c>
      <c r="D441" s="23" t="str">
        <f t="shared" ca="1" si="31"/>
        <v>—</v>
      </c>
      <c r="E441" s="40">
        <f t="shared" ca="1" si="32"/>
        <v>7</v>
      </c>
      <c r="F441" s="23" t="str">
        <f t="shared" ca="1" si="33"/>
        <v>—</v>
      </c>
      <c r="G441" s="40">
        <f t="shared" ca="1" si="34"/>
        <v>7</v>
      </c>
    </row>
    <row r="442" spans="1:7" x14ac:dyDescent="0.25">
      <c r="A442" s="17">
        <f t="shared" si="30"/>
        <v>81</v>
      </c>
      <c r="B442" t="str">
        <f ca="1">TEXT(DATE(YEAR(Invoer!$A$5),1,1)+INT((ROWS(B$2:B442)-1)/3),"jjjjmmdd")</f>
        <v>19430527</v>
      </c>
      <c r="C442" s="35" t="str">
        <f>INDEX(Data,2,2+MOD(ROWS(C$2:C442)-1,3))</f>
        <v>19.45</v>
      </c>
      <c r="D442" s="23" t="str">
        <f t="shared" ca="1" si="31"/>
        <v>—</v>
      </c>
      <c r="E442" s="40">
        <f t="shared" ca="1" si="32"/>
        <v>7</v>
      </c>
      <c r="F442" s="23" t="str">
        <f t="shared" ca="1" si="33"/>
        <v>—</v>
      </c>
      <c r="G442" s="40">
        <f t="shared" ca="1" si="34"/>
        <v>7</v>
      </c>
    </row>
    <row r="443" spans="1:7" x14ac:dyDescent="0.25">
      <c r="A443" s="17">
        <f t="shared" si="30"/>
        <v>81</v>
      </c>
      <c r="B443" t="str">
        <f ca="1">TEXT(DATE(YEAR(Invoer!$A$5),1,1)+INT((ROWS(B$2:B443)-1)/3),"jjjjmmdd")</f>
        <v>19430528</v>
      </c>
      <c r="C443" s="35" t="str">
        <f>INDEX(Data,2,2+MOD(ROWS(C$2:C443)-1,3))</f>
        <v>07.45</v>
      </c>
      <c r="D443" s="23" t="str">
        <f t="shared" ca="1" si="31"/>
        <v>—</v>
      </c>
      <c r="E443" s="40">
        <f t="shared" ca="1" si="32"/>
        <v>7</v>
      </c>
      <c r="F443" s="23" t="str">
        <f t="shared" ca="1" si="33"/>
        <v>—</v>
      </c>
      <c r="G443" s="40">
        <f t="shared" ca="1" si="34"/>
        <v>7</v>
      </c>
    </row>
    <row r="444" spans="1:7" x14ac:dyDescent="0.25">
      <c r="A444" s="17">
        <f t="shared" si="30"/>
        <v>81</v>
      </c>
      <c r="B444" t="str">
        <f ca="1">TEXT(DATE(YEAR(Invoer!$A$5),1,1)+INT((ROWS(B$2:B444)-1)/3),"jjjjmmdd")</f>
        <v>19430528</v>
      </c>
      <c r="C444" s="35" t="str">
        <f>INDEX(Data,2,2+MOD(ROWS(C$2:C444)-1,3))</f>
        <v>13.45</v>
      </c>
      <c r="D444" s="23" t="str">
        <f t="shared" ca="1" si="31"/>
        <v>—</v>
      </c>
      <c r="E444" s="40">
        <f t="shared" ca="1" si="32"/>
        <v>7</v>
      </c>
      <c r="F444" s="23" t="str">
        <f t="shared" ca="1" si="33"/>
        <v>—</v>
      </c>
      <c r="G444" s="40">
        <f t="shared" ca="1" si="34"/>
        <v>7</v>
      </c>
    </row>
    <row r="445" spans="1:7" x14ac:dyDescent="0.25">
      <c r="A445" s="17">
        <f t="shared" si="30"/>
        <v>81</v>
      </c>
      <c r="B445" t="str">
        <f ca="1">TEXT(DATE(YEAR(Invoer!$A$5),1,1)+INT((ROWS(B$2:B445)-1)/3),"jjjjmmdd")</f>
        <v>19430528</v>
      </c>
      <c r="C445" s="35" t="str">
        <f>INDEX(Data,2,2+MOD(ROWS(C$2:C445)-1,3))</f>
        <v>19.45</v>
      </c>
      <c r="D445" s="23" t="str">
        <f t="shared" ca="1" si="31"/>
        <v>—</v>
      </c>
      <c r="E445" s="40">
        <f t="shared" ca="1" si="32"/>
        <v>7</v>
      </c>
      <c r="F445" s="23" t="str">
        <f t="shared" ca="1" si="33"/>
        <v>—</v>
      </c>
      <c r="G445" s="40">
        <f t="shared" ca="1" si="34"/>
        <v>7</v>
      </c>
    </row>
    <row r="446" spans="1:7" x14ac:dyDescent="0.25">
      <c r="A446" s="17">
        <f t="shared" si="30"/>
        <v>81</v>
      </c>
      <c r="B446" t="str">
        <f ca="1">TEXT(DATE(YEAR(Invoer!$A$5),1,1)+INT((ROWS(B$2:B446)-1)/3),"jjjjmmdd")</f>
        <v>19430529</v>
      </c>
      <c r="C446" s="35" t="str">
        <f>INDEX(Data,2,2+MOD(ROWS(C$2:C446)-1,3))</f>
        <v>07.45</v>
      </c>
      <c r="D446" s="23" t="str">
        <f t="shared" ca="1" si="31"/>
        <v>—</v>
      </c>
      <c r="E446" s="40">
        <f t="shared" ca="1" si="32"/>
        <v>7</v>
      </c>
      <c r="F446" s="23" t="str">
        <f t="shared" ca="1" si="33"/>
        <v>—</v>
      </c>
      <c r="G446" s="40">
        <f t="shared" ca="1" si="34"/>
        <v>7</v>
      </c>
    </row>
    <row r="447" spans="1:7" x14ac:dyDescent="0.25">
      <c r="A447" s="17">
        <f t="shared" si="30"/>
        <v>81</v>
      </c>
      <c r="B447" t="str">
        <f ca="1">TEXT(DATE(YEAR(Invoer!$A$5),1,1)+INT((ROWS(B$2:B447)-1)/3),"jjjjmmdd")</f>
        <v>19430529</v>
      </c>
      <c r="C447" s="35" t="str">
        <f>INDEX(Data,2,2+MOD(ROWS(C$2:C447)-1,3))</f>
        <v>13.45</v>
      </c>
      <c r="D447" s="23" t="str">
        <f t="shared" ca="1" si="31"/>
        <v>—</v>
      </c>
      <c r="E447" s="40">
        <f t="shared" ca="1" si="32"/>
        <v>7</v>
      </c>
      <c r="F447" s="23" t="str">
        <f t="shared" ca="1" si="33"/>
        <v>—</v>
      </c>
      <c r="G447" s="40">
        <f t="shared" ca="1" si="34"/>
        <v>7</v>
      </c>
    </row>
    <row r="448" spans="1:7" x14ac:dyDescent="0.25">
      <c r="A448" s="17">
        <f t="shared" si="30"/>
        <v>81</v>
      </c>
      <c r="B448" t="str">
        <f ca="1">TEXT(DATE(YEAR(Invoer!$A$5),1,1)+INT((ROWS(B$2:B448)-1)/3),"jjjjmmdd")</f>
        <v>19430529</v>
      </c>
      <c r="C448" s="35" t="str">
        <f>INDEX(Data,2,2+MOD(ROWS(C$2:C448)-1,3))</f>
        <v>19.45</v>
      </c>
      <c r="D448" s="23" t="str">
        <f t="shared" ca="1" si="31"/>
        <v>—</v>
      </c>
      <c r="E448" s="40">
        <f t="shared" ca="1" si="32"/>
        <v>7</v>
      </c>
      <c r="F448" s="23" t="str">
        <f t="shared" ca="1" si="33"/>
        <v>—</v>
      </c>
      <c r="G448" s="40">
        <f t="shared" ca="1" si="34"/>
        <v>7</v>
      </c>
    </row>
    <row r="449" spans="1:7" x14ac:dyDescent="0.25">
      <c r="A449" s="17">
        <f t="shared" si="30"/>
        <v>81</v>
      </c>
      <c r="B449" t="str">
        <f ca="1">TEXT(DATE(YEAR(Invoer!$A$5),1,1)+INT((ROWS(B$2:B449)-1)/3),"jjjjmmdd")</f>
        <v>19430530</v>
      </c>
      <c r="C449" s="35" t="str">
        <f>INDEX(Data,2,2+MOD(ROWS(C$2:C449)-1,3))</f>
        <v>07.45</v>
      </c>
      <c r="D449" s="23" t="str">
        <f t="shared" ca="1" si="31"/>
        <v>—</v>
      </c>
      <c r="E449" s="40">
        <f t="shared" ca="1" si="32"/>
        <v>7</v>
      </c>
      <c r="F449" s="23" t="str">
        <f t="shared" ca="1" si="33"/>
        <v>—</v>
      </c>
      <c r="G449" s="40">
        <f t="shared" ca="1" si="34"/>
        <v>7</v>
      </c>
    </row>
    <row r="450" spans="1:7" x14ac:dyDescent="0.25">
      <c r="A450" s="17">
        <f t="shared" ref="A450:A513" si="35">INDEX(Stations,2,1)</f>
        <v>81</v>
      </c>
      <c r="B450" t="str">
        <f ca="1">TEXT(DATE(YEAR(Invoer!$A$5),1,1)+INT((ROWS(B$2:B450)-1)/3),"jjjjmmdd")</f>
        <v>19430530</v>
      </c>
      <c r="C450" s="35" t="str">
        <f>INDEX(Data,2,2+MOD(ROWS(C$2:C450)-1,3))</f>
        <v>13.45</v>
      </c>
      <c r="D450" s="23" t="str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—</v>
      </c>
      <c r="E450" s="40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7</v>
      </c>
      <c r="F450" s="23" t="str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)</f>
        <v>—</v>
      </c>
      <c r="G450" s="40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7</v>
      </c>
    </row>
    <row r="451" spans="1:7" x14ac:dyDescent="0.25">
      <c r="A451" s="17">
        <f t="shared" si="35"/>
        <v>81</v>
      </c>
      <c r="B451" t="str">
        <f ca="1">TEXT(DATE(YEAR(Invoer!$A$5),1,1)+INT((ROWS(B$2:B451)-1)/3),"jjjjmmdd")</f>
        <v>19430530</v>
      </c>
      <c r="C451" s="35" t="str">
        <f>INDEX(Data,2,2+MOD(ROWS(C$2:C451)-1,3))</f>
        <v>19.45</v>
      </c>
      <c r="D451" s="23" t="str">
        <f t="shared" ca="1" si="36"/>
        <v>—</v>
      </c>
      <c r="E451" s="40">
        <f t="shared" ca="1" si="37"/>
        <v>7</v>
      </c>
      <c r="F451" s="23" t="str">
        <f t="shared" ca="1" si="38"/>
        <v>—</v>
      </c>
      <c r="G451" s="40">
        <f t="shared" ca="1" si="39"/>
        <v>7</v>
      </c>
    </row>
    <row r="452" spans="1:7" x14ac:dyDescent="0.25">
      <c r="A452" s="17">
        <f t="shared" si="35"/>
        <v>81</v>
      </c>
      <c r="B452" t="str">
        <f ca="1">TEXT(DATE(YEAR(Invoer!$A$5),1,1)+INT((ROWS(B$2:B452)-1)/3),"jjjjmmdd")</f>
        <v>19430531</v>
      </c>
      <c r="C452" s="35" t="str">
        <f>INDEX(Data,2,2+MOD(ROWS(C$2:C452)-1,3))</f>
        <v>07.45</v>
      </c>
      <c r="D452" s="23" t="str">
        <f t="shared" ca="1" si="36"/>
        <v>—</v>
      </c>
      <c r="E452" s="40">
        <f t="shared" ca="1" si="37"/>
        <v>7</v>
      </c>
      <c r="F452" s="23" t="str">
        <f t="shared" ca="1" si="38"/>
        <v>—</v>
      </c>
      <c r="G452" s="40">
        <f t="shared" ca="1" si="39"/>
        <v>7</v>
      </c>
    </row>
    <row r="453" spans="1:7" x14ac:dyDescent="0.25">
      <c r="A453" s="17">
        <f t="shared" si="35"/>
        <v>81</v>
      </c>
      <c r="B453" t="str">
        <f ca="1">TEXT(DATE(YEAR(Invoer!$A$5),1,1)+INT((ROWS(B$2:B453)-1)/3),"jjjjmmdd")</f>
        <v>19430531</v>
      </c>
      <c r="C453" s="35" t="str">
        <f>INDEX(Data,2,2+MOD(ROWS(C$2:C453)-1,3))</f>
        <v>13.45</v>
      </c>
      <c r="D453" s="23" t="str">
        <f t="shared" ca="1" si="36"/>
        <v>—</v>
      </c>
      <c r="E453" s="40">
        <f t="shared" ca="1" si="37"/>
        <v>7</v>
      </c>
      <c r="F453" s="23" t="str">
        <f t="shared" ca="1" si="38"/>
        <v>—</v>
      </c>
      <c r="G453" s="40">
        <f t="shared" ca="1" si="39"/>
        <v>7</v>
      </c>
    </row>
    <row r="454" spans="1:7" x14ac:dyDescent="0.25">
      <c r="A454" s="17">
        <f t="shared" si="35"/>
        <v>81</v>
      </c>
      <c r="B454" t="str">
        <f ca="1">TEXT(DATE(YEAR(Invoer!$A$5),1,1)+INT((ROWS(B$2:B454)-1)/3),"jjjjmmdd")</f>
        <v>19430531</v>
      </c>
      <c r="C454" s="35" t="str">
        <f>INDEX(Data,2,2+MOD(ROWS(C$2:C454)-1,3))</f>
        <v>19.45</v>
      </c>
      <c r="D454" s="23" t="str">
        <f t="shared" ca="1" si="36"/>
        <v>—</v>
      </c>
      <c r="E454" s="40">
        <f t="shared" ca="1" si="37"/>
        <v>7</v>
      </c>
      <c r="F454" s="23" t="str">
        <f t="shared" ca="1" si="38"/>
        <v>—</v>
      </c>
      <c r="G454" s="40">
        <f t="shared" ca="1" si="39"/>
        <v>7</v>
      </c>
    </row>
    <row r="455" spans="1:7" x14ac:dyDescent="0.25">
      <c r="A455" s="17">
        <f t="shared" si="35"/>
        <v>81</v>
      </c>
      <c r="B455" t="str">
        <f ca="1">TEXT(DATE(YEAR(Invoer!$A$5),1,1)+INT((ROWS(B$2:B455)-1)/3),"jjjjmmdd")</f>
        <v>19430601</v>
      </c>
      <c r="C455" s="35" t="str">
        <f>INDEX(Data,2,2+MOD(ROWS(C$2:C455)-1,3))</f>
        <v>07.45</v>
      </c>
      <c r="D455" s="23" t="str">
        <f t="shared" ca="1" si="36"/>
        <v>—</v>
      </c>
      <c r="E455" s="40">
        <f t="shared" ca="1" si="37"/>
        <v>7</v>
      </c>
      <c r="F455" s="23" t="str">
        <f t="shared" ca="1" si="38"/>
        <v>—</v>
      </c>
      <c r="G455" s="40">
        <f t="shared" ca="1" si="39"/>
        <v>7</v>
      </c>
    </row>
    <row r="456" spans="1:7" x14ac:dyDescent="0.25">
      <c r="A456" s="17">
        <f t="shared" si="35"/>
        <v>81</v>
      </c>
      <c r="B456" t="str">
        <f ca="1">TEXT(DATE(YEAR(Invoer!$A$5),1,1)+INT((ROWS(B$2:B456)-1)/3),"jjjjmmdd")</f>
        <v>19430601</v>
      </c>
      <c r="C456" s="35" t="str">
        <f>INDEX(Data,2,2+MOD(ROWS(C$2:C456)-1,3))</f>
        <v>13.45</v>
      </c>
      <c r="D456" s="23" t="str">
        <f t="shared" ca="1" si="36"/>
        <v>—</v>
      </c>
      <c r="E456" s="40">
        <f t="shared" ca="1" si="37"/>
        <v>7</v>
      </c>
      <c r="F456" s="23" t="str">
        <f t="shared" ca="1" si="38"/>
        <v>—</v>
      </c>
      <c r="G456" s="40">
        <f t="shared" ca="1" si="39"/>
        <v>7</v>
      </c>
    </row>
    <row r="457" spans="1:7" x14ac:dyDescent="0.25">
      <c r="A457" s="17">
        <f t="shared" si="35"/>
        <v>81</v>
      </c>
      <c r="B457" t="str">
        <f ca="1">TEXT(DATE(YEAR(Invoer!$A$5),1,1)+INT((ROWS(B$2:B457)-1)/3),"jjjjmmdd")</f>
        <v>19430601</v>
      </c>
      <c r="C457" s="35" t="str">
        <f>INDEX(Data,2,2+MOD(ROWS(C$2:C457)-1,3))</f>
        <v>19.45</v>
      </c>
      <c r="D457" s="23" t="str">
        <f t="shared" ca="1" si="36"/>
        <v>—</v>
      </c>
      <c r="E457" s="40">
        <f t="shared" ca="1" si="37"/>
        <v>7</v>
      </c>
      <c r="F457" s="23" t="str">
        <f t="shared" ca="1" si="38"/>
        <v>—</v>
      </c>
      <c r="G457" s="40">
        <f t="shared" ca="1" si="39"/>
        <v>7</v>
      </c>
    </row>
    <row r="458" spans="1:7" x14ac:dyDescent="0.25">
      <c r="A458" s="17">
        <f t="shared" si="35"/>
        <v>81</v>
      </c>
      <c r="B458" t="str">
        <f ca="1">TEXT(DATE(YEAR(Invoer!$A$5),1,1)+INT((ROWS(B$2:B458)-1)/3),"jjjjmmdd")</f>
        <v>19430602</v>
      </c>
      <c r="C458" s="35" t="str">
        <f>INDEX(Data,2,2+MOD(ROWS(C$2:C458)-1,3))</f>
        <v>07.45</v>
      </c>
      <c r="D458" s="23" t="str">
        <f t="shared" ca="1" si="36"/>
        <v>—</v>
      </c>
      <c r="E458" s="40">
        <f t="shared" ca="1" si="37"/>
        <v>7</v>
      </c>
      <c r="F458" s="23" t="str">
        <f t="shared" ca="1" si="38"/>
        <v>—</v>
      </c>
      <c r="G458" s="40">
        <f t="shared" ca="1" si="39"/>
        <v>7</v>
      </c>
    </row>
    <row r="459" spans="1:7" x14ac:dyDescent="0.25">
      <c r="A459" s="17">
        <f t="shared" si="35"/>
        <v>81</v>
      </c>
      <c r="B459" t="str">
        <f ca="1">TEXT(DATE(YEAR(Invoer!$A$5),1,1)+INT((ROWS(B$2:B459)-1)/3),"jjjjmmdd")</f>
        <v>19430602</v>
      </c>
      <c r="C459" s="35" t="str">
        <f>INDEX(Data,2,2+MOD(ROWS(C$2:C459)-1,3))</f>
        <v>13.45</v>
      </c>
      <c r="D459" s="23" t="str">
        <f t="shared" ca="1" si="36"/>
        <v>—</v>
      </c>
      <c r="E459" s="40">
        <f t="shared" ca="1" si="37"/>
        <v>7</v>
      </c>
      <c r="F459" s="23" t="str">
        <f t="shared" ca="1" si="38"/>
        <v>—</v>
      </c>
      <c r="G459" s="40">
        <f t="shared" ca="1" si="39"/>
        <v>7</v>
      </c>
    </row>
    <row r="460" spans="1:7" x14ac:dyDescent="0.25">
      <c r="A460" s="17">
        <f t="shared" si="35"/>
        <v>81</v>
      </c>
      <c r="B460" t="str">
        <f ca="1">TEXT(DATE(YEAR(Invoer!$A$5),1,1)+INT((ROWS(B$2:B460)-1)/3),"jjjjmmdd")</f>
        <v>19430602</v>
      </c>
      <c r="C460" s="35" t="str">
        <f>INDEX(Data,2,2+MOD(ROWS(C$2:C460)-1,3))</f>
        <v>19.45</v>
      </c>
      <c r="D460" s="23" t="str">
        <f t="shared" ca="1" si="36"/>
        <v>—</v>
      </c>
      <c r="E460" s="40">
        <f t="shared" ca="1" si="37"/>
        <v>7</v>
      </c>
      <c r="F460" s="23" t="str">
        <f t="shared" ca="1" si="38"/>
        <v>—</v>
      </c>
      <c r="G460" s="40">
        <f t="shared" ca="1" si="39"/>
        <v>7</v>
      </c>
    </row>
    <row r="461" spans="1:7" x14ac:dyDescent="0.25">
      <c r="A461" s="17">
        <f t="shared" si="35"/>
        <v>81</v>
      </c>
      <c r="B461" t="str">
        <f ca="1">TEXT(DATE(YEAR(Invoer!$A$5),1,1)+INT((ROWS(B$2:B461)-1)/3),"jjjjmmdd")</f>
        <v>19430603</v>
      </c>
      <c r="C461" s="35" t="str">
        <f>INDEX(Data,2,2+MOD(ROWS(C$2:C461)-1,3))</f>
        <v>07.45</v>
      </c>
      <c r="D461" s="23" t="str">
        <f t="shared" ca="1" si="36"/>
        <v>—</v>
      </c>
      <c r="E461" s="40">
        <f t="shared" ca="1" si="37"/>
        <v>7</v>
      </c>
      <c r="F461" s="23" t="str">
        <f t="shared" ca="1" si="38"/>
        <v>—</v>
      </c>
      <c r="G461" s="40">
        <f t="shared" ca="1" si="39"/>
        <v>7</v>
      </c>
    </row>
    <row r="462" spans="1:7" x14ac:dyDescent="0.25">
      <c r="A462" s="17">
        <f t="shared" si="35"/>
        <v>81</v>
      </c>
      <c r="B462" t="str">
        <f ca="1">TEXT(DATE(YEAR(Invoer!$A$5),1,1)+INT((ROWS(B$2:B462)-1)/3),"jjjjmmdd")</f>
        <v>19430603</v>
      </c>
      <c r="C462" s="35" t="str">
        <f>INDEX(Data,2,2+MOD(ROWS(C$2:C462)-1,3))</f>
        <v>13.45</v>
      </c>
      <c r="D462" s="23" t="str">
        <f t="shared" ca="1" si="36"/>
        <v>—</v>
      </c>
      <c r="E462" s="40">
        <f t="shared" ca="1" si="37"/>
        <v>7</v>
      </c>
      <c r="F462" s="23" t="str">
        <f t="shared" ca="1" si="38"/>
        <v>—</v>
      </c>
      <c r="G462" s="40">
        <f t="shared" ca="1" si="39"/>
        <v>7</v>
      </c>
    </row>
    <row r="463" spans="1:7" x14ac:dyDescent="0.25">
      <c r="A463" s="17">
        <f t="shared" si="35"/>
        <v>81</v>
      </c>
      <c r="B463" t="str">
        <f ca="1">TEXT(DATE(YEAR(Invoer!$A$5),1,1)+INT((ROWS(B$2:B463)-1)/3),"jjjjmmdd")</f>
        <v>19430603</v>
      </c>
      <c r="C463" s="35" t="str">
        <f>INDEX(Data,2,2+MOD(ROWS(C$2:C463)-1,3))</f>
        <v>19.45</v>
      </c>
      <c r="D463" s="23" t="str">
        <f t="shared" ca="1" si="36"/>
        <v>—</v>
      </c>
      <c r="E463" s="40">
        <f t="shared" ca="1" si="37"/>
        <v>7</v>
      </c>
      <c r="F463" s="23" t="str">
        <f t="shared" ca="1" si="38"/>
        <v>—</v>
      </c>
      <c r="G463" s="40">
        <f t="shared" ca="1" si="39"/>
        <v>7</v>
      </c>
    </row>
    <row r="464" spans="1:7" x14ac:dyDescent="0.25">
      <c r="A464" s="17">
        <f t="shared" si="35"/>
        <v>81</v>
      </c>
      <c r="B464" t="str">
        <f ca="1">TEXT(DATE(YEAR(Invoer!$A$5),1,1)+INT((ROWS(B$2:B464)-1)/3),"jjjjmmdd")</f>
        <v>19430604</v>
      </c>
      <c r="C464" s="35" t="str">
        <f>INDEX(Data,2,2+MOD(ROWS(C$2:C464)-1,3))</f>
        <v>07.45</v>
      </c>
      <c r="D464" s="23" t="str">
        <f t="shared" ca="1" si="36"/>
        <v>—</v>
      </c>
      <c r="E464" s="40">
        <f t="shared" ca="1" si="37"/>
        <v>7</v>
      </c>
      <c r="F464" s="23" t="str">
        <f t="shared" ca="1" si="38"/>
        <v>—</v>
      </c>
      <c r="G464" s="40">
        <f t="shared" ca="1" si="39"/>
        <v>7</v>
      </c>
    </row>
    <row r="465" spans="1:7" x14ac:dyDescent="0.25">
      <c r="A465" s="17">
        <f t="shared" si="35"/>
        <v>81</v>
      </c>
      <c r="B465" t="str">
        <f ca="1">TEXT(DATE(YEAR(Invoer!$A$5),1,1)+INT((ROWS(B$2:B465)-1)/3),"jjjjmmdd")</f>
        <v>19430604</v>
      </c>
      <c r="C465" s="35" t="str">
        <f>INDEX(Data,2,2+MOD(ROWS(C$2:C465)-1,3))</f>
        <v>13.45</v>
      </c>
      <c r="D465" s="23" t="str">
        <f t="shared" ca="1" si="36"/>
        <v>—</v>
      </c>
      <c r="E465" s="40">
        <f t="shared" ca="1" si="37"/>
        <v>7</v>
      </c>
      <c r="F465" s="23" t="str">
        <f t="shared" ca="1" si="38"/>
        <v>—</v>
      </c>
      <c r="G465" s="40">
        <f t="shared" ca="1" si="39"/>
        <v>7</v>
      </c>
    </row>
    <row r="466" spans="1:7" x14ac:dyDescent="0.25">
      <c r="A466" s="17">
        <f t="shared" si="35"/>
        <v>81</v>
      </c>
      <c r="B466" t="str">
        <f ca="1">TEXT(DATE(YEAR(Invoer!$A$5),1,1)+INT((ROWS(B$2:B466)-1)/3),"jjjjmmdd")</f>
        <v>19430604</v>
      </c>
      <c r="C466" s="35" t="str">
        <f>INDEX(Data,2,2+MOD(ROWS(C$2:C466)-1,3))</f>
        <v>19.45</v>
      </c>
      <c r="D466" s="23" t="str">
        <f t="shared" ca="1" si="36"/>
        <v>—</v>
      </c>
      <c r="E466" s="40">
        <f t="shared" ca="1" si="37"/>
        <v>7</v>
      </c>
      <c r="F466" s="23" t="str">
        <f t="shared" ca="1" si="38"/>
        <v>—</v>
      </c>
      <c r="G466" s="40">
        <f t="shared" ca="1" si="39"/>
        <v>7</v>
      </c>
    </row>
    <row r="467" spans="1:7" x14ac:dyDescent="0.25">
      <c r="A467" s="17">
        <f t="shared" si="35"/>
        <v>81</v>
      </c>
      <c r="B467" t="str">
        <f ca="1">TEXT(DATE(YEAR(Invoer!$A$5),1,1)+INT((ROWS(B$2:B467)-1)/3),"jjjjmmdd")</f>
        <v>19430605</v>
      </c>
      <c r="C467" s="35" t="str">
        <f>INDEX(Data,2,2+MOD(ROWS(C$2:C467)-1,3))</f>
        <v>07.45</v>
      </c>
      <c r="D467" s="23" t="str">
        <f t="shared" ca="1" si="36"/>
        <v>—</v>
      </c>
      <c r="E467" s="40">
        <f t="shared" ca="1" si="37"/>
        <v>7</v>
      </c>
      <c r="F467" s="23" t="str">
        <f t="shared" ca="1" si="38"/>
        <v>—</v>
      </c>
      <c r="G467" s="40">
        <f t="shared" ca="1" si="39"/>
        <v>7</v>
      </c>
    </row>
    <row r="468" spans="1:7" x14ac:dyDescent="0.25">
      <c r="A468" s="17">
        <f t="shared" si="35"/>
        <v>81</v>
      </c>
      <c r="B468" t="str">
        <f ca="1">TEXT(DATE(YEAR(Invoer!$A$5),1,1)+INT((ROWS(B$2:B468)-1)/3),"jjjjmmdd")</f>
        <v>19430605</v>
      </c>
      <c r="C468" s="35" t="str">
        <f>INDEX(Data,2,2+MOD(ROWS(C$2:C468)-1,3))</f>
        <v>13.45</v>
      </c>
      <c r="D468" s="23" t="str">
        <f t="shared" ca="1" si="36"/>
        <v>—</v>
      </c>
      <c r="E468" s="40">
        <f t="shared" ca="1" si="37"/>
        <v>7</v>
      </c>
      <c r="F468" s="23" t="str">
        <f t="shared" ca="1" si="38"/>
        <v>—</v>
      </c>
      <c r="G468" s="40">
        <f t="shared" ca="1" si="39"/>
        <v>7</v>
      </c>
    </row>
    <row r="469" spans="1:7" x14ac:dyDescent="0.25">
      <c r="A469" s="17">
        <f t="shared" si="35"/>
        <v>81</v>
      </c>
      <c r="B469" t="str">
        <f ca="1">TEXT(DATE(YEAR(Invoer!$A$5),1,1)+INT((ROWS(B$2:B469)-1)/3),"jjjjmmdd")</f>
        <v>19430605</v>
      </c>
      <c r="C469" s="35" t="str">
        <f>INDEX(Data,2,2+MOD(ROWS(C$2:C469)-1,3))</f>
        <v>19.45</v>
      </c>
      <c r="D469" s="23" t="str">
        <f t="shared" ca="1" si="36"/>
        <v>—</v>
      </c>
      <c r="E469" s="40">
        <f t="shared" ca="1" si="37"/>
        <v>7</v>
      </c>
      <c r="F469" s="23" t="str">
        <f t="shared" ca="1" si="38"/>
        <v>—</v>
      </c>
      <c r="G469" s="40">
        <f t="shared" ca="1" si="39"/>
        <v>7</v>
      </c>
    </row>
    <row r="470" spans="1:7" x14ac:dyDescent="0.25">
      <c r="A470" s="17">
        <f t="shared" si="35"/>
        <v>81</v>
      </c>
      <c r="B470" t="str">
        <f ca="1">TEXT(DATE(YEAR(Invoer!$A$5),1,1)+INT((ROWS(B$2:B470)-1)/3),"jjjjmmdd")</f>
        <v>19430606</v>
      </c>
      <c r="C470" s="35" t="str">
        <f>INDEX(Data,2,2+MOD(ROWS(C$2:C470)-1,3))</f>
        <v>07.45</v>
      </c>
      <c r="D470" s="23" t="str">
        <f t="shared" ca="1" si="36"/>
        <v>—</v>
      </c>
      <c r="E470" s="40">
        <f t="shared" ca="1" si="37"/>
        <v>7</v>
      </c>
      <c r="F470" s="23" t="str">
        <f t="shared" ca="1" si="38"/>
        <v>—</v>
      </c>
      <c r="G470" s="40">
        <f t="shared" ca="1" si="39"/>
        <v>7</v>
      </c>
    </row>
    <row r="471" spans="1:7" x14ac:dyDescent="0.25">
      <c r="A471" s="17">
        <f t="shared" si="35"/>
        <v>81</v>
      </c>
      <c r="B471" t="str">
        <f ca="1">TEXT(DATE(YEAR(Invoer!$A$5),1,1)+INT((ROWS(B$2:B471)-1)/3),"jjjjmmdd")</f>
        <v>19430606</v>
      </c>
      <c r="C471" s="35" t="str">
        <f>INDEX(Data,2,2+MOD(ROWS(C$2:C471)-1,3))</f>
        <v>13.45</v>
      </c>
      <c r="D471" s="23" t="str">
        <f t="shared" ca="1" si="36"/>
        <v>—</v>
      </c>
      <c r="E471" s="40">
        <f t="shared" ca="1" si="37"/>
        <v>7</v>
      </c>
      <c r="F471" s="23" t="str">
        <f t="shared" ca="1" si="38"/>
        <v>—</v>
      </c>
      <c r="G471" s="40">
        <f t="shared" ca="1" si="39"/>
        <v>7</v>
      </c>
    </row>
    <row r="472" spans="1:7" x14ac:dyDescent="0.25">
      <c r="A472" s="17">
        <f t="shared" si="35"/>
        <v>81</v>
      </c>
      <c r="B472" t="str">
        <f ca="1">TEXT(DATE(YEAR(Invoer!$A$5),1,1)+INT((ROWS(B$2:B472)-1)/3),"jjjjmmdd")</f>
        <v>19430606</v>
      </c>
      <c r="C472" s="35" t="str">
        <f>INDEX(Data,2,2+MOD(ROWS(C$2:C472)-1,3))</f>
        <v>19.45</v>
      </c>
      <c r="D472" s="23" t="str">
        <f t="shared" ca="1" si="36"/>
        <v>—</v>
      </c>
      <c r="E472" s="40">
        <f t="shared" ca="1" si="37"/>
        <v>7</v>
      </c>
      <c r="F472" s="23" t="str">
        <f t="shared" ca="1" si="38"/>
        <v>—</v>
      </c>
      <c r="G472" s="40">
        <f t="shared" ca="1" si="39"/>
        <v>7</v>
      </c>
    </row>
    <row r="473" spans="1:7" x14ac:dyDescent="0.25">
      <c r="A473" s="17">
        <f t="shared" si="35"/>
        <v>81</v>
      </c>
      <c r="B473" t="str">
        <f ca="1">TEXT(DATE(YEAR(Invoer!$A$5),1,1)+INT((ROWS(B$2:B473)-1)/3),"jjjjmmdd")</f>
        <v>19430607</v>
      </c>
      <c r="C473" s="35" t="str">
        <f>INDEX(Data,2,2+MOD(ROWS(C$2:C473)-1,3))</f>
        <v>07.45</v>
      </c>
      <c r="D473" s="23" t="str">
        <f t="shared" ca="1" si="36"/>
        <v>—</v>
      </c>
      <c r="E473" s="40">
        <f t="shared" ca="1" si="37"/>
        <v>7</v>
      </c>
      <c r="F473" s="23" t="str">
        <f t="shared" ca="1" si="38"/>
        <v>—</v>
      </c>
      <c r="G473" s="40">
        <f t="shared" ca="1" si="39"/>
        <v>7</v>
      </c>
    </row>
    <row r="474" spans="1:7" x14ac:dyDescent="0.25">
      <c r="A474" s="17">
        <f t="shared" si="35"/>
        <v>81</v>
      </c>
      <c r="B474" t="str">
        <f ca="1">TEXT(DATE(YEAR(Invoer!$A$5),1,1)+INT((ROWS(B$2:B474)-1)/3),"jjjjmmdd")</f>
        <v>19430607</v>
      </c>
      <c r="C474" s="35" t="str">
        <f>INDEX(Data,2,2+MOD(ROWS(C$2:C474)-1,3))</f>
        <v>13.45</v>
      </c>
      <c r="D474" s="23" t="str">
        <f t="shared" ca="1" si="36"/>
        <v>—</v>
      </c>
      <c r="E474" s="40">
        <f t="shared" ca="1" si="37"/>
        <v>7</v>
      </c>
      <c r="F474" s="23" t="str">
        <f t="shared" ca="1" si="38"/>
        <v>—</v>
      </c>
      <c r="G474" s="40">
        <f t="shared" ca="1" si="39"/>
        <v>7</v>
      </c>
    </row>
    <row r="475" spans="1:7" x14ac:dyDescent="0.25">
      <c r="A475" s="17">
        <f t="shared" si="35"/>
        <v>81</v>
      </c>
      <c r="B475" t="str">
        <f ca="1">TEXT(DATE(YEAR(Invoer!$A$5),1,1)+INT((ROWS(B$2:B475)-1)/3),"jjjjmmdd")</f>
        <v>19430607</v>
      </c>
      <c r="C475" s="35" t="str">
        <f>INDEX(Data,2,2+MOD(ROWS(C$2:C475)-1,3))</f>
        <v>19.45</v>
      </c>
      <c r="D475" s="23" t="str">
        <f t="shared" ca="1" si="36"/>
        <v>—</v>
      </c>
      <c r="E475" s="40">
        <f t="shared" ca="1" si="37"/>
        <v>7</v>
      </c>
      <c r="F475" s="23" t="str">
        <f t="shared" ca="1" si="38"/>
        <v>—</v>
      </c>
      <c r="G475" s="40">
        <f t="shared" ca="1" si="39"/>
        <v>7</v>
      </c>
    </row>
    <row r="476" spans="1:7" x14ac:dyDescent="0.25">
      <c r="A476" s="17">
        <f t="shared" si="35"/>
        <v>81</v>
      </c>
      <c r="B476" t="str">
        <f ca="1">TEXT(DATE(YEAR(Invoer!$A$5),1,1)+INT((ROWS(B$2:B476)-1)/3),"jjjjmmdd")</f>
        <v>19430608</v>
      </c>
      <c r="C476" s="35" t="str">
        <f>INDEX(Data,2,2+MOD(ROWS(C$2:C476)-1,3))</f>
        <v>07.45</v>
      </c>
      <c r="D476" s="23" t="str">
        <f t="shared" ca="1" si="36"/>
        <v>—</v>
      </c>
      <c r="E476" s="40">
        <f t="shared" ca="1" si="37"/>
        <v>7</v>
      </c>
      <c r="F476" s="23" t="str">
        <f t="shared" ca="1" si="38"/>
        <v>—</v>
      </c>
      <c r="G476" s="40">
        <f t="shared" ca="1" si="39"/>
        <v>7</v>
      </c>
    </row>
    <row r="477" spans="1:7" x14ac:dyDescent="0.25">
      <c r="A477" s="17">
        <f t="shared" si="35"/>
        <v>81</v>
      </c>
      <c r="B477" t="str">
        <f ca="1">TEXT(DATE(YEAR(Invoer!$A$5),1,1)+INT((ROWS(B$2:B477)-1)/3),"jjjjmmdd")</f>
        <v>19430608</v>
      </c>
      <c r="C477" s="35" t="str">
        <f>INDEX(Data,2,2+MOD(ROWS(C$2:C477)-1,3))</f>
        <v>13.45</v>
      </c>
      <c r="D477" s="23" t="str">
        <f t="shared" ca="1" si="36"/>
        <v>—</v>
      </c>
      <c r="E477" s="40">
        <f t="shared" ca="1" si="37"/>
        <v>7</v>
      </c>
      <c r="F477" s="23" t="str">
        <f t="shared" ca="1" si="38"/>
        <v>—</v>
      </c>
      <c r="G477" s="40">
        <f t="shared" ca="1" si="39"/>
        <v>7</v>
      </c>
    </row>
    <row r="478" spans="1:7" x14ac:dyDescent="0.25">
      <c r="A478" s="17">
        <f t="shared" si="35"/>
        <v>81</v>
      </c>
      <c r="B478" t="str">
        <f ca="1">TEXT(DATE(YEAR(Invoer!$A$5),1,1)+INT((ROWS(B$2:B478)-1)/3),"jjjjmmdd")</f>
        <v>19430608</v>
      </c>
      <c r="C478" s="35" t="str">
        <f>INDEX(Data,2,2+MOD(ROWS(C$2:C478)-1,3))</f>
        <v>19.45</v>
      </c>
      <c r="D478" s="23" t="str">
        <f t="shared" ca="1" si="36"/>
        <v>—</v>
      </c>
      <c r="E478" s="40">
        <f t="shared" ca="1" si="37"/>
        <v>7</v>
      </c>
      <c r="F478" s="23" t="str">
        <f t="shared" ca="1" si="38"/>
        <v>—</v>
      </c>
      <c r="G478" s="40">
        <f t="shared" ca="1" si="39"/>
        <v>7</v>
      </c>
    </row>
    <row r="479" spans="1:7" x14ac:dyDescent="0.25">
      <c r="A479" s="17">
        <f t="shared" si="35"/>
        <v>81</v>
      </c>
      <c r="B479" t="str">
        <f ca="1">TEXT(DATE(YEAR(Invoer!$A$5),1,1)+INT((ROWS(B$2:B479)-1)/3),"jjjjmmdd")</f>
        <v>19430609</v>
      </c>
      <c r="C479" s="35" t="str">
        <f>INDEX(Data,2,2+MOD(ROWS(C$2:C479)-1,3))</f>
        <v>07.45</v>
      </c>
      <c r="D479" s="23" t="str">
        <f t="shared" ca="1" si="36"/>
        <v>—</v>
      </c>
      <c r="E479" s="40">
        <f t="shared" ca="1" si="37"/>
        <v>7</v>
      </c>
      <c r="F479" s="23" t="str">
        <f t="shared" ca="1" si="38"/>
        <v>—</v>
      </c>
      <c r="G479" s="40">
        <f t="shared" ca="1" si="39"/>
        <v>7</v>
      </c>
    </row>
    <row r="480" spans="1:7" x14ac:dyDescent="0.25">
      <c r="A480" s="17">
        <f t="shared" si="35"/>
        <v>81</v>
      </c>
      <c r="B480" t="str">
        <f ca="1">TEXT(DATE(YEAR(Invoer!$A$5),1,1)+INT((ROWS(B$2:B480)-1)/3),"jjjjmmdd")</f>
        <v>19430609</v>
      </c>
      <c r="C480" s="35" t="str">
        <f>INDEX(Data,2,2+MOD(ROWS(C$2:C480)-1,3))</f>
        <v>13.45</v>
      </c>
      <c r="D480" s="23" t="str">
        <f t="shared" ca="1" si="36"/>
        <v>—</v>
      </c>
      <c r="E480" s="40">
        <f t="shared" ca="1" si="37"/>
        <v>7</v>
      </c>
      <c r="F480" s="23" t="str">
        <f t="shared" ca="1" si="38"/>
        <v>—</v>
      </c>
      <c r="G480" s="40">
        <f t="shared" ca="1" si="39"/>
        <v>7</v>
      </c>
    </row>
    <row r="481" spans="1:7" x14ac:dyDescent="0.25">
      <c r="A481" s="17">
        <f t="shared" si="35"/>
        <v>81</v>
      </c>
      <c r="B481" t="str">
        <f ca="1">TEXT(DATE(YEAR(Invoer!$A$5),1,1)+INT((ROWS(B$2:B481)-1)/3),"jjjjmmdd")</f>
        <v>19430609</v>
      </c>
      <c r="C481" s="35" t="str">
        <f>INDEX(Data,2,2+MOD(ROWS(C$2:C481)-1,3))</f>
        <v>19.45</v>
      </c>
      <c r="D481" s="23" t="str">
        <f t="shared" ca="1" si="36"/>
        <v>—</v>
      </c>
      <c r="E481" s="40">
        <f t="shared" ca="1" si="37"/>
        <v>7</v>
      </c>
      <c r="F481" s="23" t="str">
        <f t="shared" ca="1" si="38"/>
        <v>—</v>
      </c>
      <c r="G481" s="40">
        <f t="shared" ca="1" si="39"/>
        <v>7</v>
      </c>
    </row>
    <row r="482" spans="1:7" x14ac:dyDescent="0.25">
      <c r="A482" s="17">
        <f t="shared" si="35"/>
        <v>81</v>
      </c>
      <c r="B482" t="str">
        <f ca="1">TEXT(DATE(YEAR(Invoer!$A$5),1,1)+INT((ROWS(B$2:B482)-1)/3),"jjjjmmdd")</f>
        <v>19430610</v>
      </c>
      <c r="C482" s="35" t="str">
        <f>INDEX(Data,2,2+MOD(ROWS(C$2:C482)-1,3))</f>
        <v>07.45</v>
      </c>
      <c r="D482" s="23" t="str">
        <f t="shared" ca="1" si="36"/>
        <v>—</v>
      </c>
      <c r="E482" s="40">
        <f t="shared" ca="1" si="37"/>
        <v>7</v>
      </c>
      <c r="F482" s="23" t="str">
        <f t="shared" ca="1" si="38"/>
        <v>—</v>
      </c>
      <c r="G482" s="40">
        <f t="shared" ca="1" si="39"/>
        <v>7</v>
      </c>
    </row>
    <row r="483" spans="1:7" x14ac:dyDescent="0.25">
      <c r="A483" s="17">
        <f t="shared" si="35"/>
        <v>81</v>
      </c>
      <c r="B483" t="str">
        <f ca="1">TEXT(DATE(YEAR(Invoer!$A$5),1,1)+INT((ROWS(B$2:B483)-1)/3),"jjjjmmdd")</f>
        <v>19430610</v>
      </c>
      <c r="C483" s="35" t="str">
        <f>INDEX(Data,2,2+MOD(ROWS(C$2:C483)-1,3))</f>
        <v>13.45</v>
      </c>
      <c r="D483" s="23" t="str">
        <f t="shared" ca="1" si="36"/>
        <v>—</v>
      </c>
      <c r="E483" s="40">
        <f t="shared" ca="1" si="37"/>
        <v>7</v>
      </c>
      <c r="F483" s="23" t="str">
        <f t="shared" ca="1" si="38"/>
        <v>—</v>
      </c>
      <c r="G483" s="40">
        <f t="shared" ca="1" si="39"/>
        <v>7</v>
      </c>
    </row>
    <row r="484" spans="1:7" x14ac:dyDescent="0.25">
      <c r="A484" s="17">
        <f t="shared" si="35"/>
        <v>81</v>
      </c>
      <c r="B484" t="str">
        <f ca="1">TEXT(DATE(YEAR(Invoer!$A$5),1,1)+INT((ROWS(B$2:B484)-1)/3),"jjjjmmdd")</f>
        <v>19430610</v>
      </c>
      <c r="C484" s="35" t="str">
        <f>INDEX(Data,2,2+MOD(ROWS(C$2:C484)-1,3))</f>
        <v>19.45</v>
      </c>
      <c r="D484" s="23" t="str">
        <f t="shared" ca="1" si="36"/>
        <v>—</v>
      </c>
      <c r="E484" s="40">
        <f t="shared" ca="1" si="37"/>
        <v>7</v>
      </c>
      <c r="F484" s="23" t="str">
        <f t="shared" ca="1" si="38"/>
        <v>—</v>
      </c>
      <c r="G484" s="40">
        <f t="shared" ca="1" si="39"/>
        <v>7</v>
      </c>
    </row>
    <row r="485" spans="1:7" x14ac:dyDescent="0.25">
      <c r="A485" s="17">
        <f t="shared" si="35"/>
        <v>81</v>
      </c>
      <c r="B485" t="str">
        <f ca="1">TEXT(DATE(YEAR(Invoer!$A$5),1,1)+INT((ROWS(B$2:B485)-1)/3),"jjjjmmdd")</f>
        <v>19430611</v>
      </c>
      <c r="C485" s="35" t="str">
        <f>INDEX(Data,2,2+MOD(ROWS(C$2:C485)-1,3))</f>
        <v>07.45</v>
      </c>
      <c r="D485" s="23" t="str">
        <f t="shared" ca="1" si="36"/>
        <v>—</v>
      </c>
      <c r="E485" s="40">
        <f t="shared" ca="1" si="37"/>
        <v>7</v>
      </c>
      <c r="F485" s="23" t="str">
        <f t="shared" ca="1" si="38"/>
        <v>—</v>
      </c>
      <c r="G485" s="40">
        <f t="shared" ca="1" si="39"/>
        <v>7</v>
      </c>
    </row>
    <row r="486" spans="1:7" x14ac:dyDescent="0.25">
      <c r="A486" s="17">
        <f t="shared" si="35"/>
        <v>81</v>
      </c>
      <c r="B486" t="str">
        <f ca="1">TEXT(DATE(YEAR(Invoer!$A$5),1,1)+INT((ROWS(B$2:B486)-1)/3),"jjjjmmdd")</f>
        <v>19430611</v>
      </c>
      <c r="C486" s="35" t="str">
        <f>INDEX(Data,2,2+MOD(ROWS(C$2:C486)-1,3))</f>
        <v>13.45</v>
      </c>
      <c r="D486" s="23" t="str">
        <f t="shared" ca="1" si="36"/>
        <v>—</v>
      </c>
      <c r="E486" s="40">
        <f t="shared" ca="1" si="37"/>
        <v>7</v>
      </c>
      <c r="F486" s="23" t="str">
        <f t="shared" ca="1" si="38"/>
        <v>—</v>
      </c>
      <c r="G486" s="40">
        <f t="shared" ca="1" si="39"/>
        <v>7</v>
      </c>
    </row>
    <row r="487" spans="1:7" x14ac:dyDescent="0.25">
      <c r="A487" s="17">
        <f t="shared" si="35"/>
        <v>81</v>
      </c>
      <c r="B487" t="str">
        <f ca="1">TEXT(DATE(YEAR(Invoer!$A$5),1,1)+INT((ROWS(B$2:B487)-1)/3),"jjjjmmdd")</f>
        <v>19430611</v>
      </c>
      <c r="C487" s="35" t="str">
        <f>INDEX(Data,2,2+MOD(ROWS(C$2:C487)-1,3))</f>
        <v>19.45</v>
      </c>
      <c r="D487" s="23" t="str">
        <f t="shared" ca="1" si="36"/>
        <v>—</v>
      </c>
      <c r="E487" s="40">
        <f t="shared" ca="1" si="37"/>
        <v>7</v>
      </c>
      <c r="F487" s="23" t="str">
        <f t="shared" ca="1" si="38"/>
        <v>—</v>
      </c>
      <c r="G487" s="40">
        <f t="shared" ca="1" si="39"/>
        <v>7</v>
      </c>
    </row>
    <row r="488" spans="1:7" x14ac:dyDescent="0.25">
      <c r="A488" s="17">
        <f t="shared" si="35"/>
        <v>81</v>
      </c>
      <c r="B488" t="str">
        <f ca="1">TEXT(DATE(YEAR(Invoer!$A$5),1,1)+INT((ROWS(B$2:B488)-1)/3),"jjjjmmdd")</f>
        <v>19430612</v>
      </c>
      <c r="C488" s="35" t="str">
        <f>INDEX(Data,2,2+MOD(ROWS(C$2:C488)-1,3))</f>
        <v>07.45</v>
      </c>
      <c r="D488" s="23" t="str">
        <f t="shared" ca="1" si="36"/>
        <v>—</v>
      </c>
      <c r="E488" s="40">
        <f t="shared" ca="1" si="37"/>
        <v>7</v>
      </c>
      <c r="F488" s="23" t="str">
        <f t="shared" ca="1" si="38"/>
        <v>—</v>
      </c>
      <c r="G488" s="40">
        <f t="shared" ca="1" si="39"/>
        <v>7</v>
      </c>
    </row>
    <row r="489" spans="1:7" x14ac:dyDescent="0.25">
      <c r="A489" s="17">
        <f t="shared" si="35"/>
        <v>81</v>
      </c>
      <c r="B489" t="str">
        <f ca="1">TEXT(DATE(YEAR(Invoer!$A$5),1,1)+INT((ROWS(B$2:B489)-1)/3),"jjjjmmdd")</f>
        <v>19430612</v>
      </c>
      <c r="C489" s="35" t="str">
        <f>INDEX(Data,2,2+MOD(ROWS(C$2:C489)-1,3))</f>
        <v>13.45</v>
      </c>
      <c r="D489" s="23" t="str">
        <f t="shared" ca="1" si="36"/>
        <v>—</v>
      </c>
      <c r="E489" s="40">
        <f t="shared" ca="1" si="37"/>
        <v>7</v>
      </c>
      <c r="F489" s="23" t="str">
        <f t="shared" ca="1" si="38"/>
        <v>—</v>
      </c>
      <c r="G489" s="40">
        <f t="shared" ca="1" si="39"/>
        <v>7</v>
      </c>
    </row>
    <row r="490" spans="1:7" x14ac:dyDescent="0.25">
      <c r="A490" s="17">
        <f t="shared" si="35"/>
        <v>81</v>
      </c>
      <c r="B490" t="str">
        <f ca="1">TEXT(DATE(YEAR(Invoer!$A$5),1,1)+INT((ROWS(B$2:B490)-1)/3),"jjjjmmdd")</f>
        <v>19430612</v>
      </c>
      <c r="C490" s="35" t="str">
        <f>INDEX(Data,2,2+MOD(ROWS(C$2:C490)-1,3))</f>
        <v>19.45</v>
      </c>
      <c r="D490" s="23" t="str">
        <f t="shared" ca="1" si="36"/>
        <v>—</v>
      </c>
      <c r="E490" s="40">
        <f t="shared" ca="1" si="37"/>
        <v>7</v>
      </c>
      <c r="F490" s="23" t="str">
        <f t="shared" ca="1" si="38"/>
        <v>—</v>
      </c>
      <c r="G490" s="40">
        <f t="shared" ca="1" si="39"/>
        <v>7</v>
      </c>
    </row>
    <row r="491" spans="1:7" x14ac:dyDescent="0.25">
      <c r="A491" s="17">
        <f t="shared" si="35"/>
        <v>81</v>
      </c>
      <c r="B491" t="str">
        <f ca="1">TEXT(DATE(YEAR(Invoer!$A$5),1,1)+INT((ROWS(B$2:B491)-1)/3),"jjjjmmdd")</f>
        <v>19430613</v>
      </c>
      <c r="C491" s="35" t="str">
        <f>INDEX(Data,2,2+MOD(ROWS(C$2:C491)-1,3))</f>
        <v>07.45</v>
      </c>
      <c r="D491" s="23" t="str">
        <f t="shared" ca="1" si="36"/>
        <v>—</v>
      </c>
      <c r="E491" s="40">
        <f t="shared" ca="1" si="37"/>
        <v>7</v>
      </c>
      <c r="F491" s="23" t="str">
        <f t="shared" ca="1" si="38"/>
        <v>—</v>
      </c>
      <c r="G491" s="40">
        <f t="shared" ca="1" si="39"/>
        <v>7</v>
      </c>
    </row>
    <row r="492" spans="1:7" x14ac:dyDescent="0.25">
      <c r="A492" s="17">
        <f t="shared" si="35"/>
        <v>81</v>
      </c>
      <c r="B492" t="str">
        <f ca="1">TEXT(DATE(YEAR(Invoer!$A$5),1,1)+INT((ROWS(B$2:B492)-1)/3),"jjjjmmdd")</f>
        <v>19430613</v>
      </c>
      <c r="C492" s="35" t="str">
        <f>INDEX(Data,2,2+MOD(ROWS(C$2:C492)-1,3))</f>
        <v>13.45</v>
      </c>
      <c r="D492" s="23" t="str">
        <f t="shared" ca="1" si="36"/>
        <v>—</v>
      </c>
      <c r="E492" s="40">
        <f t="shared" ca="1" si="37"/>
        <v>7</v>
      </c>
      <c r="F492" s="23" t="str">
        <f t="shared" ca="1" si="38"/>
        <v>—</v>
      </c>
      <c r="G492" s="40">
        <f t="shared" ca="1" si="39"/>
        <v>7</v>
      </c>
    </row>
    <row r="493" spans="1:7" x14ac:dyDescent="0.25">
      <c r="A493" s="17">
        <f t="shared" si="35"/>
        <v>81</v>
      </c>
      <c r="B493" t="str">
        <f ca="1">TEXT(DATE(YEAR(Invoer!$A$5),1,1)+INT((ROWS(B$2:B493)-1)/3),"jjjjmmdd")</f>
        <v>19430613</v>
      </c>
      <c r="C493" s="35" t="str">
        <f>INDEX(Data,2,2+MOD(ROWS(C$2:C493)-1,3))</f>
        <v>19.45</v>
      </c>
      <c r="D493" s="23" t="str">
        <f t="shared" ca="1" si="36"/>
        <v>—</v>
      </c>
      <c r="E493" s="40">
        <f t="shared" ca="1" si="37"/>
        <v>7</v>
      </c>
      <c r="F493" s="23" t="str">
        <f t="shared" ca="1" si="38"/>
        <v>—</v>
      </c>
      <c r="G493" s="40">
        <f t="shared" ca="1" si="39"/>
        <v>7</v>
      </c>
    </row>
    <row r="494" spans="1:7" x14ac:dyDescent="0.25">
      <c r="A494" s="17">
        <f t="shared" si="35"/>
        <v>81</v>
      </c>
      <c r="B494" t="str">
        <f ca="1">TEXT(DATE(YEAR(Invoer!$A$5),1,1)+INT((ROWS(B$2:B494)-1)/3),"jjjjmmdd")</f>
        <v>19430614</v>
      </c>
      <c r="C494" s="35" t="str">
        <f>INDEX(Data,2,2+MOD(ROWS(C$2:C494)-1,3))</f>
        <v>07.45</v>
      </c>
      <c r="D494" s="23" t="str">
        <f t="shared" ca="1" si="36"/>
        <v>—</v>
      </c>
      <c r="E494" s="40">
        <f t="shared" ca="1" si="37"/>
        <v>7</v>
      </c>
      <c r="F494" s="23" t="str">
        <f t="shared" ca="1" si="38"/>
        <v>—</v>
      </c>
      <c r="G494" s="40">
        <f t="shared" ca="1" si="39"/>
        <v>7</v>
      </c>
    </row>
    <row r="495" spans="1:7" x14ac:dyDescent="0.25">
      <c r="A495" s="17">
        <f t="shared" si="35"/>
        <v>81</v>
      </c>
      <c r="B495" t="str">
        <f ca="1">TEXT(DATE(YEAR(Invoer!$A$5),1,1)+INT((ROWS(B$2:B495)-1)/3),"jjjjmmdd")</f>
        <v>19430614</v>
      </c>
      <c r="C495" s="35" t="str">
        <f>INDEX(Data,2,2+MOD(ROWS(C$2:C495)-1,3))</f>
        <v>13.45</v>
      </c>
      <c r="D495" s="23" t="str">
        <f t="shared" ca="1" si="36"/>
        <v>—</v>
      </c>
      <c r="E495" s="40">
        <f t="shared" ca="1" si="37"/>
        <v>7</v>
      </c>
      <c r="F495" s="23" t="str">
        <f t="shared" ca="1" si="38"/>
        <v>—</v>
      </c>
      <c r="G495" s="40">
        <f t="shared" ca="1" si="39"/>
        <v>7</v>
      </c>
    </row>
    <row r="496" spans="1:7" x14ac:dyDescent="0.25">
      <c r="A496" s="17">
        <f t="shared" si="35"/>
        <v>81</v>
      </c>
      <c r="B496" t="str">
        <f ca="1">TEXT(DATE(YEAR(Invoer!$A$5),1,1)+INT((ROWS(B$2:B496)-1)/3),"jjjjmmdd")</f>
        <v>19430614</v>
      </c>
      <c r="C496" s="35" t="str">
        <f>INDEX(Data,2,2+MOD(ROWS(C$2:C496)-1,3))</f>
        <v>19.45</v>
      </c>
      <c r="D496" s="23" t="str">
        <f t="shared" ca="1" si="36"/>
        <v>—</v>
      </c>
      <c r="E496" s="40">
        <f t="shared" ca="1" si="37"/>
        <v>7</v>
      </c>
      <c r="F496" s="23" t="str">
        <f t="shared" ca="1" si="38"/>
        <v>—</v>
      </c>
      <c r="G496" s="40">
        <f t="shared" ca="1" si="39"/>
        <v>7</v>
      </c>
    </row>
    <row r="497" spans="1:7" x14ac:dyDescent="0.25">
      <c r="A497" s="17">
        <f t="shared" si="35"/>
        <v>81</v>
      </c>
      <c r="B497" t="str">
        <f ca="1">TEXT(DATE(YEAR(Invoer!$A$5),1,1)+INT((ROWS(B$2:B497)-1)/3),"jjjjmmdd")</f>
        <v>19430615</v>
      </c>
      <c r="C497" s="35" t="str">
        <f>INDEX(Data,2,2+MOD(ROWS(C$2:C497)-1,3))</f>
        <v>07.45</v>
      </c>
      <c r="D497" s="23" t="str">
        <f t="shared" ca="1" si="36"/>
        <v>—</v>
      </c>
      <c r="E497" s="40">
        <f t="shared" ca="1" si="37"/>
        <v>7</v>
      </c>
      <c r="F497" s="23" t="str">
        <f t="shared" ca="1" si="38"/>
        <v>—</v>
      </c>
      <c r="G497" s="40">
        <f t="shared" ca="1" si="39"/>
        <v>7</v>
      </c>
    </row>
    <row r="498" spans="1:7" x14ac:dyDescent="0.25">
      <c r="A498" s="17">
        <f t="shared" si="35"/>
        <v>81</v>
      </c>
      <c r="B498" t="str">
        <f ca="1">TEXT(DATE(YEAR(Invoer!$A$5),1,1)+INT((ROWS(B$2:B498)-1)/3),"jjjjmmdd")</f>
        <v>19430615</v>
      </c>
      <c r="C498" s="35" t="str">
        <f>INDEX(Data,2,2+MOD(ROWS(C$2:C498)-1,3))</f>
        <v>13.45</v>
      </c>
      <c r="D498" s="23" t="str">
        <f t="shared" ca="1" si="36"/>
        <v>—</v>
      </c>
      <c r="E498" s="40">
        <f t="shared" ca="1" si="37"/>
        <v>7</v>
      </c>
      <c r="F498" s="23" t="str">
        <f t="shared" ca="1" si="38"/>
        <v>—</v>
      </c>
      <c r="G498" s="40">
        <f t="shared" ca="1" si="39"/>
        <v>7</v>
      </c>
    </row>
    <row r="499" spans="1:7" x14ac:dyDescent="0.25">
      <c r="A499" s="17">
        <f t="shared" si="35"/>
        <v>81</v>
      </c>
      <c r="B499" t="str">
        <f ca="1">TEXT(DATE(YEAR(Invoer!$A$5),1,1)+INT((ROWS(B$2:B499)-1)/3),"jjjjmmdd")</f>
        <v>19430615</v>
      </c>
      <c r="C499" s="35" t="str">
        <f>INDEX(Data,2,2+MOD(ROWS(C$2:C499)-1,3))</f>
        <v>19.45</v>
      </c>
      <c r="D499" s="23" t="str">
        <f t="shared" ca="1" si="36"/>
        <v>—</v>
      </c>
      <c r="E499" s="40">
        <f t="shared" ca="1" si="37"/>
        <v>7</v>
      </c>
      <c r="F499" s="23" t="str">
        <f t="shared" ca="1" si="38"/>
        <v>—</v>
      </c>
      <c r="G499" s="40">
        <f t="shared" ca="1" si="39"/>
        <v>7</v>
      </c>
    </row>
    <row r="500" spans="1:7" x14ac:dyDescent="0.25">
      <c r="A500" s="17">
        <f t="shared" si="35"/>
        <v>81</v>
      </c>
      <c r="B500" t="str">
        <f ca="1">TEXT(DATE(YEAR(Invoer!$A$5),1,1)+INT((ROWS(B$2:B500)-1)/3),"jjjjmmdd")</f>
        <v>19430616</v>
      </c>
      <c r="C500" s="35" t="str">
        <f>INDEX(Data,2,2+MOD(ROWS(C$2:C500)-1,3))</f>
        <v>07.45</v>
      </c>
      <c r="D500" s="23" t="str">
        <f t="shared" ca="1" si="36"/>
        <v>—</v>
      </c>
      <c r="E500" s="40">
        <f t="shared" ca="1" si="37"/>
        <v>7</v>
      </c>
      <c r="F500" s="23" t="str">
        <f t="shared" ca="1" si="38"/>
        <v>—</v>
      </c>
      <c r="G500" s="40">
        <f t="shared" ca="1" si="39"/>
        <v>7</v>
      </c>
    </row>
    <row r="501" spans="1:7" x14ac:dyDescent="0.25">
      <c r="A501" s="17">
        <f t="shared" si="35"/>
        <v>81</v>
      </c>
      <c r="B501" t="str">
        <f ca="1">TEXT(DATE(YEAR(Invoer!$A$5),1,1)+INT((ROWS(B$2:B501)-1)/3),"jjjjmmdd")</f>
        <v>19430616</v>
      </c>
      <c r="C501" s="35" t="str">
        <f>INDEX(Data,2,2+MOD(ROWS(C$2:C501)-1,3))</f>
        <v>13.45</v>
      </c>
      <c r="D501" s="23" t="str">
        <f t="shared" ca="1" si="36"/>
        <v>—</v>
      </c>
      <c r="E501" s="40">
        <f t="shared" ca="1" si="37"/>
        <v>7</v>
      </c>
      <c r="F501" s="23" t="str">
        <f t="shared" ca="1" si="38"/>
        <v>—</v>
      </c>
      <c r="G501" s="40">
        <f t="shared" ca="1" si="39"/>
        <v>7</v>
      </c>
    </row>
    <row r="502" spans="1:7" x14ac:dyDescent="0.25">
      <c r="A502" s="17">
        <f t="shared" si="35"/>
        <v>81</v>
      </c>
      <c r="B502" t="str">
        <f ca="1">TEXT(DATE(YEAR(Invoer!$A$5),1,1)+INT((ROWS(B$2:B502)-1)/3),"jjjjmmdd")</f>
        <v>19430616</v>
      </c>
      <c r="C502" s="35" t="str">
        <f>INDEX(Data,2,2+MOD(ROWS(C$2:C502)-1,3))</f>
        <v>19.45</v>
      </c>
      <c r="D502" s="23" t="str">
        <f t="shared" ca="1" si="36"/>
        <v>—</v>
      </c>
      <c r="E502" s="40">
        <f t="shared" ca="1" si="37"/>
        <v>7</v>
      </c>
      <c r="F502" s="23" t="str">
        <f t="shared" ca="1" si="38"/>
        <v>—</v>
      </c>
      <c r="G502" s="40">
        <f t="shared" ca="1" si="39"/>
        <v>7</v>
      </c>
    </row>
    <row r="503" spans="1:7" x14ac:dyDescent="0.25">
      <c r="A503" s="17">
        <f t="shared" si="35"/>
        <v>81</v>
      </c>
      <c r="B503" t="str">
        <f ca="1">TEXT(DATE(YEAR(Invoer!$A$5),1,1)+INT((ROWS(B$2:B503)-1)/3),"jjjjmmdd")</f>
        <v>19430617</v>
      </c>
      <c r="C503" s="35" t="str">
        <f>INDEX(Data,2,2+MOD(ROWS(C$2:C503)-1,3))</f>
        <v>07.45</v>
      </c>
      <c r="D503" s="23" t="str">
        <f t="shared" ca="1" si="36"/>
        <v>—</v>
      </c>
      <c r="E503" s="40">
        <f t="shared" ca="1" si="37"/>
        <v>7</v>
      </c>
      <c r="F503" s="23" t="str">
        <f t="shared" ca="1" si="38"/>
        <v>—</v>
      </c>
      <c r="G503" s="40">
        <f t="shared" ca="1" si="39"/>
        <v>7</v>
      </c>
    </row>
    <row r="504" spans="1:7" x14ac:dyDescent="0.25">
      <c r="A504" s="17">
        <f t="shared" si="35"/>
        <v>81</v>
      </c>
      <c r="B504" t="str">
        <f ca="1">TEXT(DATE(YEAR(Invoer!$A$5),1,1)+INT((ROWS(B$2:B504)-1)/3),"jjjjmmdd")</f>
        <v>19430617</v>
      </c>
      <c r="C504" s="35" t="str">
        <f>INDEX(Data,2,2+MOD(ROWS(C$2:C504)-1,3))</f>
        <v>13.45</v>
      </c>
      <c r="D504" s="23" t="str">
        <f t="shared" ca="1" si="36"/>
        <v>—</v>
      </c>
      <c r="E504" s="40">
        <f t="shared" ca="1" si="37"/>
        <v>7</v>
      </c>
      <c r="F504" s="23" t="str">
        <f t="shared" ca="1" si="38"/>
        <v>—</v>
      </c>
      <c r="G504" s="40">
        <f t="shared" ca="1" si="39"/>
        <v>7</v>
      </c>
    </row>
    <row r="505" spans="1:7" x14ac:dyDescent="0.25">
      <c r="A505" s="17">
        <f t="shared" si="35"/>
        <v>81</v>
      </c>
      <c r="B505" t="str">
        <f ca="1">TEXT(DATE(YEAR(Invoer!$A$5),1,1)+INT((ROWS(B$2:B505)-1)/3),"jjjjmmdd")</f>
        <v>19430617</v>
      </c>
      <c r="C505" s="35" t="str">
        <f>INDEX(Data,2,2+MOD(ROWS(C$2:C505)-1,3))</f>
        <v>19.45</v>
      </c>
      <c r="D505" s="23" t="str">
        <f t="shared" ca="1" si="36"/>
        <v>—</v>
      </c>
      <c r="E505" s="40">
        <f t="shared" ca="1" si="37"/>
        <v>7</v>
      </c>
      <c r="F505" s="23" t="str">
        <f t="shared" ca="1" si="38"/>
        <v>—</v>
      </c>
      <c r="G505" s="40">
        <f t="shared" ca="1" si="39"/>
        <v>7</v>
      </c>
    </row>
    <row r="506" spans="1:7" x14ac:dyDescent="0.25">
      <c r="A506" s="17">
        <f t="shared" si="35"/>
        <v>81</v>
      </c>
      <c r="B506" t="str">
        <f ca="1">TEXT(DATE(YEAR(Invoer!$A$5),1,1)+INT((ROWS(B$2:B506)-1)/3),"jjjjmmdd")</f>
        <v>19430618</v>
      </c>
      <c r="C506" s="35" t="str">
        <f>INDEX(Data,2,2+MOD(ROWS(C$2:C506)-1,3))</f>
        <v>07.45</v>
      </c>
      <c r="D506" s="23" t="str">
        <f t="shared" ca="1" si="36"/>
        <v>—</v>
      </c>
      <c r="E506" s="40">
        <f t="shared" ca="1" si="37"/>
        <v>7</v>
      </c>
      <c r="F506" s="23" t="str">
        <f t="shared" ca="1" si="38"/>
        <v>—</v>
      </c>
      <c r="G506" s="40">
        <f t="shared" ca="1" si="39"/>
        <v>7</v>
      </c>
    </row>
    <row r="507" spans="1:7" x14ac:dyDescent="0.25">
      <c r="A507" s="17">
        <f t="shared" si="35"/>
        <v>81</v>
      </c>
      <c r="B507" t="str">
        <f ca="1">TEXT(DATE(YEAR(Invoer!$A$5),1,1)+INT((ROWS(B$2:B507)-1)/3),"jjjjmmdd")</f>
        <v>19430618</v>
      </c>
      <c r="C507" s="35" t="str">
        <f>INDEX(Data,2,2+MOD(ROWS(C$2:C507)-1,3))</f>
        <v>13.45</v>
      </c>
      <c r="D507" s="23" t="str">
        <f t="shared" ca="1" si="36"/>
        <v>—</v>
      </c>
      <c r="E507" s="40">
        <f t="shared" ca="1" si="37"/>
        <v>7</v>
      </c>
      <c r="F507" s="23" t="str">
        <f t="shared" ca="1" si="38"/>
        <v>—</v>
      </c>
      <c r="G507" s="40">
        <f t="shared" ca="1" si="39"/>
        <v>7</v>
      </c>
    </row>
    <row r="508" spans="1:7" x14ac:dyDescent="0.25">
      <c r="A508" s="17">
        <f t="shared" si="35"/>
        <v>81</v>
      </c>
      <c r="B508" t="str">
        <f ca="1">TEXT(DATE(YEAR(Invoer!$A$5),1,1)+INT((ROWS(B$2:B508)-1)/3),"jjjjmmdd")</f>
        <v>19430618</v>
      </c>
      <c r="C508" s="35" t="str">
        <f>INDEX(Data,2,2+MOD(ROWS(C$2:C508)-1,3))</f>
        <v>19.45</v>
      </c>
      <c r="D508" s="23" t="str">
        <f t="shared" ca="1" si="36"/>
        <v>—</v>
      </c>
      <c r="E508" s="40">
        <f t="shared" ca="1" si="37"/>
        <v>7</v>
      </c>
      <c r="F508" s="23" t="str">
        <f t="shared" ca="1" si="38"/>
        <v>—</v>
      </c>
      <c r="G508" s="40">
        <f t="shared" ca="1" si="39"/>
        <v>7</v>
      </c>
    </row>
    <row r="509" spans="1:7" x14ac:dyDescent="0.25">
      <c r="A509" s="17">
        <f t="shared" si="35"/>
        <v>81</v>
      </c>
      <c r="B509" t="str">
        <f ca="1">TEXT(DATE(YEAR(Invoer!$A$5),1,1)+INT((ROWS(B$2:B509)-1)/3),"jjjjmmdd")</f>
        <v>19430619</v>
      </c>
      <c r="C509" s="35" t="str">
        <f>INDEX(Data,2,2+MOD(ROWS(C$2:C509)-1,3))</f>
        <v>07.45</v>
      </c>
      <c r="D509" s="23" t="str">
        <f t="shared" ca="1" si="36"/>
        <v>—</v>
      </c>
      <c r="E509" s="40">
        <f t="shared" ca="1" si="37"/>
        <v>7</v>
      </c>
      <c r="F509" s="23" t="str">
        <f t="shared" ca="1" si="38"/>
        <v>—</v>
      </c>
      <c r="G509" s="40">
        <f t="shared" ca="1" si="39"/>
        <v>7</v>
      </c>
    </row>
    <row r="510" spans="1:7" x14ac:dyDescent="0.25">
      <c r="A510" s="17">
        <f t="shared" si="35"/>
        <v>81</v>
      </c>
      <c r="B510" t="str">
        <f ca="1">TEXT(DATE(YEAR(Invoer!$A$5),1,1)+INT((ROWS(B$2:B510)-1)/3),"jjjjmmdd")</f>
        <v>19430619</v>
      </c>
      <c r="C510" s="35" t="str">
        <f>INDEX(Data,2,2+MOD(ROWS(C$2:C510)-1,3))</f>
        <v>13.45</v>
      </c>
      <c r="D510" s="23" t="str">
        <f t="shared" ca="1" si="36"/>
        <v>—</v>
      </c>
      <c r="E510" s="40">
        <f t="shared" ca="1" si="37"/>
        <v>7</v>
      </c>
      <c r="F510" s="23" t="str">
        <f t="shared" ca="1" si="38"/>
        <v>—</v>
      </c>
      <c r="G510" s="40">
        <f t="shared" ca="1" si="39"/>
        <v>7</v>
      </c>
    </row>
    <row r="511" spans="1:7" x14ac:dyDescent="0.25">
      <c r="A511" s="17">
        <f t="shared" si="35"/>
        <v>81</v>
      </c>
      <c r="B511" t="str">
        <f ca="1">TEXT(DATE(YEAR(Invoer!$A$5),1,1)+INT((ROWS(B$2:B511)-1)/3),"jjjjmmdd")</f>
        <v>19430619</v>
      </c>
      <c r="C511" s="35" t="str">
        <f>INDEX(Data,2,2+MOD(ROWS(C$2:C511)-1,3))</f>
        <v>19.45</v>
      </c>
      <c r="D511" s="23" t="str">
        <f t="shared" ca="1" si="36"/>
        <v>—</v>
      </c>
      <c r="E511" s="40">
        <f t="shared" ca="1" si="37"/>
        <v>7</v>
      </c>
      <c r="F511" s="23" t="str">
        <f t="shared" ca="1" si="38"/>
        <v>—</v>
      </c>
      <c r="G511" s="40">
        <f t="shared" ca="1" si="39"/>
        <v>7</v>
      </c>
    </row>
    <row r="512" spans="1:7" x14ac:dyDescent="0.25">
      <c r="A512" s="17">
        <f t="shared" si="35"/>
        <v>81</v>
      </c>
      <c r="B512" t="str">
        <f ca="1">TEXT(DATE(YEAR(Invoer!$A$5),1,1)+INT((ROWS(B$2:B512)-1)/3),"jjjjmmdd")</f>
        <v>19430620</v>
      </c>
      <c r="C512" s="35" t="str">
        <f>INDEX(Data,2,2+MOD(ROWS(C$2:C512)-1,3))</f>
        <v>07.45</v>
      </c>
      <c r="D512" s="23" t="str">
        <f t="shared" ca="1" si="36"/>
        <v>—</v>
      </c>
      <c r="E512" s="40">
        <f t="shared" ca="1" si="37"/>
        <v>7</v>
      </c>
      <c r="F512" s="23" t="str">
        <f t="shared" ca="1" si="38"/>
        <v>—</v>
      </c>
      <c r="G512" s="40">
        <f t="shared" ca="1" si="39"/>
        <v>7</v>
      </c>
    </row>
    <row r="513" spans="1:7" x14ac:dyDescent="0.25">
      <c r="A513" s="17">
        <f t="shared" si="35"/>
        <v>81</v>
      </c>
      <c r="B513" t="str">
        <f ca="1">TEXT(DATE(YEAR(Invoer!$A$5),1,1)+INT((ROWS(B$2:B513)-1)/3),"jjjjmmdd")</f>
        <v>19430620</v>
      </c>
      <c r="C513" s="35" t="str">
        <f>INDEX(Data,2,2+MOD(ROWS(C$2:C513)-1,3))</f>
        <v>13.45</v>
      </c>
      <c r="D513" s="23" t="str">
        <f t="shared" ca="1" si="36"/>
        <v>—</v>
      </c>
      <c r="E513" s="40">
        <f t="shared" ca="1" si="37"/>
        <v>7</v>
      </c>
      <c r="F513" s="23" t="str">
        <f t="shared" ca="1" si="38"/>
        <v>—</v>
      </c>
      <c r="G513" s="40">
        <f t="shared" ca="1" si="39"/>
        <v>7</v>
      </c>
    </row>
    <row r="514" spans="1:7" x14ac:dyDescent="0.25">
      <c r="A514" s="17">
        <f t="shared" ref="A514:A577" si="40">INDEX(Stations,2,1)</f>
        <v>81</v>
      </c>
      <c r="B514" t="str">
        <f ca="1">TEXT(DATE(YEAR(Invoer!$A$5),1,1)+INT((ROWS(B$2:B514)-1)/3),"jjjjmmdd")</f>
        <v>19430620</v>
      </c>
      <c r="C514" s="35" t="str">
        <f>INDEX(Data,2,2+MOD(ROWS(C$2:C514)-1,3))</f>
        <v>19.45</v>
      </c>
      <c r="D514" s="23" t="str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—</v>
      </c>
      <c r="E514" s="40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  <c r="F514" s="23" t="str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)</f>
        <v>—</v>
      </c>
      <c r="G514" s="40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7</v>
      </c>
    </row>
    <row r="515" spans="1:7" x14ac:dyDescent="0.25">
      <c r="A515" s="17">
        <f t="shared" si="40"/>
        <v>81</v>
      </c>
      <c r="B515" t="str">
        <f ca="1">TEXT(DATE(YEAR(Invoer!$A$5),1,1)+INT((ROWS(B$2:B515)-1)/3),"jjjjmmdd")</f>
        <v>19430621</v>
      </c>
      <c r="C515" s="35" t="str">
        <f>INDEX(Data,2,2+MOD(ROWS(C$2:C515)-1,3))</f>
        <v>07.45</v>
      </c>
      <c r="D515" s="23" t="str">
        <f t="shared" ca="1" si="41"/>
        <v>—</v>
      </c>
      <c r="E515" s="40">
        <f t="shared" ca="1" si="42"/>
        <v>7</v>
      </c>
      <c r="F515" s="23" t="str">
        <f t="shared" ca="1" si="43"/>
        <v>—</v>
      </c>
      <c r="G515" s="40">
        <f t="shared" ca="1" si="44"/>
        <v>7</v>
      </c>
    </row>
    <row r="516" spans="1:7" x14ac:dyDescent="0.25">
      <c r="A516" s="17">
        <f t="shared" si="40"/>
        <v>81</v>
      </c>
      <c r="B516" t="str">
        <f ca="1">TEXT(DATE(YEAR(Invoer!$A$5),1,1)+INT((ROWS(B$2:B516)-1)/3),"jjjjmmdd")</f>
        <v>19430621</v>
      </c>
      <c r="C516" s="35" t="str">
        <f>INDEX(Data,2,2+MOD(ROWS(C$2:C516)-1,3))</f>
        <v>13.45</v>
      </c>
      <c r="D516" s="23" t="str">
        <f t="shared" ca="1" si="41"/>
        <v>—</v>
      </c>
      <c r="E516" s="40">
        <f t="shared" ca="1" si="42"/>
        <v>7</v>
      </c>
      <c r="F516" s="23" t="str">
        <f t="shared" ca="1" si="43"/>
        <v>—</v>
      </c>
      <c r="G516" s="40">
        <f t="shared" ca="1" si="44"/>
        <v>7</v>
      </c>
    </row>
    <row r="517" spans="1:7" x14ac:dyDescent="0.25">
      <c r="A517" s="17">
        <f t="shared" si="40"/>
        <v>81</v>
      </c>
      <c r="B517" t="str">
        <f ca="1">TEXT(DATE(YEAR(Invoer!$A$5),1,1)+INT((ROWS(B$2:B517)-1)/3),"jjjjmmdd")</f>
        <v>19430621</v>
      </c>
      <c r="C517" s="35" t="str">
        <f>INDEX(Data,2,2+MOD(ROWS(C$2:C517)-1,3))</f>
        <v>19.45</v>
      </c>
      <c r="D517" s="23" t="str">
        <f t="shared" ca="1" si="41"/>
        <v>—</v>
      </c>
      <c r="E517" s="40">
        <f t="shared" ca="1" si="42"/>
        <v>7</v>
      </c>
      <c r="F517" s="23" t="str">
        <f t="shared" ca="1" si="43"/>
        <v>—</v>
      </c>
      <c r="G517" s="40">
        <f t="shared" ca="1" si="44"/>
        <v>7</v>
      </c>
    </row>
    <row r="518" spans="1:7" x14ac:dyDescent="0.25">
      <c r="A518" s="17">
        <f t="shared" si="40"/>
        <v>81</v>
      </c>
      <c r="B518" t="str">
        <f ca="1">TEXT(DATE(YEAR(Invoer!$A$5),1,1)+INT((ROWS(B$2:B518)-1)/3),"jjjjmmdd")</f>
        <v>19430622</v>
      </c>
      <c r="C518" s="35" t="str">
        <f>INDEX(Data,2,2+MOD(ROWS(C$2:C518)-1,3))</f>
        <v>07.45</v>
      </c>
      <c r="D518" s="23" t="str">
        <f t="shared" ca="1" si="41"/>
        <v>—</v>
      </c>
      <c r="E518" s="40">
        <f t="shared" ca="1" si="42"/>
        <v>7</v>
      </c>
      <c r="F518" s="23" t="str">
        <f t="shared" ca="1" si="43"/>
        <v>—</v>
      </c>
      <c r="G518" s="40">
        <f t="shared" ca="1" si="44"/>
        <v>7</v>
      </c>
    </row>
    <row r="519" spans="1:7" x14ac:dyDescent="0.25">
      <c r="A519" s="17">
        <f t="shared" si="40"/>
        <v>81</v>
      </c>
      <c r="B519" t="str">
        <f ca="1">TEXT(DATE(YEAR(Invoer!$A$5),1,1)+INT((ROWS(B$2:B519)-1)/3),"jjjjmmdd")</f>
        <v>19430622</v>
      </c>
      <c r="C519" s="35" t="str">
        <f>INDEX(Data,2,2+MOD(ROWS(C$2:C519)-1,3))</f>
        <v>13.45</v>
      </c>
      <c r="D519" s="23" t="str">
        <f t="shared" ca="1" si="41"/>
        <v>—</v>
      </c>
      <c r="E519" s="40">
        <f t="shared" ca="1" si="42"/>
        <v>7</v>
      </c>
      <c r="F519" s="23" t="str">
        <f t="shared" ca="1" si="43"/>
        <v>—</v>
      </c>
      <c r="G519" s="40">
        <f t="shared" ca="1" si="44"/>
        <v>7</v>
      </c>
    </row>
    <row r="520" spans="1:7" x14ac:dyDescent="0.25">
      <c r="A520" s="17">
        <f t="shared" si="40"/>
        <v>81</v>
      </c>
      <c r="B520" t="str">
        <f ca="1">TEXT(DATE(YEAR(Invoer!$A$5),1,1)+INT((ROWS(B$2:B520)-1)/3),"jjjjmmdd")</f>
        <v>19430622</v>
      </c>
      <c r="C520" s="35" t="str">
        <f>INDEX(Data,2,2+MOD(ROWS(C$2:C520)-1,3))</f>
        <v>19.45</v>
      </c>
      <c r="D520" s="23" t="str">
        <f t="shared" ca="1" si="41"/>
        <v>—</v>
      </c>
      <c r="E520" s="40">
        <f t="shared" ca="1" si="42"/>
        <v>7</v>
      </c>
      <c r="F520" s="23" t="str">
        <f t="shared" ca="1" si="43"/>
        <v>—</v>
      </c>
      <c r="G520" s="40">
        <f t="shared" ca="1" si="44"/>
        <v>7</v>
      </c>
    </row>
    <row r="521" spans="1:7" x14ac:dyDescent="0.25">
      <c r="A521" s="17">
        <f t="shared" si="40"/>
        <v>81</v>
      </c>
      <c r="B521" t="str">
        <f ca="1">TEXT(DATE(YEAR(Invoer!$A$5),1,1)+INT((ROWS(B$2:B521)-1)/3),"jjjjmmdd")</f>
        <v>19430623</v>
      </c>
      <c r="C521" s="35" t="str">
        <f>INDEX(Data,2,2+MOD(ROWS(C$2:C521)-1,3))</f>
        <v>07.45</v>
      </c>
      <c r="D521" s="23" t="str">
        <f t="shared" ca="1" si="41"/>
        <v>—</v>
      </c>
      <c r="E521" s="40">
        <f t="shared" ca="1" si="42"/>
        <v>7</v>
      </c>
      <c r="F521" s="23" t="str">
        <f t="shared" ca="1" si="43"/>
        <v>—</v>
      </c>
      <c r="G521" s="40">
        <f t="shared" ca="1" si="44"/>
        <v>7</v>
      </c>
    </row>
    <row r="522" spans="1:7" x14ac:dyDescent="0.25">
      <c r="A522" s="17">
        <f t="shared" si="40"/>
        <v>81</v>
      </c>
      <c r="B522" t="str">
        <f ca="1">TEXT(DATE(YEAR(Invoer!$A$5),1,1)+INT((ROWS(B$2:B522)-1)/3),"jjjjmmdd")</f>
        <v>19430623</v>
      </c>
      <c r="C522" s="35" t="str">
        <f>INDEX(Data,2,2+MOD(ROWS(C$2:C522)-1,3))</f>
        <v>13.45</v>
      </c>
      <c r="D522" s="23" t="str">
        <f t="shared" ca="1" si="41"/>
        <v>—</v>
      </c>
      <c r="E522" s="40">
        <f t="shared" ca="1" si="42"/>
        <v>7</v>
      </c>
      <c r="F522" s="23" t="str">
        <f t="shared" ca="1" si="43"/>
        <v>—</v>
      </c>
      <c r="G522" s="40">
        <f t="shared" ca="1" si="44"/>
        <v>7</v>
      </c>
    </row>
    <row r="523" spans="1:7" x14ac:dyDescent="0.25">
      <c r="A523" s="17">
        <f t="shared" si="40"/>
        <v>81</v>
      </c>
      <c r="B523" t="str">
        <f ca="1">TEXT(DATE(YEAR(Invoer!$A$5),1,1)+INT((ROWS(B$2:B523)-1)/3),"jjjjmmdd")</f>
        <v>19430623</v>
      </c>
      <c r="C523" s="35" t="str">
        <f>INDEX(Data,2,2+MOD(ROWS(C$2:C523)-1,3))</f>
        <v>19.45</v>
      </c>
      <c r="D523" s="23" t="str">
        <f t="shared" ca="1" si="41"/>
        <v>—</v>
      </c>
      <c r="E523" s="40">
        <f t="shared" ca="1" si="42"/>
        <v>7</v>
      </c>
      <c r="F523" s="23" t="str">
        <f t="shared" ca="1" si="43"/>
        <v>—</v>
      </c>
      <c r="G523" s="40">
        <f t="shared" ca="1" si="44"/>
        <v>7</v>
      </c>
    </row>
    <row r="524" spans="1:7" x14ac:dyDescent="0.25">
      <c r="A524" s="17">
        <f t="shared" si="40"/>
        <v>81</v>
      </c>
      <c r="B524" t="str">
        <f ca="1">TEXT(DATE(YEAR(Invoer!$A$5),1,1)+INT((ROWS(B$2:B524)-1)/3),"jjjjmmdd")</f>
        <v>19430624</v>
      </c>
      <c r="C524" s="35" t="str">
        <f>INDEX(Data,2,2+MOD(ROWS(C$2:C524)-1,3))</f>
        <v>07.45</v>
      </c>
      <c r="D524" s="23" t="str">
        <f t="shared" ca="1" si="41"/>
        <v>—</v>
      </c>
      <c r="E524" s="40">
        <f t="shared" ca="1" si="42"/>
        <v>7</v>
      </c>
      <c r="F524" s="23" t="str">
        <f t="shared" ca="1" si="43"/>
        <v>—</v>
      </c>
      <c r="G524" s="40">
        <f t="shared" ca="1" si="44"/>
        <v>7</v>
      </c>
    </row>
    <row r="525" spans="1:7" x14ac:dyDescent="0.25">
      <c r="A525" s="17">
        <f t="shared" si="40"/>
        <v>81</v>
      </c>
      <c r="B525" t="str">
        <f ca="1">TEXT(DATE(YEAR(Invoer!$A$5),1,1)+INT((ROWS(B$2:B525)-1)/3),"jjjjmmdd")</f>
        <v>19430624</v>
      </c>
      <c r="C525" s="35" t="str">
        <f>INDEX(Data,2,2+MOD(ROWS(C$2:C525)-1,3))</f>
        <v>13.45</v>
      </c>
      <c r="D525" s="23" t="str">
        <f t="shared" ca="1" si="41"/>
        <v>—</v>
      </c>
      <c r="E525" s="40">
        <f t="shared" ca="1" si="42"/>
        <v>7</v>
      </c>
      <c r="F525" s="23" t="str">
        <f t="shared" ca="1" si="43"/>
        <v>—</v>
      </c>
      <c r="G525" s="40">
        <f t="shared" ca="1" si="44"/>
        <v>7</v>
      </c>
    </row>
    <row r="526" spans="1:7" x14ac:dyDescent="0.25">
      <c r="A526" s="17">
        <f t="shared" si="40"/>
        <v>81</v>
      </c>
      <c r="B526" t="str">
        <f ca="1">TEXT(DATE(YEAR(Invoer!$A$5),1,1)+INT((ROWS(B$2:B526)-1)/3),"jjjjmmdd")</f>
        <v>19430624</v>
      </c>
      <c r="C526" s="35" t="str">
        <f>INDEX(Data,2,2+MOD(ROWS(C$2:C526)-1,3))</f>
        <v>19.45</v>
      </c>
      <c r="D526" s="23" t="str">
        <f t="shared" ca="1" si="41"/>
        <v>—</v>
      </c>
      <c r="E526" s="40">
        <f t="shared" ca="1" si="42"/>
        <v>7</v>
      </c>
      <c r="F526" s="23" t="str">
        <f t="shared" ca="1" si="43"/>
        <v>—</v>
      </c>
      <c r="G526" s="40">
        <f t="shared" ca="1" si="44"/>
        <v>7</v>
      </c>
    </row>
    <row r="527" spans="1:7" x14ac:dyDescent="0.25">
      <c r="A527" s="17">
        <f t="shared" si="40"/>
        <v>81</v>
      </c>
      <c r="B527" t="str">
        <f ca="1">TEXT(DATE(YEAR(Invoer!$A$5),1,1)+INT((ROWS(B$2:B527)-1)/3),"jjjjmmdd")</f>
        <v>19430625</v>
      </c>
      <c r="C527" s="35" t="str">
        <f>INDEX(Data,2,2+MOD(ROWS(C$2:C527)-1,3))</f>
        <v>07.45</v>
      </c>
      <c r="D527" s="23" t="str">
        <f t="shared" ca="1" si="41"/>
        <v>—</v>
      </c>
      <c r="E527" s="40">
        <f t="shared" ca="1" si="42"/>
        <v>7</v>
      </c>
      <c r="F527" s="23" t="str">
        <f t="shared" ca="1" si="43"/>
        <v>—</v>
      </c>
      <c r="G527" s="40">
        <f t="shared" ca="1" si="44"/>
        <v>7</v>
      </c>
    </row>
    <row r="528" spans="1:7" x14ac:dyDescent="0.25">
      <c r="A528" s="17">
        <f t="shared" si="40"/>
        <v>81</v>
      </c>
      <c r="B528" t="str">
        <f ca="1">TEXT(DATE(YEAR(Invoer!$A$5),1,1)+INT((ROWS(B$2:B528)-1)/3),"jjjjmmdd")</f>
        <v>19430625</v>
      </c>
      <c r="C528" s="35" t="str">
        <f>INDEX(Data,2,2+MOD(ROWS(C$2:C528)-1,3))</f>
        <v>13.45</v>
      </c>
      <c r="D528" s="23" t="str">
        <f t="shared" ca="1" si="41"/>
        <v>—</v>
      </c>
      <c r="E528" s="40">
        <f t="shared" ca="1" si="42"/>
        <v>7</v>
      </c>
      <c r="F528" s="23" t="str">
        <f t="shared" ca="1" si="43"/>
        <v>—</v>
      </c>
      <c r="G528" s="40">
        <f t="shared" ca="1" si="44"/>
        <v>7</v>
      </c>
    </row>
    <row r="529" spans="1:7" x14ac:dyDescent="0.25">
      <c r="A529" s="17">
        <f t="shared" si="40"/>
        <v>81</v>
      </c>
      <c r="B529" t="str">
        <f ca="1">TEXT(DATE(YEAR(Invoer!$A$5),1,1)+INT((ROWS(B$2:B529)-1)/3),"jjjjmmdd")</f>
        <v>19430625</v>
      </c>
      <c r="C529" s="35" t="str">
        <f>INDEX(Data,2,2+MOD(ROWS(C$2:C529)-1,3))</f>
        <v>19.45</v>
      </c>
      <c r="D529" s="23" t="str">
        <f t="shared" ca="1" si="41"/>
        <v>—</v>
      </c>
      <c r="E529" s="40">
        <f t="shared" ca="1" si="42"/>
        <v>7</v>
      </c>
      <c r="F529" s="23" t="str">
        <f t="shared" ca="1" si="43"/>
        <v>—</v>
      </c>
      <c r="G529" s="40">
        <f t="shared" ca="1" si="44"/>
        <v>7</v>
      </c>
    </row>
    <row r="530" spans="1:7" x14ac:dyDescent="0.25">
      <c r="A530" s="17">
        <f t="shared" si="40"/>
        <v>81</v>
      </c>
      <c r="B530" t="str">
        <f ca="1">TEXT(DATE(YEAR(Invoer!$A$5),1,1)+INT((ROWS(B$2:B530)-1)/3),"jjjjmmdd")</f>
        <v>19430626</v>
      </c>
      <c r="C530" s="35" t="str">
        <f>INDEX(Data,2,2+MOD(ROWS(C$2:C530)-1,3))</f>
        <v>07.45</v>
      </c>
      <c r="D530" s="23" t="str">
        <f t="shared" ca="1" si="41"/>
        <v>—</v>
      </c>
      <c r="E530" s="40">
        <f t="shared" ca="1" si="42"/>
        <v>7</v>
      </c>
      <c r="F530" s="23" t="str">
        <f t="shared" ca="1" si="43"/>
        <v>—</v>
      </c>
      <c r="G530" s="40">
        <f t="shared" ca="1" si="44"/>
        <v>7</v>
      </c>
    </row>
    <row r="531" spans="1:7" x14ac:dyDescent="0.25">
      <c r="A531" s="17">
        <f t="shared" si="40"/>
        <v>81</v>
      </c>
      <c r="B531" t="str">
        <f ca="1">TEXT(DATE(YEAR(Invoer!$A$5),1,1)+INT((ROWS(B$2:B531)-1)/3),"jjjjmmdd")</f>
        <v>19430626</v>
      </c>
      <c r="C531" s="35" t="str">
        <f>INDEX(Data,2,2+MOD(ROWS(C$2:C531)-1,3))</f>
        <v>13.45</v>
      </c>
      <c r="D531" s="23" t="str">
        <f t="shared" ca="1" si="41"/>
        <v>—</v>
      </c>
      <c r="E531" s="40">
        <f t="shared" ca="1" si="42"/>
        <v>7</v>
      </c>
      <c r="F531" s="23" t="str">
        <f t="shared" ca="1" si="43"/>
        <v>—</v>
      </c>
      <c r="G531" s="40">
        <f t="shared" ca="1" si="44"/>
        <v>7</v>
      </c>
    </row>
    <row r="532" spans="1:7" x14ac:dyDescent="0.25">
      <c r="A532" s="17">
        <f t="shared" si="40"/>
        <v>81</v>
      </c>
      <c r="B532" t="str">
        <f ca="1">TEXT(DATE(YEAR(Invoer!$A$5),1,1)+INT((ROWS(B$2:B532)-1)/3),"jjjjmmdd")</f>
        <v>19430626</v>
      </c>
      <c r="C532" s="35" t="str">
        <f>INDEX(Data,2,2+MOD(ROWS(C$2:C532)-1,3))</f>
        <v>19.45</v>
      </c>
      <c r="D532" s="23" t="str">
        <f t="shared" ca="1" si="41"/>
        <v>—</v>
      </c>
      <c r="E532" s="40">
        <f t="shared" ca="1" si="42"/>
        <v>7</v>
      </c>
      <c r="F532" s="23" t="str">
        <f t="shared" ca="1" si="43"/>
        <v>—</v>
      </c>
      <c r="G532" s="40">
        <f t="shared" ca="1" si="44"/>
        <v>7</v>
      </c>
    </row>
    <row r="533" spans="1:7" x14ac:dyDescent="0.25">
      <c r="A533" s="17">
        <f t="shared" si="40"/>
        <v>81</v>
      </c>
      <c r="B533" t="str">
        <f ca="1">TEXT(DATE(YEAR(Invoer!$A$5),1,1)+INT((ROWS(B$2:B533)-1)/3),"jjjjmmdd")</f>
        <v>19430627</v>
      </c>
      <c r="C533" s="35" t="str">
        <f>INDEX(Data,2,2+MOD(ROWS(C$2:C533)-1,3))</f>
        <v>07.45</v>
      </c>
      <c r="D533" s="23" t="str">
        <f t="shared" ca="1" si="41"/>
        <v>—</v>
      </c>
      <c r="E533" s="40">
        <f t="shared" ca="1" si="42"/>
        <v>7</v>
      </c>
      <c r="F533" s="23" t="str">
        <f t="shared" ca="1" si="43"/>
        <v>—</v>
      </c>
      <c r="G533" s="40">
        <f t="shared" ca="1" si="44"/>
        <v>7</v>
      </c>
    </row>
    <row r="534" spans="1:7" x14ac:dyDescent="0.25">
      <c r="A534" s="17">
        <f t="shared" si="40"/>
        <v>81</v>
      </c>
      <c r="B534" t="str">
        <f ca="1">TEXT(DATE(YEAR(Invoer!$A$5),1,1)+INT((ROWS(B$2:B534)-1)/3),"jjjjmmdd")</f>
        <v>19430627</v>
      </c>
      <c r="C534" s="35" t="str">
        <f>INDEX(Data,2,2+MOD(ROWS(C$2:C534)-1,3))</f>
        <v>13.45</v>
      </c>
      <c r="D534" s="23" t="str">
        <f t="shared" ca="1" si="41"/>
        <v>—</v>
      </c>
      <c r="E534" s="40">
        <f t="shared" ca="1" si="42"/>
        <v>7</v>
      </c>
      <c r="F534" s="23" t="str">
        <f t="shared" ca="1" si="43"/>
        <v>—</v>
      </c>
      <c r="G534" s="40">
        <f t="shared" ca="1" si="44"/>
        <v>7</v>
      </c>
    </row>
    <row r="535" spans="1:7" x14ac:dyDescent="0.25">
      <c r="A535" s="17">
        <f t="shared" si="40"/>
        <v>81</v>
      </c>
      <c r="B535" t="str">
        <f ca="1">TEXT(DATE(YEAR(Invoer!$A$5),1,1)+INT((ROWS(B$2:B535)-1)/3),"jjjjmmdd")</f>
        <v>19430627</v>
      </c>
      <c r="C535" s="35" t="str">
        <f>INDEX(Data,2,2+MOD(ROWS(C$2:C535)-1,3))</f>
        <v>19.45</v>
      </c>
      <c r="D535" s="23" t="str">
        <f t="shared" ca="1" si="41"/>
        <v>—</v>
      </c>
      <c r="E535" s="40">
        <f t="shared" ca="1" si="42"/>
        <v>7</v>
      </c>
      <c r="F535" s="23" t="str">
        <f t="shared" ca="1" si="43"/>
        <v>—</v>
      </c>
      <c r="G535" s="40">
        <f t="shared" ca="1" si="44"/>
        <v>7</v>
      </c>
    </row>
    <row r="536" spans="1:7" x14ac:dyDescent="0.25">
      <c r="A536" s="17">
        <f t="shared" si="40"/>
        <v>81</v>
      </c>
      <c r="B536" t="str">
        <f ca="1">TEXT(DATE(YEAR(Invoer!$A$5),1,1)+INT((ROWS(B$2:B536)-1)/3),"jjjjmmdd")</f>
        <v>19430628</v>
      </c>
      <c r="C536" s="35" t="str">
        <f>INDEX(Data,2,2+MOD(ROWS(C$2:C536)-1,3))</f>
        <v>07.45</v>
      </c>
      <c r="D536" s="23" t="str">
        <f t="shared" ca="1" si="41"/>
        <v>—</v>
      </c>
      <c r="E536" s="40">
        <f t="shared" ca="1" si="42"/>
        <v>7</v>
      </c>
      <c r="F536" s="23" t="str">
        <f t="shared" ca="1" si="43"/>
        <v>—</v>
      </c>
      <c r="G536" s="40">
        <f t="shared" ca="1" si="44"/>
        <v>7</v>
      </c>
    </row>
    <row r="537" spans="1:7" x14ac:dyDescent="0.25">
      <c r="A537" s="17">
        <f t="shared" si="40"/>
        <v>81</v>
      </c>
      <c r="B537" t="str">
        <f ca="1">TEXT(DATE(YEAR(Invoer!$A$5),1,1)+INT((ROWS(B$2:B537)-1)/3),"jjjjmmdd")</f>
        <v>19430628</v>
      </c>
      <c r="C537" s="35" t="str">
        <f>INDEX(Data,2,2+MOD(ROWS(C$2:C537)-1,3))</f>
        <v>13.45</v>
      </c>
      <c r="D537" s="23" t="str">
        <f t="shared" ca="1" si="41"/>
        <v>—</v>
      </c>
      <c r="E537" s="40">
        <f t="shared" ca="1" si="42"/>
        <v>7</v>
      </c>
      <c r="F537" s="23" t="str">
        <f t="shared" ca="1" si="43"/>
        <v>—</v>
      </c>
      <c r="G537" s="40">
        <f t="shared" ca="1" si="44"/>
        <v>7</v>
      </c>
    </row>
    <row r="538" spans="1:7" x14ac:dyDescent="0.25">
      <c r="A538" s="17">
        <f t="shared" si="40"/>
        <v>81</v>
      </c>
      <c r="B538" t="str">
        <f ca="1">TEXT(DATE(YEAR(Invoer!$A$5),1,1)+INT((ROWS(B$2:B538)-1)/3),"jjjjmmdd")</f>
        <v>19430628</v>
      </c>
      <c r="C538" s="35" t="str">
        <f>INDEX(Data,2,2+MOD(ROWS(C$2:C538)-1,3))</f>
        <v>19.45</v>
      </c>
      <c r="D538" s="23" t="str">
        <f t="shared" ca="1" si="41"/>
        <v>—</v>
      </c>
      <c r="E538" s="40">
        <f t="shared" ca="1" si="42"/>
        <v>7</v>
      </c>
      <c r="F538" s="23" t="str">
        <f t="shared" ca="1" si="43"/>
        <v>—</v>
      </c>
      <c r="G538" s="40">
        <f t="shared" ca="1" si="44"/>
        <v>7</v>
      </c>
    </row>
    <row r="539" spans="1:7" x14ac:dyDescent="0.25">
      <c r="A539" s="17">
        <f t="shared" si="40"/>
        <v>81</v>
      </c>
      <c r="B539" t="str">
        <f ca="1">TEXT(DATE(YEAR(Invoer!$A$5),1,1)+INT((ROWS(B$2:B539)-1)/3),"jjjjmmdd")</f>
        <v>19430629</v>
      </c>
      <c r="C539" s="35" t="str">
        <f>INDEX(Data,2,2+MOD(ROWS(C$2:C539)-1,3))</f>
        <v>07.45</v>
      </c>
      <c r="D539" s="23" t="str">
        <f t="shared" ca="1" si="41"/>
        <v>—</v>
      </c>
      <c r="E539" s="40">
        <f t="shared" ca="1" si="42"/>
        <v>7</v>
      </c>
      <c r="F539" s="23" t="str">
        <f t="shared" ca="1" si="43"/>
        <v>—</v>
      </c>
      <c r="G539" s="40">
        <f t="shared" ca="1" si="44"/>
        <v>7</v>
      </c>
    </row>
    <row r="540" spans="1:7" x14ac:dyDescent="0.25">
      <c r="A540" s="17">
        <f t="shared" si="40"/>
        <v>81</v>
      </c>
      <c r="B540" t="str">
        <f ca="1">TEXT(DATE(YEAR(Invoer!$A$5),1,1)+INT((ROWS(B$2:B540)-1)/3),"jjjjmmdd")</f>
        <v>19430629</v>
      </c>
      <c r="C540" s="35" t="str">
        <f>INDEX(Data,2,2+MOD(ROWS(C$2:C540)-1,3))</f>
        <v>13.45</v>
      </c>
      <c r="D540" s="23" t="str">
        <f t="shared" ca="1" si="41"/>
        <v>—</v>
      </c>
      <c r="E540" s="40">
        <f t="shared" ca="1" si="42"/>
        <v>7</v>
      </c>
      <c r="F540" s="23" t="str">
        <f t="shared" ca="1" si="43"/>
        <v>—</v>
      </c>
      <c r="G540" s="40">
        <f t="shared" ca="1" si="44"/>
        <v>7</v>
      </c>
    </row>
    <row r="541" spans="1:7" x14ac:dyDescent="0.25">
      <c r="A541" s="17">
        <f t="shared" si="40"/>
        <v>81</v>
      </c>
      <c r="B541" t="str">
        <f ca="1">TEXT(DATE(YEAR(Invoer!$A$5),1,1)+INT((ROWS(B$2:B541)-1)/3),"jjjjmmdd")</f>
        <v>19430629</v>
      </c>
      <c r="C541" s="35" t="str">
        <f>INDEX(Data,2,2+MOD(ROWS(C$2:C541)-1,3))</f>
        <v>19.45</v>
      </c>
      <c r="D541" s="23" t="str">
        <f t="shared" ca="1" si="41"/>
        <v>—</v>
      </c>
      <c r="E541" s="40">
        <f t="shared" ca="1" si="42"/>
        <v>7</v>
      </c>
      <c r="F541" s="23" t="str">
        <f t="shared" ca="1" si="43"/>
        <v>—</v>
      </c>
      <c r="G541" s="40">
        <f t="shared" ca="1" si="44"/>
        <v>7</v>
      </c>
    </row>
    <row r="542" spans="1:7" x14ac:dyDescent="0.25">
      <c r="A542" s="17">
        <f t="shared" si="40"/>
        <v>81</v>
      </c>
      <c r="B542" t="str">
        <f ca="1">TEXT(DATE(YEAR(Invoer!$A$5),1,1)+INT((ROWS(B$2:B542)-1)/3),"jjjjmmdd")</f>
        <v>19430630</v>
      </c>
      <c r="C542" s="35" t="str">
        <f>INDEX(Data,2,2+MOD(ROWS(C$2:C542)-1,3))</f>
        <v>07.45</v>
      </c>
      <c r="D542" s="23" t="str">
        <f t="shared" ca="1" si="41"/>
        <v>—</v>
      </c>
      <c r="E542" s="40">
        <f t="shared" ca="1" si="42"/>
        <v>7</v>
      </c>
      <c r="F542" s="23" t="str">
        <f t="shared" ca="1" si="43"/>
        <v>—</v>
      </c>
      <c r="G542" s="40">
        <f t="shared" ca="1" si="44"/>
        <v>7</v>
      </c>
    </row>
    <row r="543" spans="1:7" x14ac:dyDescent="0.25">
      <c r="A543" s="17">
        <f t="shared" si="40"/>
        <v>81</v>
      </c>
      <c r="B543" t="str">
        <f ca="1">TEXT(DATE(YEAR(Invoer!$A$5),1,1)+INT((ROWS(B$2:B543)-1)/3),"jjjjmmdd")</f>
        <v>19430630</v>
      </c>
      <c r="C543" s="35" t="str">
        <f>INDEX(Data,2,2+MOD(ROWS(C$2:C543)-1,3))</f>
        <v>13.45</v>
      </c>
      <c r="D543" s="23" t="str">
        <f t="shared" ca="1" si="41"/>
        <v>—</v>
      </c>
      <c r="E543" s="40">
        <f t="shared" ca="1" si="42"/>
        <v>7</v>
      </c>
      <c r="F543" s="23" t="str">
        <f t="shared" ca="1" si="43"/>
        <v>—</v>
      </c>
      <c r="G543" s="40">
        <f t="shared" ca="1" si="44"/>
        <v>7</v>
      </c>
    </row>
    <row r="544" spans="1:7" x14ac:dyDescent="0.25">
      <c r="A544" s="17">
        <f t="shared" si="40"/>
        <v>81</v>
      </c>
      <c r="B544" t="str">
        <f ca="1">TEXT(DATE(YEAR(Invoer!$A$5),1,1)+INT((ROWS(B$2:B544)-1)/3),"jjjjmmdd")</f>
        <v>19430630</v>
      </c>
      <c r="C544" s="35" t="str">
        <f>INDEX(Data,2,2+MOD(ROWS(C$2:C544)-1,3))</f>
        <v>19.45</v>
      </c>
      <c r="D544" s="23" t="str">
        <f t="shared" ca="1" si="41"/>
        <v>—</v>
      </c>
      <c r="E544" s="40">
        <f t="shared" ca="1" si="42"/>
        <v>7</v>
      </c>
      <c r="F544" s="23" t="str">
        <f t="shared" ca="1" si="43"/>
        <v>—</v>
      </c>
      <c r="G544" s="40">
        <f t="shared" ca="1" si="44"/>
        <v>7</v>
      </c>
    </row>
    <row r="545" spans="1:7" x14ac:dyDescent="0.25">
      <c r="A545" s="17">
        <f t="shared" si="40"/>
        <v>81</v>
      </c>
      <c r="B545" t="str">
        <f ca="1">TEXT(DATE(YEAR(Invoer!$A$5),1,1)+INT((ROWS(B$2:B545)-1)/3),"jjjjmmdd")</f>
        <v>19430701</v>
      </c>
      <c r="C545" s="35" t="str">
        <f>INDEX(Data,2,2+MOD(ROWS(C$2:C545)-1,3))</f>
        <v>07.45</v>
      </c>
      <c r="D545" s="23" t="str">
        <f t="shared" ca="1" si="41"/>
        <v>—</v>
      </c>
      <c r="E545" s="40">
        <f t="shared" ca="1" si="42"/>
        <v>7</v>
      </c>
      <c r="F545" s="23" t="str">
        <f t="shared" ca="1" si="43"/>
        <v>—</v>
      </c>
      <c r="G545" s="40">
        <f t="shared" ca="1" si="44"/>
        <v>7</v>
      </c>
    </row>
    <row r="546" spans="1:7" x14ac:dyDescent="0.25">
      <c r="A546" s="17">
        <f t="shared" si="40"/>
        <v>81</v>
      </c>
      <c r="B546" t="str">
        <f ca="1">TEXT(DATE(YEAR(Invoer!$A$5),1,1)+INT((ROWS(B$2:B546)-1)/3),"jjjjmmdd")</f>
        <v>19430701</v>
      </c>
      <c r="C546" s="35" t="str">
        <f>INDEX(Data,2,2+MOD(ROWS(C$2:C546)-1,3))</f>
        <v>13.45</v>
      </c>
      <c r="D546" s="23" t="str">
        <f t="shared" ca="1" si="41"/>
        <v>—</v>
      </c>
      <c r="E546" s="40">
        <f t="shared" ca="1" si="42"/>
        <v>7</v>
      </c>
      <c r="F546" s="23" t="str">
        <f t="shared" ca="1" si="43"/>
        <v>—</v>
      </c>
      <c r="G546" s="40">
        <f t="shared" ca="1" si="44"/>
        <v>7</v>
      </c>
    </row>
    <row r="547" spans="1:7" x14ac:dyDescent="0.25">
      <c r="A547" s="17">
        <f t="shared" si="40"/>
        <v>81</v>
      </c>
      <c r="B547" t="str">
        <f ca="1">TEXT(DATE(YEAR(Invoer!$A$5),1,1)+INT((ROWS(B$2:B547)-1)/3),"jjjjmmdd")</f>
        <v>19430701</v>
      </c>
      <c r="C547" s="35" t="str">
        <f>INDEX(Data,2,2+MOD(ROWS(C$2:C547)-1,3))</f>
        <v>19.45</v>
      </c>
      <c r="D547" s="23" t="str">
        <f t="shared" ca="1" si="41"/>
        <v>—</v>
      </c>
      <c r="E547" s="40">
        <f t="shared" ca="1" si="42"/>
        <v>7</v>
      </c>
      <c r="F547" s="23" t="str">
        <f t="shared" ca="1" si="43"/>
        <v>—</v>
      </c>
      <c r="G547" s="40">
        <f t="shared" ca="1" si="44"/>
        <v>7</v>
      </c>
    </row>
    <row r="548" spans="1:7" x14ac:dyDescent="0.25">
      <c r="A548" s="17">
        <f t="shared" si="40"/>
        <v>81</v>
      </c>
      <c r="B548" t="str">
        <f ca="1">TEXT(DATE(YEAR(Invoer!$A$5),1,1)+INT((ROWS(B$2:B548)-1)/3),"jjjjmmdd")</f>
        <v>19430702</v>
      </c>
      <c r="C548" s="35" t="str">
        <f>INDEX(Data,2,2+MOD(ROWS(C$2:C548)-1,3))</f>
        <v>07.45</v>
      </c>
      <c r="D548" s="23" t="str">
        <f t="shared" ca="1" si="41"/>
        <v>—</v>
      </c>
      <c r="E548" s="40">
        <f t="shared" ca="1" si="42"/>
        <v>7</v>
      </c>
      <c r="F548" s="23" t="str">
        <f t="shared" ca="1" si="43"/>
        <v>—</v>
      </c>
      <c r="G548" s="40">
        <f t="shared" ca="1" si="44"/>
        <v>7</v>
      </c>
    </row>
    <row r="549" spans="1:7" x14ac:dyDescent="0.25">
      <c r="A549" s="17">
        <f t="shared" si="40"/>
        <v>81</v>
      </c>
      <c r="B549" t="str">
        <f ca="1">TEXT(DATE(YEAR(Invoer!$A$5),1,1)+INT((ROWS(B$2:B549)-1)/3),"jjjjmmdd")</f>
        <v>19430702</v>
      </c>
      <c r="C549" s="35" t="str">
        <f>INDEX(Data,2,2+MOD(ROWS(C$2:C549)-1,3))</f>
        <v>13.45</v>
      </c>
      <c r="D549" s="23" t="str">
        <f t="shared" ca="1" si="41"/>
        <v>—</v>
      </c>
      <c r="E549" s="40">
        <f t="shared" ca="1" si="42"/>
        <v>7</v>
      </c>
      <c r="F549" s="23" t="str">
        <f t="shared" ca="1" si="43"/>
        <v>—</v>
      </c>
      <c r="G549" s="40">
        <f t="shared" ca="1" si="44"/>
        <v>7</v>
      </c>
    </row>
    <row r="550" spans="1:7" x14ac:dyDescent="0.25">
      <c r="A550" s="17">
        <f t="shared" si="40"/>
        <v>81</v>
      </c>
      <c r="B550" t="str">
        <f ca="1">TEXT(DATE(YEAR(Invoer!$A$5),1,1)+INT((ROWS(B$2:B550)-1)/3),"jjjjmmdd")</f>
        <v>19430702</v>
      </c>
      <c r="C550" s="35" t="str">
        <f>INDEX(Data,2,2+MOD(ROWS(C$2:C550)-1,3))</f>
        <v>19.45</v>
      </c>
      <c r="D550" s="23" t="str">
        <f t="shared" ca="1" si="41"/>
        <v>—</v>
      </c>
      <c r="E550" s="40">
        <f t="shared" ca="1" si="42"/>
        <v>7</v>
      </c>
      <c r="F550" s="23" t="str">
        <f t="shared" ca="1" si="43"/>
        <v>—</v>
      </c>
      <c r="G550" s="40">
        <f t="shared" ca="1" si="44"/>
        <v>7</v>
      </c>
    </row>
    <row r="551" spans="1:7" x14ac:dyDescent="0.25">
      <c r="A551" s="17">
        <f t="shared" si="40"/>
        <v>81</v>
      </c>
      <c r="B551" t="str">
        <f ca="1">TEXT(DATE(YEAR(Invoer!$A$5),1,1)+INT((ROWS(B$2:B551)-1)/3),"jjjjmmdd")</f>
        <v>19430703</v>
      </c>
      <c r="C551" s="35" t="str">
        <f>INDEX(Data,2,2+MOD(ROWS(C$2:C551)-1,3))</f>
        <v>07.45</v>
      </c>
      <c r="D551" s="23" t="str">
        <f t="shared" ca="1" si="41"/>
        <v>—</v>
      </c>
      <c r="E551" s="40">
        <f t="shared" ca="1" si="42"/>
        <v>7</v>
      </c>
      <c r="F551" s="23" t="str">
        <f t="shared" ca="1" si="43"/>
        <v>—</v>
      </c>
      <c r="G551" s="40">
        <f t="shared" ca="1" si="44"/>
        <v>7</v>
      </c>
    </row>
    <row r="552" spans="1:7" x14ac:dyDescent="0.25">
      <c r="A552" s="17">
        <f t="shared" si="40"/>
        <v>81</v>
      </c>
      <c r="B552" t="str">
        <f ca="1">TEXT(DATE(YEAR(Invoer!$A$5),1,1)+INT((ROWS(B$2:B552)-1)/3),"jjjjmmdd")</f>
        <v>19430703</v>
      </c>
      <c r="C552" s="35" t="str">
        <f>INDEX(Data,2,2+MOD(ROWS(C$2:C552)-1,3))</f>
        <v>13.45</v>
      </c>
      <c r="D552" s="23" t="str">
        <f t="shared" ca="1" si="41"/>
        <v>—</v>
      </c>
      <c r="E552" s="40">
        <f t="shared" ca="1" si="42"/>
        <v>7</v>
      </c>
      <c r="F552" s="23" t="str">
        <f t="shared" ca="1" si="43"/>
        <v>—</v>
      </c>
      <c r="G552" s="40">
        <f t="shared" ca="1" si="44"/>
        <v>7</v>
      </c>
    </row>
    <row r="553" spans="1:7" x14ac:dyDescent="0.25">
      <c r="A553" s="17">
        <f t="shared" si="40"/>
        <v>81</v>
      </c>
      <c r="B553" t="str">
        <f ca="1">TEXT(DATE(YEAR(Invoer!$A$5),1,1)+INT((ROWS(B$2:B553)-1)/3),"jjjjmmdd")</f>
        <v>19430703</v>
      </c>
      <c r="C553" s="35" t="str">
        <f>INDEX(Data,2,2+MOD(ROWS(C$2:C553)-1,3))</f>
        <v>19.45</v>
      </c>
      <c r="D553" s="23" t="str">
        <f t="shared" ca="1" si="41"/>
        <v>—</v>
      </c>
      <c r="E553" s="40">
        <f t="shared" ca="1" si="42"/>
        <v>7</v>
      </c>
      <c r="F553" s="23" t="str">
        <f t="shared" ca="1" si="43"/>
        <v>—</v>
      </c>
      <c r="G553" s="40">
        <f t="shared" ca="1" si="44"/>
        <v>7</v>
      </c>
    </row>
    <row r="554" spans="1:7" x14ac:dyDescent="0.25">
      <c r="A554" s="17">
        <f t="shared" si="40"/>
        <v>81</v>
      </c>
      <c r="B554" t="str">
        <f ca="1">TEXT(DATE(YEAR(Invoer!$A$5),1,1)+INT((ROWS(B$2:B554)-1)/3),"jjjjmmdd")</f>
        <v>19430704</v>
      </c>
      <c r="C554" s="35" t="str">
        <f>INDEX(Data,2,2+MOD(ROWS(C$2:C554)-1,3))</f>
        <v>07.45</v>
      </c>
      <c r="D554" s="23" t="str">
        <f t="shared" ca="1" si="41"/>
        <v>—</v>
      </c>
      <c r="E554" s="40">
        <f t="shared" ca="1" si="42"/>
        <v>7</v>
      </c>
      <c r="F554" s="23" t="str">
        <f t="shared" ca="1" si="43"/>
        <v>—</v>
      </c>
      <c r="G554" s="40">
        <f t="shared" ca="1" si="44"/>
        <v>7</v>
      </c>
    </row>
    <row r="555" spans="1:7" x14ac:dyDescent="0.25">
      <c r="A555" s="17">
        <f t="shared" si="40"/>
        <v>81</v>
      </c>
      <c r="B555" t="str">
        <f ca="1">TEXT(DATE(YEAR(Invoer!$A$5),1,1)+INT((ROWS(B$2:B555)-1)/3),"jjjjmmdd")</f>
        <v>19430704</v>
      </c>
      <c r="C555" s="35" t="str">
        <f>INDEX(Data,2,2+MOD(ROWS(C$2:C555)-1,3))</f>
        <v>13.45</v>
      </c>
      <c r="D555" s="23" t="str">
        <f t="shared" ca="1" si="41"/>
        <v>—</v>
      </c>
      <c r="E555" s="40">
        <f t="shared" ca="1" si="42"/>
        <v>7</v>
      </c>
      <c r="F555" s="23" t="str">
        <f t="shared" ca="1" si="43"/>
        <v>—</v>
      </c>
      <c r="G555" s="40">
        <f t="shared" ca="1" si="44"/>
        <v>7</v>
      </c>
    </row>
    <row r="556" spans="1:7" x14ac:dyDescent="0.25">
      <c r="A556" s="17">
        <f t="shared" si="40"/>
        <v>81</v>
      </c>
      <c r="B556" t="str">
        <f ca="1">TEXT(DATE(YEAR(Invoer!$A$5),1,1)+INT((ROWS(B$2:B556)-1)/3),"jjjjmmdd")</f>
        <v>19430704</v>
      </c>
      <c r="C556" s="35" t="str">
        <f>INDEX(Data,2,2+MOD(ROWS(C$2:C556)-1,3))</f>
        <v>19.45</v>
      </c>
      <c r="D556" s="23" t="str">
        <f t="shared" ca="1" si="41"/>
        <v>—</v>
      </c>
      <c r="E556" s="40">
        <f t="shared" ca="1" si="42"/>
        <v>7</v>
      </c>
      <c r="F556" s="23" t="str">
        <f t="shared" ca="1" si="43"/>
        <v>—</v>
      </c>
      <c r="G556" s="40">
        <f t="shared" ca="1" si="44"/>
        <v>7</v>
      </c>
    </row>
    <row r="557" spans="1:7" x14ac:dyDescent="0.25">
      <c r="A557" s="17">
        <f t="shared" si="40"/>
        <v>81</v>
      </c>
      <c r="B557" t="str">
        <f ca="1">TEXT(DATE(YEAR(Invoer!$A$5),1,1)+INT((ROWS(B$2:B557)-1)/3),"jjjjmmdd")</f>
        <v>19430705</v>
      </c>
      <c r="C557" s="35" t="str">
        <f>INDEX(Data,2,2+MOD(ROWS(C$2:C557)-1,3))</f>
        <v>07.45</v>
      </c>
      <c r="D557" s="23" t="str">
        <f t="shared" ca="1" si="41"/>
        <v>—</v>
      </c>
      <c r="E557" s="40">
        <f t="shared" ca="1" si="42"/>
        <v>7</v>
      </c>
      <c r="F557" s="23" t="str">
        <f t="shared" ca="1" si="43"/>
        <v>—</v>
      </c>
      <c r="G557" s="40">
        <f t="shared" ca="1" si="44"/>
        <v>7</v>
      </c>
    </row>
    <row r="558" spans="1:7" x14ac:dyDescent="0.25">
      <c r="A558" s="17">
        <f t="shared" si="40"/>
        <v>81</v>
      </c>
      <c r="B558" t="str">
        <f ca="1">TEXT(DATE(YEAR(Invoer!$A$5),1,1)+INT((ROWS(B$2:B558)-1)/3),"jjjjmmdd")</f>
        <v>19430705</v>
      </c>
      <c r="C558" s="35" t="str">
        <f>INDEX(Data,2,2+MOD(ROWS(C$2:C558)-1,3))</f>
        <v>13.45</v>
      </c>
      <c r="D558" s="23" t="str">
        <f t="shared" ca="1" si="41"/>
        <v>—</v>
      </c>
      <c r="E558" s="40">
        <f t="shared" ca="1" si="42"/>
        <v>7</v>
      </c>
      <c r="F558" s="23" t="str">
        <f t="shared" ca="1" si="43"/>
        <v>—</v>
      </c>
      <c r="G558" s="40">
        <f t="shared" ca="1" si="44"/>
        <v>7</v>
      </c>
    </row>
    <row r="559" spans="1:7" x14ac:dyDescent="0.25">
      <c r="A559" s="17">
        <f t="shared" si="40"/>
        <v>81</v>
      </c>
      <c r="B559" t="str">
        <f ca="1">TEXT(DATE(YEAR(Invoer!$A$5),1,1)+INT((ROWS(B$2:B559)-1)/3),"jjjjmmdd")</f>
        <v>19430705</v>
      </c>
      <c r="C559" s="35" t="str">
        <f>INDEX(Data,2,2+MOD(ROWS(C$2:C559)-1,3))</f>
        <v>19.45</v>
      </c>
      <c r="D559" s="23" t="str">
        <f t="shared" ca="1" si="41"/>
        <v>—</v>
      </c>
      <c r="E559" s="40">
        <f t="shared" ca="1" si="42"/>
        <v>7</v>
      </c>
      <c r="F559" s="23" t="str">
        <f t="shared" ca="1" si="43"/>
        <v>—</v>
      </c>
      <c r="G559" s="40">
        <f t="shared" ca="1" si="44"/>
        <v>7</v>
      </c>
    </row>
    <row r="560" spans="1:7" x14ac:dyDescent="0.25">
      <c r="A560" s="17">
        <f t="shared" si="40"/>
        <v>81</v>
      </c>
      <c r="B560" t="str">
        <f ca="1">TEXT(DATE(YEAR(Invoer!$A$5),1,1)+INT((ROWS(B$2:B560)-1)/3),"jjjjmmdd")</f>
        <v>19430706</v>
      </c>
      <c r="C560" s="35" t="str">
        <f>INDEX(Data,2,2+MOD(ROWS(C$2:C560)-1,3))</f>
        <v>07.45</v>
      </c>
      <c r="D560" s="23" t="str">
        <f t="shared" ca="1" si="41"/>
        <v>—</v>
      </c>
      <c r="E560" s="40">
        <f t="shared" ca="1" si="42"/>
        <v>7</v>
      </c>
      <c r="F560" s="23" t="str">
        <f t="shared" ca="1" si="43"/>
        <v>—</v>
      </c>
      <c r="G560" s="40">
        <f t="shared" ca="1" si="44"/>
        <v>7</v>
      </c>
    </row>
    <row r="561" spans="1:7" x14ac:dyDescent="0.25">
      <c r="A561" s="17">
        <f t="shared" si="40"/>
        <v>81</v>
      </c>
      <c r="B561" t="str">
        <f ca="1">TEXT(DATE(YEAR(Invoer!$A$5),1,1)+INT((ROWS(B$2:B561)-1)/3),"jjjjmmdd")</f>
        <v>19430706</v>
      </c>
      <c r="C561" s="35" t="str">
        <f>INDEX(Data,2,2+MOD(ROWS(C$2:C561)-1,3))</f>
        <v>13.45</v>
      </c>
      <c r="D561" s="23" t="str">
        <f t="shared" ca="1" si="41"/>
        <v>—</v>
      </c>
      <c r="E561" s="40">
        <f t="shared" ca="1" si="42"/>
        <v>7</v>
      </c>
      <c r="F561" s="23" t="str">
        <f t="shared" ca="1" si="43"/>
        <v>—</v>
      </c>
      <c r="G561" s="40">
        <f t="shared" ca="1" si="44"/>
        <v>7</v>
      </c>
    </row>
    <row r="562" spans="1:7" x14ac:dyDescent="0.25">
      <c r="A562" s="17">
        <f t="shared" si="40"/>
        <v>81</v>
      </c>
      <c r="B562" t="str">
        <f ca="1">TEXT(DATE(YEAR(Invoer!$A$5),1,1)+INT((ROWS(B$2:B562)-1)/3),"jjjjmmdd")</f>
        <v>19430706</v>
      </c>
      <c r="C562" s="35" t="str">
        <f>INDEX(Data,2,2+MOD(ROWS(C$2:C562)-1,3))</f>
        <v>19.45</v>
      </c>
      <c r="D562" s="23" t="str">
        <f t="shared" ca="1" si="41"/>
        <v>—</v>
      </c>
      <c r="E562" s="40">
        <f t="shared" ca="1" si="42"/>
        <v>7</v>
      </c>
      <c r="F562" s="23" t="str">
        <f t="shared" ca="1" si="43"/>
        <v>—</v>
      </c>
      <c r="G562" s="40">
        <f t="shared" ca="1" si="44"/>
        <v>7</v>
      </c>
    </row>
    <row r="563" spans="1:7" x14ac:dyDescent="0.25">
      <c r="A563" s="17">
        <f t="shared" si="40"/>
        <v>81</v>
      </c>
      <c r="B563" t="str">
        <f ca="1">TEXT(DATE(YEAR(Invoer!$A$5),1,1)+INT((ROWS(B$2:B563)-1)/3),"jjjjmmdd")</f>
        <v>19430707</v>
      </c>
      <c r="C563" s="35" t="str">
        <f>INDEX(Data,2,2+MOD(ROWS(C$2:C563)-1,3))</f>
        <v>07.45</v>
      </c>
      <c r="D563" s="23" t="str">
        <f t="shared" ca="1" si="41"/>
        <v>—</v>
      </c>
      <c r="E563" s="40">
        <f t="shared" ca="1" si="42"/>
        <v>7</v>
      </c>
      <c r="F563" s="23" t="str">
        <f t="shared" ca="1" si="43"/>
        <v>—</v>
      </c>
      <c r="G563" s="40">
        <f t="shared" ca="1" si="44"/>
        <v>7</v>
      </c>
    </row>
    <row r="564" spans="1:7" x14ac:dyDescent="0.25">
      <c r="A564" s="17">
        <f t="shared" si="40"/>
        <v>81</v>
      </c>
      <c r="B564" t="str">
        <f ca="1">TEXT(DATE(YEAR(Invoer!$A$5),1,1)+INT((ROWS(B$2:B564)-1)/3),"jjjjmmdd")</f>
        <v>19430707</v>
      </c>
      <c r="C564" s="35" t="str">
        <f>INDEX(Data,2,2+MOD(ROWS(C$2:C564)-1,3))</f>
        <v>13.45</v>
      </c>
      <c r="D564" s="23" t="str">
        <f t="shared" ca="1" si="41"/>
        <v>—</v>
      </c>
      <c r="E564" s="40">
        <f t="shared" ca="1" si="42"/>
        <v>7</v>
      </c>
      <c r="F564" s="23" t="str">
        <f t="shared" ca="1" si="43"/>
        <v>—</v>
      </c>
      <c r="G564" s="40">
        <f t="shared" ca="1" si="44"/>
        <v>7</v>
      </c>
    </row>
    <row r="565" spans="1:7" x14ac:dyDescent="0.25">
      <c r="A565" s="17">
        <f t="shared" si="40"/>
        <v>81</v>
      </c>
      <c r="B565" t="str">
        <f ca="1">TEXT(DATE(YEAR(Invoer!$A$5),1,1)+INT((ROWS(B$2:B565)-1)/3),"jjjjmmdd")</f>
        <v>19430707</v>
      </c>
      <c r="C565" s="35" t="str">
        <f>INDEX(Data,2,2+MOD(ROWS(C$2:C565)-1,3))</f>
        <v>19.45</v>
      </c>
      <c r="D565" s="23" t="str">
        <f t="shared" ca="1" si="41"/>
        <v>—</v>
      </c>
      <c r="E565" s="40">
        <f t="shared" ca="1" si="42"/>
        <v>7</v>
      </c>
      <c r="F565" s="23" t="str">
        <f t="shared" ca="1" si="43"/>
        <v>—</v>
      </c>
      <c r="G565" s="40">
        <f t="shared" ca="1" si="44"/>
        <v>7</v>
      </c>
    </row>
    <row r="566" spans="1:7" x14ac:dyDescent="0.25">
      <c r="A566" s="17">
        <f t="shared" si="40"/>
        <v>81</v>
      </c>
      <c r="B566" t="str">
        <f ca="1">TEXT(DATE(YEAR(Invoer!$A$5),1,1)+INT((ROWS(B$2:B566)-1)/3),"jjjjmmdd")</f>
        <v>19430708</v>
      </c>
      <c r="C566" s="35" t="str">
        <f>INDEX(Data,2,2+MOD(ROWS(C$2:C566)-1,3))</f>
        <v>07.45</v>
      </c>
      <c r="D566" s="23" t="str">
        <f t="shared" ca="1" si="41"/>
        <v>—</v>
      </c>
      <c r="E566" s="40">
        <f t="shared" ca="1" si="42"/>
        <v>7</v>
      </c>
      <c r="F566" s="23" t="str">
        <f t="shared" ca="1" si="43"/>
        <v>—</v>
      </c>
      <c r="G566" s="40">
        <f t="shared" ca="1" si="44"/>
        <v>7</v>
      </c>
    </row>
    <row r="567" spans="1:7" x14ac:dyDescent="0.25">
      <c r="A567" s="17">
        <f t="shared" si="40"/>
        <v>81</v>
      </c>
      <c r="B567" t="str">
        <f ca="1">TEXT(DATE(YEAR(Invoer!$A$5),1,1)+INT((ROWS(B$2:B567)-1)/3),"jjjjmmdd")</f>
        <v>19430708</v>
      </c>
      <c r="C567" s="35" t="str">
        <f>INDEX(Data,2,2+MOD(ROWS(C$2:C567)-1,3))</f>
        <v>13.45</v>
      </c>
      <c r="D567" s="23" t="str">
        <f t="shared" ca="1" si="41"/>
        <v>—</v>
      </c>
      <c r="E567" s="40">
        <f t="shared" ca="1" si="42"/>
        <v>7</v>
      </c>
      <c r="F567" s="23" t="str">
        <f t="shared" ca="1" si="43"/>
        <v>—</v>
      </c>
      <c r="G567" s="40">
        <f t="shared" ca="1" si="44"/>
        <v>7</v>
      </c>
    </row>
    <row r="568" spans="1:7" x14ac:dyDescent="0.25">
      <c r="A568" s="17">
        <f t="shared" si="40"/>
        <v>81</v>
      </c>
      <c r="B568" t="str">
        <f ca="1">TEXT(DATE(YEAR(Invoer!$A$5),1,1)+INT((ROWS(B$2:B568)-1)/3),"jjjjmmdd")</f>
        <v>19430708</v>
      </c>
      <c r="C568" s="35" t="str">
        <f>INDEX(Data,2,2+MOD(ROWS(C$2:C568)-1,3))</f>
        <v>19.45</v>
      </c>
      <c r="D568" s="23" t="str">
        <f t="shared" ca="1" si="41"/>
        <v>—</v>
      </c>
      <c r="E568" s="40">
        <f t="shared" ca="1" si="42"/>
        <v>7</v>
      </c>
      <c r="F568" s="23" t="str">
        <f t="shared" ca="1" si="43"/>
        <v>—</v>
      </c>
      <c r="G568" s="40">
        <f t="shared" ca="1" si="44"/>
        <v>7</v>
      </c>
    </row>
    <row r="569" spans="1:7" x14ac:dyDescent="0.25">
      <c r="A569" s="17">
        <f t="shared" si="40"/>
        <v>81</v>
      </c>
      <c r="B569" t="str">
        <f ca="1">TEXT(DATE(YEAR(Invoer!$A$5),1,1)+INT((ROWS(B$2:B569)-1)/3),"jjjjmmdd")</f>
        <v>19430709</v>
      </c>
      <c r="C569" s="35" t="str">
        <f>INDEX(Data,2,2+MOD(ROWS(C$2:C569)-1,3))</f>
        <v>07.45</v>
      </c>
      <c r="D569" s="23" t="str">
        <f t="shared" ca="1" si="41"/>
        <v>—</v>
      </c>
      <c r="E569" s="40">
        <f t="shared" ca="1" si="42"/>
        <v>7</v>
      </c>
      <c r="F569" s="23" t="str">
        <f t="shared" ca="1" si="43"/>
        <v>—</v>
      </c>
      <c r="G569" s="40">
        <f t="shared" ca="1" si="44"/>
        <v>7</v>
      </c>
    </row>
    <row r="570" spans="1:7" x14ac:dyDescent="0.25">
      <c r="A570" s="17">
        <f t="shared" si="40"/>
        <v>81</v>
      </c>
      <c r="B570" t="str">
        <f ca="1">TEXT(DATE(YEAR(Invoer!$A$5),1,1)+INT((ROWS(B$2:B570)-1)/3),"jjjjmmdd")</f>
        <v>19430709</v>
      </c>
      <c r="C570" s="35" t="str">
        <f>INDEX(Data,2,2+MOD(ROWS(C$2:C570)-1,3))</f>
        <v>13.45</v>
      </c>
      <c r="D570" s="23" t="str">
        <f t="shared" ca="1" si="41"/>
        <v>—</v>
      </c>
      <c r="E570" s="40">
        <f t="shared" ca="1" si="42"/>
        <v>7</v>
      </c>
      <c r="F570" s="23" t="str">
        <f t="shared" ca="1" si="43"/>
        <v>—</v>
      </c>
      <c r="G570" s="40">
        <f t="shared" ca="1" si="44"/>
        <v>7</v>
      </c>
    </row>
    <row r="571" spans="1:7" x14ac:dyDescent="0.25">
      <c r="A571" s="17">
        <f t="shared" si="40"/>
        <v>81</v>
      </c>
      <c r="B571" t="str">
        <f ca="1">TEXT(DATE(YEAR(Invoer!$A$5),1,1)+INT((ROWS(B$2:B571)-1)/3),"jjjjmmdd")</f>
        <v>19430709</v>
      </c>
      <c r="C571" s="35" t="str">
        <f>INDEX(Data,2,2+MOD(ROWS(C$2:C571)-1,3))</f>
        <v>19.45</v>
      </c>
      <c r="D571" s="23" t="str">
        <f t="shared" ca="1" si="41"/>
        <v>—</v>
      </c>
      <c r="E571" s="40">
        <f t="shared" ca="1" si="42"/>
        <v>7</v>
      </c>
      <c r="F571" s="23" t="str">
        <f t="shared" ca="1" si="43"/>
        <v>—</v>
      </c>
      <c r="G571" s="40">
        <f t="shared" ca="1" si="44"/>
        <v>7</v>
      </c>
    </row>
    <row r="572" spans="1:7" x14ac:dyDescent="0.25">
      <c r="A572" s="17">
        <f t="shared" si="40"/>
        <v>81</v>
      </c>
      <c r="B572" t="str">
        <f ca="1">TEXT(DATE(YEAR(Invoer!$A$5),1,1)+INT((ROWS(B$2:B572)-1)/3),"jjjjmmdd")</f>
        <v>19430710</v>
      </c>
      <c r="C572" s="35" t="str">
        <f>INDEX(Data,2,2+MOD(ROWS(C$2:C572)-1,3))</f>
        <v>07.45</v>
      </c>
      <c r="D572" s="23" t="str">
        <f t="shared" ca="1" si="41"/>
        <v>—</v>
      </c>
      <c r="E572" s="40">
        <f t="shared" ca="1" si="42"/>
        <v>7</v>
      </c>
      <c r="F572" s="23" t="str">
        <f t="shared" ca="1" si="43"/>
        <v>—</v>
      </c>
      <c r="G572" s="40">
        <f t="shared" ca="1" si="44"/>
        <v>7</v>
      </c>
    </row>
    <row r="573" spans="1:7" x14ac:dyDescent="0.25">
      <c r="A573" s="17">
        <f t="shared" si="40"/>
        <v>81</v>
      </c>
      <c r="B573" t="str">
        <f ca="1">TEXT(DATE(YEAR(Invoer!$A$5),1,1)+INT((ROWS(B$2:B573)-1)/3),"jjjjmmdd")</f>
        <v>19430710</v>
      </c>
      <c r="C573" s="35" t="str">
        <f>INDEX(Data,2,2+MOD(ROWS(C$2:C573)-1,3))</f>
        <v>13.45</v>
      </c>
      <c r="D573" s="23" t="str">
        <f t="shared" ca="1" si="41"/>
        <v>—</v>
      </c>
      <c r="E573" s="40">
        <f t="shared" ca="1" si="42"/>
        <v>7</v>
      </c>
      <c r="F573" s="23" t="str">
        <f t="shared" ca="1" si="43"/>
        <v>—</v>
      </c>
      <c r="G573" s="40">
        <f t="shared" ca="1" si="44"/>
        <v>7</v>
      </c>
    </row>
    <row r="574" spans="1:7" x14ac:dyDescent="0.25">
      <c r="A574" s="17">
        <f t="shared" si="40"/>
        <v>81</v>
      </c>
      <c r="B574" t="str">
        <f ca="1">TEXT(DATE(YEAR(Invoer!$A$5),1,1)+INT((ROWS(B$2:B574)-1)/3),"jjjjmmdd")</f>
        <v>19430710</v>
      </c>
      <c r="C574" s="35" t="str">
        <f>INDEX(Data,2,2+MOD(ROWS(C$2:C574)-1,3))</f>
        <v>19.45</v>
      </c>
      <c r="D574" s="23" t="str">
        <f t="shared" ca="1" si="41"/>
        <v>—</v>
      </c>
      <c r="E574" s="40">
        <f t="shared" ca="1" si="42"/>
        <v>7</v>
      </c>
      <c r="F574" s="23" t="str">
        <f t="shared" ca="1" si="43"/>
        <v>—</v>
      </c>
      <c r="G574" s="40">
        <f t="shared" ca="1" si="44"/>
        <v>7</v>
      </c>
    </row>
    <row r="575" spans="1:7" x14ac:dyDescent="0.25">
      <c r="A575" s="17">
        <f t="shared" si="40"/>
        <v>81</v>
      </c>
      <c r="B575" t="str">
        <f ca="1">TEXT(DATE(YEAR(Invoer!$A$5),1,1)+INT((ROWS(B$2:B575)-1)/3),"jjjjmmdd")</f>
        <v>19430711</v>
      </c>
      <c r="C575" s="35" t="str">
        <f>INDEX(Data,2,2+MOD(ROWS(C$2:C575)-1,3))</f>
        <v>07.45</v>
      </c>
      <c r="D575" s="23" t="str">
        <f t="shared" ca="1" si="41"/>
        <v>—</v>
      </c>
      <c r="E575" s="40">
        <f t="shared" ca="1" si="42"/>
        <v>7</v>
      </c>
      <c r="F575" s="23" t="str">
        <f t="shared" ca="1" si="43"/>
        <v>—</v>
      </c>
      <c r="G575" s="40">
        <f t="shared" ca="1" si="44"/>
        <v>7</v>
      </c>
    </row>
    <row r="576" spans="1:7" x14ac:dyDescent="0.25">
      <c r="A576" s="17">
        <f t="shared" si="40"/>
        <v>81</v>
      </c>
      <c r="B576" t="str">
        <f ca="1">TEXT(DATE(YEAR(Invoer!$A$5),1,1)+INT((ROWS(B$2:B576)-1)/3),"jjjjmmdd")</f>
        <v>19430711</v>
      </c>
      <c r="C576" s="35" t="str">
        <f>INDEX(Data,2,2+MOD(ROWS(C$2:C576)-1,3))</f>
        <v>13.45</v>
      </c>
      <c r="D576" s="23" t="str">
        <f t="shared" ca="1" si="41"/>
        <v>—</v>
      </c>
      <c r="E576" s="40">
        <f t="shared" ca="1" si="42"/>
        <v>7</v>
      </c>
      <c r="F576" s="23" t="str">
        <f t="shared" ca="1" si="43"/>
        <v>—</v>
      </c>
      <c r="G576" s="40">
        <f t="shared" ca="1" si="44"/>
        <v>7</v>
      </c>
    </row>
    <row r="577" spans="1:7" x14ac:dyDescent="0.25">
      <c r="A577" s="17">
        <f t="shared" si="40"/>
        <v>81</v>
      </c>
      <c r="B577" t="str">
        <f ca="1">TEXT(DATE(YEAR(Invoer!$A$5),1,1)+INT((ROWS(B$2:B577)-1)/3),"jjjjmmdd")</f>
        <v>19430711</v>
      </c>
      <c r="C577" s="35" t="str">
        <f>INDEX(Data,2,2+MOD(ROWS(C$2:C577)-1,3))</f>
        <v>19.45</v>
      </c>
      <c r="D577" s="23" t="str">
        <f t="shared" ca="1" si="41"/>
        <v>—</v>
      </c>
      <c r="E577" s="40">
        <f t="shared" ca="1" si="42"/>
        <v>7</v>
      </c>
      <c r="F577" s="23" t="str">
        <f t="shared" ca="1" si="43"/>
        <v>—</v>
      </c>
      <c r="G577" s="40">
        <f t="shared" ca="1" si="44"/>
        <v>7</v>
      </c>
    </row>
    <row r="578" spans="1:7" x14ac:dyDescent="0.25">
      <c r="A578" s="17">
        <f t="shared" ref="A578:A641" si="45">INDEX(Stations,2,1)</f>
        <v>81</v>
      </c>
      <c r="B578" t="str">
        <f ca="1">TEXT(DATE(YEAR(Invoer!$A$5),1,1)+INT((ROWS(B$2:B578)-1)/3),"jjjjmmdd")</f>
        <v>19430712</v>
      </c>
      <c r="C578" s="35" t="str">
        <f>INDEX(Data,2,2+MOD(ROWS(C$2:C578)-1,3))</f>
        <v>07.45</v>
      </c>
      <c r="D578" s="23" t="str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—</v>
      </c>
      <c r="E578" s="40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7</v>
      </c>
      <c r="F578" s="23" t="str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)</f>
        <v>—</v>
      </c>
      <c r="G578" s="40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7</v>
      </c>
    </row>
    <row r="579" spans="1:7" x14ac:dyDescent="0.25">
      <c r="A579" s="17">
        <f t="shared" si="45"/>
        <v>81</v>
      </c>
      <c r="B579" t="str">
        <f ca="1">TEXT(DATE(YEAR(Invoer!$A$5),1,1)+INT((ROWS(B$2:B579)-1)/3),"jjjjmmdd")</f>
        <v>19430712</v>
      </c>
      <c r="C579" s="35" t="str">
        <f>INDEX(Data,2,2+MOD(ROWS(C$2:C579)-1,3))</f>
        <v>13.45</v>
      </c>
      <c r="D579" s="23" t="str">
        <f t="shared" ca="1" si="46"/>
        <v>—</v>
      </c>
      <c r="E579" s="40">
        <f t="shared" ca="1" si="47"/>
        <v>7</v>
      </c>
      <c r="F579" s="23" t="str">
        <f t="shared" ca="1" si="48"/>
        <v>—</v>
      </c>
      <c r="G579" s="40">
        <f t="shared" ca="1" si="49"/>
        <v>7</v>
      </c>
    </row>
    <row r="580" spans="1:7" x14ac:dyDescent="0.25">
      <c r="A580" s="17">
        <f t="shared" si="45"/>
        <v>81</v>
      </c>
      <c r="B580" t="str">
        <f ca="1">TEXT(DATE(YEAR(Invoer!$A$5),1,1)+INT((ROWS(B$2:B580)-1)/3),"jjjjmmdd")</f>
        <v>19430712</v>
      </c>
      <c r="C580" s="35" t="str">
        <f>INDEX(Data,2,2+MOD(ROWS(C$2:C580)-1,3))</f>
        <v>19.45</v>
      </c>
      <c r="D580" s="23" t="str">
        <f t="shared" ca="1" si="46"/>
        <v>—</v>
      </c>
      <c r="E580" s="40">
        <f t="shared" ca="1" si="47"/>
        <v>7</v>
      </c>
      <c r="F580" s="23" t="str">
        <f t="shared" ca="1" si="48"/>
        <v>—</v>
      </c>
      <c r="G580" s="40">
        <f t="shared" ca="1" si="49"/>
        <v>7</v>
      </c>
    </row>
    <row r="581" spans="1:7" x14ac:dyDescent="0.25">
      <c r="A581" s="17">
        <f t="shared" si="45"/>
        <v>81</v>
      </c>
      <c r="B581" t="str">
        <f ca="1">TEXT(DATE(YEAR(Invoer!$A$5),1,1)+INT((ROWS(B$2:B581)-1)/3),"jjjjmmdd")</f>
        <v>19430713</v>
      </c>
      <c r="C581" s="35" t="str">
        <f>INDEX(Data,2,2+MOD(ROWS(C$2:C581)-1,3))</f>
        <v>07.45</v>
      </c>
      <c r="D581" s="23" t="str">
        <f t="shared" ca="1" si="46"/>
        <v>—</v>
      </c>
      <c r="E581" s="40">
        <f t="shared" ca="1" si="47"/>
        <v>7</v>
      </c>
      <c r="F581" s="23" t="str">
        <f t="shared" ca="1" si="48"/>
        <v>—</v>
      </c>
      <c r="G581" s="40">
        <f t="shared" ca="1" si="49"/>
        <v>7</v>
      </c>
    </row>
    <row r="582" spans="1:7" x14ac:dyDescent="0.25">
      <c r="A582" s="17">
        <f t="shared" si="45"/>
        <v>81</v>
      </c>
      <c r="B582" t="str">
        <f ca="1">TEXT(DATE(YEAR(Invoer!$A$5),1,1)+INT((ROWS(B$2:B582)-1)/3),"jjjjmmdd")</f>
        <v>19430713</v>
      </c>
      <c r="C582" s="35" t="str">
        <f>INDEX(Data,2,2+MOD(ROWS(C$2:C582)-1,3))</f>
        <v>13.45</v>
      </c>
      <c r="D582" s="23" t="str">
        <f t="shared" ca="1" si="46"/>
        <v>—</v>
      </c>
      <c r="E582" s="40">
        <f t="shared" ca="1" si="47"/>
        <v>7</v>
      </c>
      <c r="F582" s="23" t="str">
        <f t="shared" ca="1" si="48"/>
        <v>—</v>
      </c>
      <c r="G582" s="40">
        <f t="shared" ca="1" si="49"/>
        <v>7</v>
      </c>
    </row>
    <row r="583" spans="1:7" x14ac:dyDescent="0.25">
      <c r="A583" s="17">
        <f t="shared" si="45"/>
        <v>81</v>
      </c>
      <c r="B583" t="str">
        <f ca="1">TEXT(DATE(YEAR(Invoer!$A$5),1,1)+INT((ROWS(B$2:B583)-1)/3),"jjjjmmdd")</f>
        <v>19430713</v>
      </c>
      <c r="C583" s="35" t="str">
        <f>INDEX(Data,2,2+MOD(ROWS(C$2:C583)-1,3))</f>
        <v>19.45</v>
      </c>
      <c r="D583" s="23" t="str">
        <f t="shared" ca="1" si="46"/>
        <v>—</v>
      </c>
      <c r="E583" s="40">
        <f t="shared" ca="1" si="47"/>
        <v>7</v>
      </c>
      <c r="F583" s="23" t="str">
        <f t="shared" ca="1" si="48"/>
        <v>—</v>
      </c>
      <c r="G583" s="40">
        <f t="shared" ca="1" si="49"/>
        <v>7</v>
      </c>
    </row>
    <row r="584" spans="1:7" x14ac:dyDescent="0.25">
      <c r="A584" s="17">
        <f t="shared" si="45"/>
        <v>81</v>
      </c>
      <c r="B584" t="str">
        <f ca="1">TEXT(DATE(YEAR(Invoer!$A$5),1,1)+INT((ROWS(B$2:B584)-1)/3),"jjjjmmdd")</f>
        <v>19430714</v>
      </c>
      <c r="C584" s="35" t="str">
        <f>INDEX(Data,2,2+MOD(ROWS(C$2:C584)-1,3))</f>
        <v>07.45</v>
      </c>
      <c r="D584" s="23" t="str">
        <f t="shared" ca="1" si="46"/>
        <v>—</v>
      </c>
      <c r="E584" s="40">
        <f t="shared" ca="1" si="47"/>
        <v>7</v>
      </c>
      <c r="F584" s="23" t="str">
        <f t="shared" ca="1" si="48"/>
        <v>—</v>
      </c>
      <c r="G584" s="40">
        <f t="shared" ca="1" si="49"/>
        <v>7</v>
      </c>
    </row>
    <row r="585" spans="1:7" x14ac:dyDescent="0.25">
      <c r="A585" s="17">
        <f t="shared" si="45"/>
        <v>81</v>
      </c>
      <c r="B585" t="str">
        <f ca="1">TEXT(DATE(YEAR(Invoer!$A$5),1,1)+INT((ROWS(B$2:B585)-1)/3),"jjjjmmdd")</f>
        <v>19430714</v>
      </c>
      <c r="C585" s="35" t="str">
        <f>INDEX(Data,2,2+MOD(ROWS(C$2:C585)-1,3))</f>
        <v>13.45</v>
      </c>
      <c r="D585" s="23" t="str">
        <f t="shared" ca="1" si="46"/>
        <v>—</v>
      </c>
      <c r="E585" s="40">
        <f t="shared" ca="1" si="47"/>
        <v>7</v>
      </c>
      <c r="F585" s="23" t="str">
        <f t="shared" ca="1" si="48"/>
        <v>—</v>
      </c>
      <c r="G585" s="40">
        <f t="shared" ca="1" si="49"/>
        <v>7</v>
      </c>
    </row>
    <row r="586" spans="1:7" x14ac:dyDescent="0.25">
      <c r="A586" s="17">
        <f t="shared" si="45"/>
        <v>81</v>
      </c>
      <c r="B586" t="str">
        <f ca="1">TEXT(DATE(YEAR(Invoer!$A$5),1,1)+INT((ROWS(B$2:B586)-1)/3),"jjjjmmdd")</f>
        <v>19430714</v>
      </c>
      <c r="C586" s="35" t="str">
        <f>INDEX(Data,2,2+MOD(ROWS(C$2:C586)-1,3))</f>
        <v>19.45</v>
      </c>
      <c r="D586" s="23" t="str">
        <f t="shared" ca="1" si="46"/>
        <v>—</v>
      </c>
      <c r="E586" s="40">
        <f t="shared" ca="1" si="47"/>
        <v>7</v>
      </c>
      <c r="F586" s="23" t="str">
        <f t="shared" ca="1" si="48"/>
        <v>—</v>
      </c>
      <c r="G586" s="40">
        <f t="shared" ca="1" si="49"/>
        <v>7</v>
      </c>
    </row>
    <row r="587" spans="1:7" x14ac:dyDescent="0.25">
      <c r="A587" s="17">
        <f t="shared" si="45"/>
        <v>81</v>
      </c>
      <c r="B587" t="str">
        <f ca="1">TEXT(DATE(YEAR(Invoer!$A$5),1,1)+INT((ROWS(B$2:B587)-1)/3),"jjjjmmdd")</f>
        <v>19430715</v>
      </c>
      <c r="C587" s="35" t="str">
        <f>INDEX(Data,2,2+MOD(ROWS(C$2:C587)-1,3))</f>
        <v>07.45</v>
      </c>
      <c r="D587" s="23" t="str">
        <f t="shared" ca="1" si="46"/>
        <v>—</v>
      </c>
      <c r="E587" s="40">
        <f t="shared" ca="1" si="47"/>
        <v>7</v>
      </c>
      <c r="F587" s="23" t="str">
        <f t="shared" ca="1" si="48"/>
        <v>—</v>
      </c>
      <c r="G587" s="40">
        <f t="shared" ca="1" si="49"/>
        <v>7</v>
      </c>
    </row>
    <row r="588" spans="1:7" x14ac:dyDescent="0.25">
      <c r="A588" s="17">
        <f t="shared" si="45"/>
        <v>81</v>
      </c>
      <c r="B588" t="str">
        <f ca="1">TEXT(DATE(YEAR(Invoer!$A$5),1,1)+INT((ROWS(B$2:B588)-1)/3),"jjjjmmdd")</f>
        <v>19430715</v>
      </c>
      <c r="C588" s="35" t="str">
        <f>INDEX(Data,2,2+MOD(ROWS(C$2:C588)-1,3))</f>
        <v>13.45</v>
      </c>
      <c r="D588" s="23" t="str">
        <f t="shared" ca="1" si="46"/>
        <v>—</v>
      </c>
      <c r="E588" s="40">
        <f t="shared" ca="1" si="47"/>
        <v>7</v>
      </c>
      <c r="F588" s="23" t="str">
        <f t="shared" ca="1" si="48"/>
        <v>—</v>
      </c>
      <c r="G588" s="40">
        <f t="shared" ca="1" si="49"/>
        <v>7</v>
      </c>
    </row>
    <row r="589" spans="1:7" x14ac:dyDescent="0.25">
      <c r="A589" s="17">
        <f t="shared" si="45"/>
        <v>81</v>
      </c>
      <c r="B589" t="str">
        <f ca="1">TEXT(DATE(YEAR(Invoer!$A$5),1,1)+INT((ROWS(B$2:B589)-1)/3),"jjjjmmdd")</f>
        <v>19430715</v>
      </c>
      <c r="C589" s="35" t="str">
        <f>INDEX(Data,2,2+MOD(ROWS(C$2:C589)-1,3))</f>
        <v>19.45</v>
      </c>
      <c r="D589" s="23" t="str">
        <f t="shared" ca="1" si="46"/>
        <v>—</v>
      </c>
      <c r="E589" s="40">
        <f t="shared" ca="1" si="47"/>
        <v>7</v>
      </c>
      <c r="F589" s="23" t="str">
        <f t="shared" ca="1" si="48"/>
        <v>—</v>
      </c>
      <c r="G589" s="40">
        <f t="shared" ca="1" si="49"/>
        <v>7</v>
      </c>
    </row>
    <row r="590" spans="1:7" x14ac:dyDescent="0.25">
      <c r="A590" s="17">
        <f t="shared" si="45"/>
        <v>81</v>
      </c>
      <c r="B590" t="str">
        <f ca="1">TEXT(DATE(YEAR(Invoer!$A$5),1,1)+INT((ROWS(B$2:B590)-1)/3),"jjjjmmdd")</f>
        <v>19430716</v>
      </c>
      <c r="C590" s="35" t="str">
        <f>INDEX(Data,2,2+MOD(ROWS(C$2:C590)-1,3))</f>
        <v>07.45</v>
      </c>
      <c r="D590" s="23" t="str">
        <f t="shared" ca="1" si="46"/>
        <v>—</v>
      </c>
      <c r="E590" s="40">
        <f t="shared" ca="1" si="47"/>
        <v>7</v>
      </c>
      <c r="F590" s="23" t="str">
        <f t="shared" ca="1" si="48"/>
        <v>—</v>
      </c>
      <c r="G590" s="40">
        <f t="shared" ca="1" si="49"/>
        <v>7</v>
      </c>
    </row>
    <row r="591" spans="1:7" x14ac:dyDescent="0.25">
      <c r="A591" s="17">
        <f t="shared" si="45"/>
        <v>81</v>
      </c>
      <c r="B591" t="str">
        <f ca="1">TEXT(DATE(YEAR(Invoer!$A$5),1,1)+INT((ROWS(B$2:B591)-1)/3),"jjjjmmdd")</f>
        <v>19430716</v>
      </c>
      <c r="C591" s="35" t="str">
        <f>INDEX(Data,2,2+MOD(ROWS(C$2:C591)-1,3))</f>
        <v>13.45</v>
      </c>
      <c r="D591" s="23" t="str">
        <f t="shared" ca="1" si="46"/>
        <v>—</v>
      </c>
      <c r="E591" s="40">
        <f t="shared" ca="1" si="47"/>
        <v>7</v>
      </c>
      <c r="F591" s="23" t="str">
        <f t="shared" ca="1" si="48"/>
        <v>—</v>
      </c>
      <c r="G591" s="40">
        <f t="shared" ca="1" si="49"/>
        <v>7</v>
      </c>
    </row>
    <row r="592" spans="1:7" x14ac:dyDescent="0.25">
      <c r="A592" s="17">
        <f t="shared" si="45"/>
        <v>81</v>
      </c>
      <c r="B592" t="str">
        <f ca="1">TEXT(DATE(YEAR(Invoer!$A$5),1,1)+INT((ROWS(B$2:B592)-1)/3),"jjjjmmdd")</f>
        <v>19430716</v>
      </c>
      <c r="C592" s="35" t="str">
        <f>INDEX(Data,2,2+MOD(ROWS(C$2:C592)-1,3))</f>
        <v>19.45</v>
      </c>
      <c r="D592" s="23" t="str">
        <f t="shared" ca="1" si="46"/>
        <v>—</v>
      </c>
      <c r="E592" s="40">
        <f t="shared" ca="1" si="47"/>
        <v>7</v>
      </c>
      <c r="F592" s="23" t="str">
        <f t="shared" ca="1" si="48"/>
        <v>—</v>
      </c>
      <c r="G592" s="40">
        <f t="shared" ca="1" si="49"/>
        <v>7</v>
      </c>
    </row>
    <row r="593" spans="1:7" x14ac:dyDescent="0.25">
      <c r="A593" s="17">
        <f t="shared" si="45"/>
        <v>81</v>
      </c>
      <c r="B593" t="str">
        <f ca="1">TEXT(DATE(YEAR(Invoer!$A$5),1,1)+INT((ROWS(B$2:B593)-1)/3),"jjjjmmdd")</f>
        <v>19430717</v>
      </c>
      <c r="C593" s="35" t="str">
        <f>INDEX(Data,2,2+MOD(ROWS(C$2:C593)-1,3))</f>
        <v>07.45</v>
      </c>
      <c r="D593" s="23" t="str">
        <f t="shared" ca="1" si="46"/>
        <v>—</v>
      </c>
      <c r="E593" s="40">
        <f t="shared" ca="1" si="47"/>
        <v>7</v>
      </c>
      <c r="F593" s="23" t="str">
        <f t="shared" ca="1" si="48"/>
        <v>—</v>
      </c>
      <c r="G593" s="40">
        <f t="shared" ca="1" si="49"/>
        <v>7</v>
      </c>
    </row>
    <row r="594" spans="1:7" x14ac:dyDescent="0.25">
      <c r="A594" s="17">
        <f t="shared" si="45"/>
        <v>81</v>
      </c>
      <c r="B594" t="str">
        <f ca="1">TEXT(DATE(YEAR(Invoer!$A$5),1,1)+INT((ROWS(B$2:B594)-1)/3),"jjjjmmdd")</f>
        <v>19430717</v>
      </c>
      <c r="C594" s="35" t="str">
        <f>INDEX(Data,2,2+MOD(ROWS(C$2:C594)-1,3))</f>
        <v>13.45</v>
      </c>
      <c r="D594" s="23" t="str">
        <f t="shared" ca="1" si="46"/>
        <v>—</v>
      </c>
      <c r="E594" s="40">
        <f t="shared" ca="1" si="47"/>
        <v>7</v>
      </c>
      <c r="F594" s="23" t="str">
        <f t="shared" ca="1" si="48"/>
        <v>—</v>
      </c>
      <c r="G594" s="40">
        <f t="shared" ca="1" si="49"/>
        <v>7</v>
      </c>
    </row>
    <row r="595" spans="1:7" x14ac:dyDescent="0.25">
      <c r="A595" s="17">
        <f t="shared" si="45"/>
        <v>81</v>
      </c>
      <c r="B595" t="str">
        <f ca="1">TEXT(DATE(YEAR(Invoer!$A$5),1,1)+INT((ROWS(B$2:B595)-1)/3),"jjjjmmdd")</f>
        <v>19430717</v>
      </c>
      <c r="C595" s="35" t="str">
        <f>INDEX(Data,2,2+MOD(ROWS(C$2:C595)-1,3))</f>
        <v>19.45</v>
      </c>
      <c r="D595" s="23" t="str">
        <f t="shared" ca="1" si="46"/>
        <v>—</v>
      </c>
      <c r="E595" s="40">
        <f t="shared" ca="1" si="47"/>
        <v>7</v>
      </c>
      <c r="F595" s="23" t="str">
        <f t="shared" ca="1" si="48"/>
        <v>—</v>
      </c>
      <c r="G595" s="40">
        <f t="shared" ca="1" si="49"/>
        <v>7</v>
      </c>
    </row>
    <row r="596" spans="1:7" x14ac:dyDescent="0.25">
      <c r="A596" s="17">
        <f t="shared" si="45"/>
        <v>81</v>
      </c>
      <c r="B596" t="str">
        <f ca="1">TEXT(DATE(YEAR(Invoer!$A$5),1,1)+INT((ROWS(B$2:B596)-1)/3),"jjjjmmdd")</f>
        <v>19430718</v>
      </c>
      <c r="C596" s="35" t="str">
        <f>INDEX(Data,2,2+MOD(ROWS(C$2:C596)-1,3))</f>
        <v>07.45</v>
      </c>
      <c r="D596" s="23" t="str">
        <f t="shared" ca="1" si="46"/>
        <v>—</v>
      </c>
      <c r="E596" s="40">
        <f t="shared" ca="1" si="47"/>
        <v>7</v>
      </c>
      <c r="F596" s="23" t="str">
        <f t="shared" ca="1" si="48"/>
        <v>—</v>
      </c>
      <c r="G596" s="40">
        <f t="shared" ca="1" si="49"/>
        <v>7</v>
      </c>
    </row>
    <row r="597" spans="1:7" x14ac:dyDescent="0.25">
      <c r="A597" s="17">
        <f t="shared" si="45"/>
        <v>81</v>
      </c>
      <c r="B597" t="str">
        <f ca="1">TEXT(DATE(YEAR(Invoer!$A$5),1,1)+INT((ROWS(B$2:B597)-1)/3),"jjjjmmdd")</f>
        <v>19430718</v>
      </c>
      <c r="C597" s="35" t="str">
        <f>INDEX(Data,2,2+MOD(ROWS(C$2:C597)-1,3))</f>
        <v>13.45</v>
      </c>
      <c r="D597" s="23" t="str">
        <f t="shared" ca="1" si="46"/>
        <v>—</v>
      </c>
      <c r="E597" s="40">
        <f t="shared" ca="1" si="47"/>
        <v>7</v>
      </c>
      <c r="F597" s="23" t="str">
        <f t="shared" ca="1" si="48"/>
        <v>—</v>
      </c>
      <c r="G597" s="40">
        <f t="shared" ca="1" si="49"/>
        <v>7</v>
      </c>
    </row>
    <row r="598" spans="1:7" x14ac:dyDescent="0.25">
      <c r="A598" s="17">
        <f t="shared" si="45"/>
        <v>81</v>
      </c>
      <c r="B598" t="str">
        <f ca="1">TEXT(DATE(YEAR(Invoer!$A$5),1,1)+INT((ROWS(B$2:B598)-1)/3),"jjjjmmdd")</f>
        <v>19430718</v>
      </c>
      <c r="C598" s="35" t="str">
        <f>INDEX(Data,2,2+MOD(ROWS(C$2:C598)-1,3))</f>
        <v>19.45</v>
      </c>
      <c r="D598" s="23" t="str">
        <f t="shared" ca="1" si="46"/>
        <v>—</v>
      </c>
      <c r="E598" s="40">
        <f t="shared" ca="1" si="47"/>
        <v>7</v>
      </c>
      <c r="F598" s="23" t="str">
        <f t="shared" ca="1" si="48"/>
        <v>—</v>
      </c>
      <c r="G598" s="40">
        <f t="shared" ca="1" si="49"/>
        <v>7</v>
      </c>
    </row>
    <row r="599" spans="1:7" x14ac:dyDescent="0.25">
      <c r="A599" s="17">
        <f t="shared" si="45"/>
        <v>81</v>
      </c>
      <c r="B599" t="str">
        <f ca="1">TEXT(DATE(YEAR(Invoer!$A$5),1,1)+INT((ROWS(B$2:B599)-1)/3),"jjjjmmdd")</f>
        <v>19430719</v>
      </c>
      <c r="C599" s="35" t="str">
        <f>INDEX(Data,2,2+MOD(ROWS(C$2:C599)-1,3))</f>
        <v>07.45</v>
      </c>
      <c r="D599" s="23" t="str">
        <f t="shared" ca="1" si="46"/>
        <v>—</v>
      </c>
      <c r="E599" s="40">
        <f t="shared" ca="1" si="47"/>
        <v>7</v>
      </c>
      <c r="F599" s="23" t="str">
        <f t="shared" ca="1" si="48"/>
        <v>—</v>
      </c>
      <c r="G599" s="40">
        <f t="shared" ca="1" si="49"/>
        <v>7</v>
      </c>
    </row>
    <row r="600" spans="1:7" x14ac:dyDescent="0.25">
      <c r="A600" s="17">
        <f t="shared" si="45"/>
        <v>81</v>
      </c>
      <c r="B600" t="str">
        <f ca="1">TEXT(DATE(YEAR(Invoer!$A$5),1,1)+INT((ROWS(B$2:B600)-1)/3),"jjjjmmdd")</f>
        <v>19430719</v>
      </c>
      <c r="C600" s="35" t="str">
        <f>INDEX(Data,2,2+MOD(ROWS(C$2:C600)-1,3))</f>
        <v>13.45</v>
      </c>
      <c r="D600" s="23" t="str">
        <f t="shared" ca="1" si="46"/>
        <v>—</v>
      </c>
      <c r="E600" s="40">
        <f t="shared" ca="1" si="47"/>
        <v>7</v>
      </c>
      <c r="F600" s="23" t="str">
        <f t="shared" ca="1" si="48"/>
        <v>—</v>
      </c>
      <c r="G600" s="40">
        <f t="shared" ca="1" si="49"/>
        <v>7</v>
      </c>
    </row>
    <row r="601" spans="1:7" x14ac:dyDescent="0.25">
      <c r="A601" s="17">
        <f t="shared" si="45"/>
        <v>81</v>
      </c>
      <c r="B601" t="str">
        <f ca="1">TEXT(DATE(YEAR(Invoer!$A$5),1,1)+INT((ROWS(B$2:B601)-1)/3),"jjjjmmdd")</f>
        <v>19430719</v>
      </c>
      <c r="C601" s="35" t="str">
        <f>INDEX(Data,2,2+MOD(ROWS(C$2:C601)-1,3))</f>
        <v>19.45</v>
      </c>
      <c r="D601" s="23" t="str">
        <f t="shared" ca="1" si="46"/>
        <v>—</v>
      </c>
      <c r="E601" s="40">
        <f t="shared" ca="1" si="47"/>
        <v>7</v>
      </c>
      <c r="F601" s="23" t="str">
        <f t="shared" ca="1" si="48"/>
        <v>—</v>
      </c>
      <c r="G601" s="40">
        <f t="shared" ca="1" si="49"/>
        <v>7</v>
      </c>
    </row>
    <row r="602" spans="1:7" x14ac:dyDescent="0.25">
      <c r="A602" s="17">
        <f t="shared" si="45"/>
        <v>81</v>
      </c>
      <c r="B602" t="str">
        <f ca="1">TEXT(DATE(YEAR(Invoer!$A$5),1,1)+INT((ROWS(B$2:B602)-1)/3),"jjjjmmdd")</f>
        <v>19430720</v>
      </c>
      <c r="C602" s="35" t="str">
        <f>INDEX(Data,2,2+MOD(ROWS(C$2:C602)-1,3))</f>
        <v>07.45</v>
      </c>
      <c r="D602" s="23" t="str">
        <f t="shared" ca="1" si="46"/>
        <v>—</v>
      </c>
      <c r="E602" s="40">
        <f t="shared" ca="1" si="47"/>
        <v>7</v>
      </c>
      <c r="F602" s="23" t="str">
        <f t="shared" ca="1" si="48"/>
        <v>—</v>
      </c>
      <c r="G602" s="40">
        <f t="shared" ca="1" si="49"/>
        <v>7</v>
      </c>
    </row>
    <row r="603" spans="1:7" x14ac:dyDescent="0.25">
      <c r="A603" s="17">
        <f t="shared" si="45"/>
        <v>81</v>
      </c>
      <c r="B603" t="str">
        <f ca="1">TEXT(DATE(YEAR(Invoer!$A$5),1,1)+INT((ROWS(B$2:B603)-1)/3),"jjjjmmdd")</f>
        <v>19430720</v>
      </c>
      <c r="C603" s="35" t="str">
        <f>INDEX(Data,2,2+MOD(ROWS(C$2:C603)-1,3))</f>
        <v>13.45</v>
      </c>
      <c r="D603" s="23" t="str">
        <f t="shared" ca="1" si="46"/>
        <v>—</v>
      </c>
      <c r="E603" s="40">
        <f t="shared" ca="1" si="47"/>
        <v>7</v>
      </c>
      <c r="F603" s="23" t="str">
        <f t="shared" ca="1" si="48"/>
        <v>—</v>
      </c>
      <c r="G603" s="40">
        <f t="shared" ca="1" si="49"/>
        <v>7</v>
      </c>
    </row>
    <row r="604" spans="1:7" x14ac:dyDescent="0.25">
      <c r="A604" s="17">
        <f t="shared" si="45"/>
        <v>81</v>
      </c>
      <c r="B604" t="str">
        <f ca="1">TEXT(DATE(YEAR(Invoer!$A$5),1,1)+INT((ROWS(B$2:B604)-1)/3),"jjjjmmdd")</f>
        <v>19430720</v>
      </c>
      <c r="C604" s="35" t="str">
        <f>INDEX(Data,2,2+MOD(ROWS(C$2:C604)-1,3))</f>
        <v>19.45</v>
      </c>
      <c r="D604" s="23" t="str">
        <f t="shared" ca="1" si="46"/>
        <v>—</v>
      </c>
      <c r="E604" s="40">
        <f t="shared" ca="1" si="47"/>
        <v>7</v>
      </c>
      <c r="F604" s="23" t="str">
        <f t="shared" ca="1" si="48"/>
        <v>—</v>
      </c>
      <c r="G604" s="40">
        <f t="shared" ca="1" si="49"/>
        <v>7</v>
      </c>
    </row>
    <row r="605" spans="1:7" x14ac:dyDescent="0.25">
      <c r="A605" s="17">
        <f t="shared" si="45"/>
        <v>81</v>
      </c>
      <c r="B605" t="str">
        <f ca="1">TEXT(DATE(YEAR(Invoer!$A$5),1,1)+INT((ROWS(B$2:B605)-1)/3),"jjjjmmdd")</f>
        <v>19430721</v>
      </c>
      <c r="C605" s="35" t="str">
        <f>INDEX(Data,2,2+MOD(ROWS(C$2:C605)-1,3))</f>
        <v>07.45</v>
      </c>
      <c r="D605" s="23" t="str">
        <f t="shared" ca="1" si="46"/>
        <v>—</v>
      </c>
      <c r="E605" s="40">
        <f t="shared" ca="1" si="47"/>
        <v>7</v>
      </c>
      <c r="F605" s="23" t="str">
        <f t="shared" ca="1" si="48"/>
        <v>—</v>
      </c>
      <c r="G605" s="40">
        <f t="shared" ca="1" si="49"/>
        <v>7</v>
      </c>
    </row>
    <row r="606" spans="1:7" x14ac:dyDescent="0.25">
      <c r="A606" s="17">
        <f t="shared" si="45"/>
        <v>81</v>
      </c>
      <c r="B606" t="str">
        <f ca="1">TEXT(DATE(YEAR(Invoer!$A$5),1,1)+INT((ROWS(B$2:B606)-1)/3),"jjjjmmdd")</f>
        <v>19430721</v>
      </c>
      <c r="C606" s="35" t="str">
        <f>INDEX(Data,2,2+MOD(ROWS(C$2:C606)-1,3))</f>
        <v>13.45</v>
      </c>
      <c r="D606" s="23" t="str">
        <f t="shared" ca="1" si="46"/>
        <v>—</v>
      </c>
      <c r="E606" s="40">
        <f t="shared" ca="1" si="47"/>
        <v>7</v>
      </c>
      <c r="F606" s="23" t="str">
        <f t="shared" ca="1" si="48"/>
        <v>—</v>
      </c>
      <c r="G606" s="40">
        <f t="shared" ca="1" si="49"/>
        <v>7</v>
      </c>
    </row>
    <row r="607" spans="1:7" x14ac:dyDescent="0.25">
      <c r="A607" s="17">
        <f t="shared" si="45"/>
        <v>81</v>
      </c>
      <c r="B607" t="str">
        <f ca="1">TEXT(DATE(YEAR(Invoer!$A$5),1,1)+INT((ROWS(B$2:B607)-1)/3),"jjjjmmdd")</f>
        <v>19430721</v>
      </c>
      <c r="C607" s="35" t="str">
        <f>INDEX(Data,2,2+MOD(ROWS(C$2:C607)-1,3))</f>
        <v>19.45</v>
      </c>
      <c r="D607" s="23" t="str">
        <f t="shared" ca="1" si="46"/>
        <v>—</v>
      </c>
      <c r="E607" s="40">
        <f t="shared" ca="1" si="47"/>
        <v>7</v>
      </c>
      <c r="F607" s="23" t="str">
        <f t="shared" ca="1" si="48"/>
        <v>—</v>
      </c>
      <c r="G607" s="40">
        <f t="shared" ca="1" si="49"/>
        <v>7</v>
      </c>
    </row>
    <row r="608" spans="1:7" x14ac:dyDescent="0.25">
      <c r="A608" s="17">
        <f t="shared" si="45"/>
        <v>81</v>
      </c>
      <c r="B608" t="str">
        <f ca="1">TEXT(DATE(YEAR(Invoer!$A$5),1,1)+INT((ROWS(B$2:B608)-1)/3),"jjjjmmdd")</f>
        <v>19430722</v>
      </c>
      <c r="C608" s="35" t="str">
        <f>INDEX(Data,2,2+MOD(ROWS(C$2:C608)-1,3))</f>
        <v>07.45</v>
      </c>
      <c r="D608" s="23" t="str">
        <f t="shared" ca="1" si="46"/>
        <v>—</v>
      </c>
      <c r="E608" s="40">
        <f t="shared" ca="1" si="47"/>
        <v>7</v>
      </c>
      <c r="F608" s="23" t="str">
        <f t="shared" ca="1" si="48"/>
        <v>—</v>
      </c>
      <c r="G608" s="40">
        <f t="shared" ca="1" si="49"/>
        <v>7</v>
      </c>
    </row>
    <row r="609" spans="1:7" x14ac:dyDescent="0.25">
      <c r="A609" s="17">
        <f t="shared" si="45"/>
        <v>81</v>
      </c>
      <c r="B609" t="str">
        <f ca="1">TEXT(DATE(YEAR(Invoer!$A$5),1,1)+INT((ROWS(B$2:B609)-1)/3),"jjjjmmdd")</f>
        <v>19430722</v>
      </c>
      <c r="C609" s="35" t="str">
        <f>INDEX(Data,2,2+MOD(ROWS(C$2:C609)-1,3))</f>
        <v>13.45</v>
      </c>
      <c r="D609" s="23" t="str">
        <f t="shared" ca="1" si="46"/>
        <v>—</v>
      </c>
      <c r="E609" s="40">
        <f t="shared" ca="1" si="47"/>
        <v>7</v>
      </c>
      <c r="F609" s="23" t="str">
        <f t="shared" ca="1" si="48"/>
        <v>—</v>
      </c>
      <c r="G609" s="40">
        <f t="shared" ca="1" si="49"/>
        <v>7</v>
      </c>
    </row>
    <row r="610" spans="1:7" x14ac:dyDescent="0.25">
      <c r="A610" s="17">
        <f t="shared" si="45"/>
        <v>81</v>
      </c>
      <c r="B610" t="str">
        <f ca="1">TEXT(DATE(YEAR(Invoer!$A$5),1,1)+INT((ROWS(B$2:B610)-1)/3),"jjjjmmdd")</f>
        <v>19430722</v>
      </c>
      <c r="C610" s="35" t="str">
        <f>INDEX(Data,2,2+MOD(ROWS(C$2:C610)-1,3))</f>
        <v>19.45</v>
      </c>
      <c r="D610" s="23" t="str">
        <f t="shared" ca="1" si="46"/>
        <v>—</v>
      </c>
      <c r="E610" s="40">
        <f t="shared" ca="1" si="47"/>
        <v>7</v>
      </c>
      <c r="F610" s="23" t="str">
        <f t="shared" ca="1" si="48"/>
        <v>—</v>
      </c>
      <c r="G610" s="40">
        <f t="shared" ca="1" si="49"/>
        <v>7</v>
      </c>
    </row>
    <row r="611" spans="1:7" x14ac:dyDescent="0.25">
      <c r="A611" s="17">
        <f t="shared" si="45"/>
        <v>81</v>
      </c>
      <c r="B611" t="str">
        <f ca="1">TEXT(DATE(YEAR(Invoer!$A$5),1,1)+INT((ROWS(B$2:B611)-1)/3),"jjjjmmdd")</f>
        <v>19430723</v>
      </c>
      <c r="C611" s="35" t="str">
        <f>INDEX(Data,2,2+MOD(ROWS(C$2:C611)-1,3))</f>
        <v>07.45</v>
      </c>
      <c r="D611" s="23" t="str">
        <f t="shared" ca="1" si="46"/>
        <v>—</v>
      </c>
      <c r="E611" s="40">
        <f t="shared" ca="1" si="47"/>
        <v>7</v>
      </c>
      <c r="F611" s="23" t="str">
        <f t="shared" ca="1" si="48"/>
        <v>—</v>
      </c>
      <c r="G611" s="40">
        <f t="shared" ca="1" si="49"/>
        <v>7</v>
      </c>
    </row>
    <row r="612" spans="1:7" x14ac:dyDescent="0.25">
      <c r="A612" s="17">
        <f t="shared" si="45"/>
        <v>81</v>
      </c>
      <c r="B612" t="str">
        <f ca="1">TEXT(DATE(YEAR(Invoer!$A$5),1,1)+INT((ROWS(B$2:B612)-1)/3),"jjjjmmdd")</f>
        <v>19430723</v>
      </c>
      <c r="C612" s="35" t="str">
        <f>INDEX(Data,2,2+MOD(ROWS(C$2:C612)-1,3))</f>
        <v>13.45</v>
      </c>
      <c r="D612" s="23" t="str">
        <f t="shared" ca="1" si="46"/>
        <v>—</v>
      </c>
      <c r="E612" s="40">
        <f t="shared" ca="1" si="47"/>
        <v>7</v>
      </c>
      <c r="F612" s="23" t="str">
        <f t="shared" ca="1" si="48"/>
        <v>—</v>
      </c>
      <c r="G612" s="40">
        <f t="shared" ca="1" si="49"/>
        <v>7</v>
      </c>
    </row>
    <row r="613" spans="1:7" x14ac:dyDescent="0.25">
      <c r="A613" s="17">
        <f t="shared" si="45"/>
        <v>81</v>
      </c>
      <c r="B613" t="str">
        <f ca="1">TEXT(DATE(YEAR(Invoer!$A$5),1,1)+INT((ROWS(B$2:B613)-1)/3),"jjjjmmdd")</f>
        <v>19430723</v>
      </c>
      <c r="C613" s="35" t="str">
        <f>INDEX(Data,2,2+MOD(ROWS(C$2:C613)-1,3))</f>
        <v>19.45</v>
      </c>
      <c r="D613" s="23" t="str">
        <f t="shared" ca="1" si="46"/>
        <v>—</v>
      </c>
      <c r="E613" s="40">
        <f t="shared" ca="1" si="47"/>
        <v>7</v>
      </c>
      <c r="F613" s="23" t="str">
        <f t="shared" ca="1" si="48"/>
        <v>—</v>
      </c>
      <c r="G613" s="40">
        <f t="shared" ca="1" si="49"/>
        <v>7</v>
      </c>
    </row>
    <row r="614" spans="1:7" x14ac:dyDescent="0.25">
      <c r="A614" s="17">
        <f t="shared" si="45"/>
        <v>81</v>
      </c>
      <c r="B614" t="str">
        <f ca="1">TEXT(DATE(YEAR(Invoer!$A$5),1,1)+INT((ROWS(B$2:B614)-1)/3),"jjjjmmdd")</f>
        <v>19430724</v>
      </c>
      <c r="C614" s="35" t="str">
        <f>INDEX(Data,2,2+MOD(ROWS(C$2:C614)-1,3))</f>
        <v>07.45</v>
      </c>
      <c r="D614" s="23" t="str">
        <f t="shared" ca="1" si="46"/>
        <v>—</v>
      </c>
      <c r="E614" s="40">
        <f t="shared" ca="1" si="47"/>
        <v>7</v>
      </c>
      <c r="F614" s="23" t="str">
        <f t="shared" ca="1" si="48"/>
        <v>—</v>
      </c>
      <c r="G614" s="40">
        <f t="shared" ca="1" si="49"/>
        <v>7</v>
      </c>
    </row>
    <row r="615" spans="1:7" x14ac:dyDescent="0.25">
      <c r="A615" s="17">
        <f t="shared" si="45"/>
        <v>81</v>
      </c>
      <c r="B615" t="str">
        <f ca="1">TEXT(DATE(YEAR(Invoer!$A$5),1,1)+INT((ROWS(B$2:B615)-1)/3),"jjjjmmdd")</f>
        <v>19430724</v>
      </c>
      <c r="C615" s="35" t="str">
        <f>INDEX(Data,2,2+MOD(ROWS(C$2:C615)-1,3))</f>
        <v>13.45</v>
      </c>
      <c r="D615" s="23" t="str">
        <f t="shared" ca="1" si="46"/>
        <v>—</v>
      </c>
      <c r="E615" s="40">
        <f t="shared" ca="1" si="47"/>
        <v>7</v>
      </c>
      <c r="F615" s="23" t="str">
        <f t="shared" ca="1" si="48"/>
        <v>—</v>
      </c>
      <c r="G615" s="40">
        <f t="shared" ca="1" si="49"/>
        <v>7</v>
      </c>
    </row>
    <row r="616" spans="1:7" x14ac:dyDescent="0.25">
      <c r="A616" s="17">
        <f t="shared" si="45"/>
        <v>81</v>
      </c>
      <c r="B616" t="str">
        <f ca="1">TEXT(DATE(YEAR(Invoer!$A$5),1,1)+INT((ROWS(B$2:B616)-1)/3),"jjjjmmdd")</f>
        <v>19430724</v>
      </c>
      <c r="C616" s="35" t="str">
        <f>INDEX(Data,2,2+MOD(ROWS(C$2:C616)-1,3))</f>
        <v>19.45</v>
      </c>
      <c r="D616" s="23" t="str">
        <f t="shared" ca="1" si="46"/>
        <v>—</v>
      </c>
      <c r="E616" s="40">
        <f t="shared" ca="1" si="47"/>
        <v>7</v>
      </c>
      <c r="F616" s="23" t="str">
        <f t="shared" ca="1" si="48"/>
        <v>—</v>
      </c>
      <c r="G616" s="40">
        <f t="shared" ca="1" si="49"/>
        <v>7</v>
      </c>
    </row>
    <row r="617" spans="1:7" x14ac:dyDescent="0.25">
      <c r="A617" s="17">
        <f t="shared" si="45"/>
        <v>81</v>
      </c>
      <c r="B617" t="str">
        <f ca="1">TEXT(DATE(YEAR(Invoer!$A$5),1,1)+INT((ROWS(B$2:B617)-1)/3),"jjjjmmdd")</f>
        <v>19430725</v>
      </c>
      <c r="C617" s="35" t="str">
        <f>INDEX(Data,2,2+MOD(ROWS(C$2:C617)-1,3))</f>
        <v>07.45</v>
      </c>
      <c r="D617" s="23" t="str">
        <f t="shared" ca="1" si="46"/>
        <v>—</v>
      </c>
      <c r="E617" s="40">
        <f t="shared" ca="1" si="47"/>
        <v>7</v>
      </c>
      <c r="F617" s="23" t="str">
        <f t="shared" ca="1" si="48"/>
        <v>—</v>
      </c>
      <c r="G617" s="40">
        <f t="shared" ca="1" si="49"/>
        <v>7</v>
      </c>
    </row>
    <row r="618" spans="1:7" x14ac:dyDescent="0.25">
      <c r="A618" s="17">
        <f t="shared" si="45"/>
        <v>81</v>
      </c>
      <c r="B618" t="str">
        <f ca="1">TEXT(DATE(YEAR(Invoer!$A$5),1,1)+INT((ROWS(B$2:B618)-1)/3),"jjjjmmdd")</f>
        <v>19430725</v>
      </c>
      <c r="C618" s="35" t="str">
        <f>INDEX(Data,2,2+MOD(ROWS(C$2:C618)-1,3))</f>
        <v>13.45</v>
      </c>
      <c r="D618" s="23" t="str">
        <f t="shared" ca="1" si="46"/>
        <v>—</v>
      </c>
      <c r="E618" s="40">
        <f t="shared" ca="1" si="47"/>
        <v>7</v>
      </c>
      <c r="F618" s="23" t="str">
        <f t="shared" ca="1" si="48"/>
        <v>—</v>
      </c>
      <c r="G618" s="40">
        <f t="shared" ca="1" si="49"/>
        <v>7</v>
      </c>
    </row>
    <row r="619" spans="1:7" x14ac:dyDescent="0.25">
      <c r="A619" s="17">
        <f t="shared" si="45"/>
        <v>81</v>
      </c>
      <c r="B619" t="str">
        <f ca="1">TEXT(DATE(YEAR(Invoer!$A$5),1,1)+INT((ROWS(B$2:B619)-1)/3),"jjjjmmdd")</f>
        <v>19430725</v>
      </c>
      <c r="C619" s="35" t="str">
        <f>INDEX(Data,2,2+MOD(ROWS(C$2:C619)-1,3))</f>
        <v>19.45</v>
      </c>
      <c r="D619" s="23" t="str">
        <f t="shared" ca="1" si="46"/>
        <v>—</v>
      </c>
      <c r="E619" s="40">
        <f t="shared" ca="1" si="47"/>
        <v>7</v>
      </c>
      <c r="F619" s="23" t="str">
        <f t="shared" ca="1" si="48"/>
        <v>—</v>
      </c>
      <c r="G619" s="40">
        <f t="shared" ca="1" si="49"/>
        <v>7</v>
      </c>
    </row>
    <row r="620" spans="1:7" x14ac:dyDescent="0.25">
      <c r="A620" s="17">
        <f t="shared" si="45"/>
        <v>81</v>
      </c>
      <c r="B620" t="str">
        <f ca="1">TEXT(DATE(YEAR(Invoer!$A$5),1,1)+INT((ROWS(B$2:B620)-1)/3),"jjjjmmdd")</f>
        <v>19430726</v>
      </c>
      <c r="C620" s="35" t="str">
        <f>INDEX(Data,2,2+MOD(ROWS(C$2:C620)-1,3))</f>
        <v>07.45</v>
      </c>
      <c r="D620" s="23" t="str">
        <f t="shared" ca="1" si="46"/>
        <v>—</v>
      </c>
      <c r="E620" s="40">
        <f t="shared" ca="1" si="47"/>
        <v>7</v>
      </c>
      <c r="F620" s="23" t="str">
        <f t="shared" ca="1" si="48"/>
        <v>—</v>
      </c>
      <c r="G620" s="40">
        <f t="shared" ca="1" si="49"/>
        <v>7</v>
      </c>
    </row>
    <row r="621" spans="1:7" x14ac:dyDescent="0.25">
      <c r="A621" s="17">
        <f t="shared" si="45"/>
        <v>81</v>
      </c>
      <c r="B621" t="str">
        <f ca="1">TEXT(DATE(YEAR(Invoer!$A$5),1,1)+INT((ROWS(B$2:B621)-1)/3),"jjjjmmdd")</f>
        <v>19430726</v>
      </c>
      <c r="C621" s="35" t="str">
        <f>INDEX(Data,2,2+MOD(ROWS(C$2:C621)-1,3))</f>
        <v>13.45</v>
      </c>
      <c r="D621" s="23" t="str">
        <f t="shared" ca="1" si="46"/>
        <v>—</v>
      </c>
      <c r="E621" s="40">
        <f t="shared" ca="1" si="47"/>
        <v>7</v>
      </c>
      <c r="F621" s="23" t="str">
        <f t="shared" ca="1" si="48"/>
        <v>—</v>
      </c>
      <c r="G621" s="40">
        <f t="shared" ca="1" si="49"/>
        <v>7</v>
      </c>
    </row>
    <row r="622" spans="1:7" x14ac:dyDescent="0.25">
      <c r="A622" s="17">
        <f t="shared" si="45"/>
        <v>81</v>
      </c>
      <c r="B622" t="str">
        <f ca="1">TEXT(DATE(YEAR(Invoer!$A$5),1,1)+INT((ROWS(B$2:B622)-1)/3),"jjjjmmdd")</f>
        <v>19430726</v>
      </c>
      <c r="C622" s="35" t="str">
        <f>INDEX(Data,2,2+MOD(ROWS(C$2:C622)-1,3))</f>
        <v>19.45</v>
      </c>
      <c r="D622" s="23" t="str">
        <f t="shared" ca="1" si="46"/>
        <v>—</v>
      </c>
      <c r="E622" s="40">
        <f t="shared" ca="1" si="47"/>
        <v>7</v>
      </c>
      <c r="F622" s="23" t="str">
        <f t="shared" ca="1" si="48"/>
        <v>—</v>
      </c>
      <c r="G622" s="40">
        <f t="shared" ca="1" si="49"/>
        <v>7</v>
      </c>
    </row>
    <row r="623" spans="1:7" x14ac:dyDescent="0.25">
      <c r="A623" s="17">
        <f t="shared" si="45"/>
        <v>81</v>
      </c>
      <c r="B623" t="str">
        <f ca="1">TEXT(DATE(YEAR(Invoer!$A$5),1,1)+INT((ROWS(B$2:B623)-1)/3),"jjjjmmdd")</f>
        <v>19430727</v>
      </c>
      <c r="C623" s="35" t="str">
        <f>INDEX(Data,2,2+MOD(ROWS(C$2:C623)-1,3))</f>
        <v>07.45</v>
      </c>
      <c r="D623" s="23" t="str">
        <f t="shared" ca="1" si="46"/>
        <v>—</v>
      </c>
      <c r="E623" s="40">
        <f t="shared" ca="1" si="47"/>
        <v>7</v>
      </c>
      <c r="F623" s="23" t="str">
        <f t="shared" ca="1" si="48"/>
        <v>—</v>
      </c>
      <c r="G623" s="40">
        <f t="shared" ca="1" si="49"/>
        <v>7</v>
      </c>
    </row>
    <row r="624" spans="1:7" x14ac:dyDescent="0.25">
      <c r="A624" s="17">
        <f t="shared" si="45"/>
        <v>81</v>
      </c>
      <c r="B624" t="str">
        <f ca="1">TEXT(DATE(YEAR(Invoer!$A$5),1,1)+INT((ROWS(B$2:B624)-1)/3),"jjjjmmdd")</f>
        <v>19430727</v>
      </c>
      <c r="C624" s="35" t="str">
        <f>INDEX(Data,2,2+MOD(ROWS(C$2:C624)-1,3))</f>
        <v>13.45</v>
      </c>
      <c r="D624" s="23" t="str">
        <f t="shared" ca="1" si="46"/>
        <v>—</v>
      </c>
      <c r="E624" s="40">
        <f t="shared" ca="1" si="47"/>
        <v>7</v>
      </c>
      <c r="F624" s="23" t="str">
        <f t="shared" ca="1" si="48"/>
        <v>—</v>
      </c>
      <c r="G624" s="40">
        <f t="shared" ca="1" si="49"/>
        <v>7</v>
      </c>
    </row>
    <row r="625" spans="1:7" x14ac:dyDescent="0.25">
      <c r="A625" s="17">
        <f t="shared" si="45"/>
        <v>81</v>
      </c>
      <c r="B625" t="str">
        <f ca="1">TEXT(DATE(YEAR(Invoer!$A$5),1,1)+INT((ROWS(B$2:B625)-1)/3),"jjjjmmdd")</f>
        <v>19430727</v>
      </c>
      <c r="C625" s="35" t="str">
        <f>INDEX(Data,2,2+MOD(ROWS(C$2:C625)-1,3))</f>
        <v>19.45</v>
      </c>
      <c r="D625" s="23" t="str">
        <f t="shared" ca="1" si="46"/>
        <v>—</v>
      </c>
      <c r="E625" s="40">
        <f t="shared" ca="1" si="47"/>
        <v>7</v>
      </c>
      <c r="F625" s="23" t="str">
        <f t="shared" ca="1" si="48"/>
        <v>—</v>
      </c>
      <c r="G625" s="40">
        <f t="shared" ca="1" si="49"/>
        <v>7</v>
      </c>
    </row>
    <row r="626" spans="1:7" x14ac:dyDescent="0.25">
      <c r="A626" s="17">
        <f t="shared" si="45"/>
        <v>81</v>
      </c>
      <c r="B626" t="str">
        <f ca="1">TEXT(DATE(YEAR(Invoer!$A$5),1,1)+INT((ROWS(B$2:B626)-1)/3),"jjjjmmdd")</f>
        <v>19430728</v>
      </c>
      <c r="C626" s="35" t="str">
        <f>INDEX(Data,2,2+MOD(ROWS(C$2:C626)-1,3))</f>
        <v>07.45</v>
      </c>
      <c r="D626" s="23" t="str">
        <f t="shared" ca="1" si="46"/>
        <v>—</v>
      </c>
      <c r="E626" s="40">
        <f t="shared" ca="1" si="47"/>
        <v>7</v>
      </c>
      <c r="F626" s="23" t="str">
        <f t="shared" ca="1" si="48"/>
        <v>—</v>
      </c>
      <c r="G626" s="40">
        <f t="shared" ca="1" si="49"/>
        <v>7</v>
      </c>
    </row>
    <row r="627" spans="1:7" x14ac:dyDescent="0.25">
      <c r="A627" s="17">
        <f t="shared" si="45"/>
        <v>81</v>
      </c>
      <c r="B627" t="str">
        <f ca="1">TEXT(DATE(YEAR(Invoer!$A$5),1,1)+INT((ROWS(B$2:B627)-1)/3),"jjjjmmdd")</f>
        <v>19430728</v>
      </c>
      <c r="C627" s="35" t="str">
        <f>INDEX(Data,2,2+MOD(ROWS(C$2:C627)-1,3))</f>
        <v>13.45</v>
      </c>
      <c r="D627" s="23" t="str">
        <f t="shared" ca="1" si="46"/>
        <v>—</v>
      </c>
      <c r="E627" s="40">
        <f t="shared" ca="1" si="47"/>
        <v>7</v>
      </c>
      <c r="F627" s="23" t="str">
        <f t="shared" ca="1" si="48"/>
        <v>—</v>
      </c>
      <c r="G627" s="40">
        <f t="shared" ca="1" si="49"/>
        <v>7</v>
      </c>
    </row>
    <row r="628" spans="1:7" x14ac:dyDescent="0.25">
      <c r="A628" s="17">
        <f t="shared" si="45"/>
        <v>81</v>
      </c>
      <c r="B628" t="str">
        <f ca="1">TEXT(DATE(YEAR(Invoer!$A$5),1,1)+INT((ROWS(B$2:B628)-1)/3),"jjjjmmdd")</f>
        <v>19430728</v>
      </c>
      <c r="C628" s="35" t="str">
        <f>INDEX(Data,2,2+MOD(ROWS(C$2:C628)-1,3))</f>
        <v>19.45</v>
      </c>
      <c r="D628" s="23" t="str">
        <f t="shared" ca="1" si="46"/>
        <v>—</v>
      </c>
      <c r="E628" s="40">
        <f t="shared" ca="1" si="47"/>
        <v>7</v>
      </c>
      <c r="F628" s="23" t="str">
        <f t="shared" ca="1" si="48"/>
        <v>—</v>
      </c>
      <c r="G628" s="40">
        <f t="shared" ca="1" si="49"/>
        <v>7</v>
      </c>
    </row>
    <row r="629" spans="1:7" x14ac:dyDescent="0.25">
      <c r="A629" s="17">
        <f t="shared" si="45"/>
        <v>81</v>
      </c>
      <c r="B629" t="str">
        <f ca="1">TEXT(DATE(YEAR(Invoer!$A$5),1,1)+INT((ROWS(B$2:B629)-1)/3),"jjjjmmdd")</f>
        <v>19430729</v>
      </c>
      <c r="C629" s="35" t="str">
        <f>INDEX(Data,2,2+MOD(ROWS(C$2:C629)-1,3))</f>
        <v>07.45</v>
      </c>
      <c r="D629" s="23" t="str">
        <f t="shared" ca="1" si="46"/>
        <v>—</v>
      </c>
      <c r="E629" s="40">
        <f t="shared" ca="1" si="47"/>
        <v>7</v>
      </c>
      <c r="F629" s="23" t="str">
        <f t="shared" ca="1" si="48"/>
        <v>—</v>
      </c>
      <c r="G629" s="40">
        <f t="shared" ca="1" si="49"/>
        <v>7</v>
      </c>
    </row>
    <row r="630" spans="1:7" x14ac:dyDescent="0.25">
      <c r="A630" s="17">
        <f t="shared" si="45"/>
        <v>81</v>
      </c>
      <c r="B630" t="str">
        <f ca="1">TEXT(DATE(YEAR(Invoer!$A$5),1,1)+INT((ROWS(B$2:B630)-1)/3),"jjjjmmdd")</f>
        <v>19430729</v>
      </c>
      <c r="C630" s="35" t="str">
        <f>INDEX(Data,2,2+MOD(ROWS(C$2:C630)-1,3))</f>
        <v>13.45</v>
      </c>
      <c r="D630" s="23" t="str">
        <f t="shared" ca="1" si="46"/>
        <v>—</v>
      </c>
      <c r="E630" s="40">
        <f t="shared" ca="1" si="47"/>
        <v>7</v>
      </c>
      <c r="F630" s="23" t="str">
        <f t="shared" ca="1" si="48"/>
        <v>—</v>
      </c>
      <c r="G630" s="40">
        <f t="shared" ca="1" si="49"/>
        <v>7</v>
      </c>
    </row>
    <row r="631" spans="1:7" x14ac:dyDescent="0.25">
      <c r="A631" s="17">
        <f t="shared" si="45"/>
        <v>81</v>
      </c>
      <c r="B631" t="str">
        <f ca="1">TEXT(DATE(YEAR(Invoer!$A$5),1,1)+INT((ROWS(B$2:B631)-1)/3),"jjjjmmdd")</f>
        <v>19430729</v>
      </c>
      <c r="C631" s="35" t="str">
        <f>INDEX(Data,2,2+MOD(ROWS(C$2:C631)-1,3))</f>
        <v>19.45</v>
      </c>
      <c r="D631" s="23" t="str">
        <f t="shared" ca="1" si="46"/>
        <v>—</v>
      </c>
      <c r="E631" s="40">
        <f t="shared" ca="1" si="47"/>
        <v>7</v>
      </c>
      <c r="F631" s="23" t="str">
        <f t="shared" ca="1" si="48"/>
        <v>—</v>
      </c>
      <c r="G631" s="40">
        <f t="shared" ca="1" si="49"/>
        <v>7</v>
      </c>
    </row>
    <row r="632" spans="1:7" x14ac:dyDescent="0.25">
      <c r="A632" s="17">
        <f t="shared" si="45"/>
        <v>81</v>
      </c>
      <c r="B632" t="str">
        <f ca="1">TEXT(DATE(YEAR(Invoer!$A$5),1,1)+INT((ROWS(B$2:B632)-1)/3),"jjjjmmdd")</f>
        <v>19430730</v>
      </c>
      <c r="C632" s="35" t="str">
        <f>INDEX(Data,2,2+MOD(ROWS(C$2:C632)-1,3))</f>
        <v>07.45</v>
      </c>
      <c r="D632" s="23" t="str">
        <f t="shared" ca="1" si="46"/>
        <v>—</v>
      </c>
      <c r="E632" s="40">
        <f t="shared" ca="1" si="47"/>
        <v>7</v>
      </c>
      <c r="F632" s="23" t="str">
        <f t="shared" ca="1" si="48"/>
        <v>—</v>
      </c>
      <c r="G632" s="40">
        <f t="shared" ca="1" si="49"/>
        <v>7</v>
      </c>
    </row>
    <row r="633" spans="1:7" x14ac:dyDescent="0.25">
      <c r="A633" s="17">
        <f t="shared" si="45"/>
        <v>81</v>
      </c>
      <c r="B633" t="str">
        <f ca="1">TEXT(DATE(YEAR(Invoer!$A$5),1,1)+INT((ROWS(B$2:B633)-1)/3),"jjjjmmdd")</f>
        <v>19430730</v>
      </c>
      <c r="C633" s="35" t="str">
        <f>INDEX(Data,2,2+MOD(ROWS(C$2:C633)-1,3))</f>
        <v>13.45</v>
      </c>
      <c r="D633" s="23" t="str">
        <f t="shared" ca="1" si="46"/>
        <v>—</v>
      </c>
      <c r="E633" s="40">
        <f t="shared" ca="1" si="47"/>
        <v>7</v>
      </c>
      <c r="F633" s="23" t="str">
        <f t="shared" ca="1" si="48"/>
        <v>—</v>
      </c>
      <c r="G633" s="40">
        <f t="shared" ca="1" si="49"/>
        <v>7</v>
      </c>
    </row>
    <row r="634" spans="1:7" x14ac:dyDescent="0.25">
      <c r="A634" s="17">
        <f t="shared" si="45"/>
        <v>81</v>
      </c>
      <c r="B634" t="str">
        <f ca="1">TEXT(DATE(YEAR(Invoer!$A$5),1,1)+INT((ROWS(B$2:B634)-1)/3),"jjjjmmdd")</f>
        <v>19430730</v>
      </c>
      <c r="C634" s="35" t="str">
        <f>INDEX(Data,2,2+MOD(ROWS(C$2:C634)-1,3))</f>
        <v>19.45</v>
      </c>
      <c r="D634" s="23" t="str">
        <f t="shared" ca="1" si="46"/>
        <v>—</v>
      </c>
      <c r="E634" s="40">
        <f t="shared" ca="1" si="47"/>
        <v>7</v>
      </c>
      <c r="F634" s="23" t="str">
        <f t="shared" ca="1" si="48"/>
        <v>—</v>
      </c>
      <c r="G634" s="40">
        <f t="shared" ca="1" si="49"/>
        <v>7</v>
      </c>
    </row>
    <row r="635" spans="1:7" x14ac:dyDescent="0.25">
      <c r="A635" s="17">
        <f t="shared" si="45"/>
        <v>81</v>
      </c>
      <c r="B635" t="str">
        <f ca="1">TEXT(DATE(YEAR(Invoer!$A$5),1,1)+INT((ROWS(B$2:B635)-1)/3),"jjjjmmdd")</f>
        <v>19430731</v>
      </c>
      <c r="C635" s="35" t="str">
        <f>INDEX(Data,2,2+MOD(ROWS(C$2:C635)-1,3))</f>
        <v>07.45</v>
      </c>
      <c r="D635" s="23" t="str">
        <f t="shared" ca="1" si="46"/>
        <v>—</v>
      </c>
      <c r="E635" s="40">
        <f t="shared" ca="1" si="47"/>
        <v>7</v>
      </c>
      <c r="F635" s="23" t="str">
        <f t="shared" ca="1" si="48"/>
        <v>—</v>
      </c>
      <c r="G635" s="40">
        <f t="shared" ca="1" si="49"/>
        <v>7</v>
      </c>
    </row>
    <row r="636" spans="1:7" x14ac:dyDescent="0.25">
      <c r="A636" s="17">
        <f t="shared" si="45"/>
        <v>81</v>
      </c>
      <c r="B636" t="str">
        <f ca="1">TEXT(DATE(YEAR(Invoer!$A$5),1,1)+INT((ROWS(B$2:B636)-1)/3),"jjjjmmdd")</f>
        <v>19430731</v>
      </c>
      <c r="C636" s="35" t="str">
        <f>INDEX(Data,2,2+MOD(ROWS(C$2:C636)-1,3))</f>
        <v>13.45</v>
      </c>
      <c r="D636" s="23" t="str">
        <f t="shared" ca="1" si="46"/>
        <v>—</v>
      </c>
      <c r="E636" s="40">
        <f t="shared" ca="1" si="47"/>
        <v>7</v>
      </c>
      <c r="F636" s="23" t="str">
        <f t="shared" ca="1" si="48"/>
        <v>—</v>
      </c>
      <c r="G636" s="40">
        <f t="shared" ca="1" si="49"/>
        <v>7</v>
      </c>
    </row>
    <row r="637" spans="1:7" x14ac:dyDescent="0.25">
      <c r="A637" s="17">
        <f t="shared" si="45"/>
        <v>81</v>
      </c>
      <c r="B637" t="str">
        <f ca="1">TEXT(DATE(YEAR(Invoer!$A$5),1,1)+INT((ROWS(B$2:B637)-1)/3),"jjjjmmdd")</f>
        <v>19430731</v>
      </c>
      <c r="C637" s="35" t="str">
        <f>INDEX(Data,2,2+MOD(ROWS(C$2:C637)-1,3))</f>
        <v>19.45</v>
      </c>
      <c r="D637" s="23" t="str">
        <f t="shared" ca="1" si="46"/>
        <v>—</v>
      </c>
      <c r="E637" s="40">
        <f t="shared" ca="1" si="47"/>
        <v>7</v>
      </c>
      <c r="F637" s="23" t="str">
        <f t="shared" ca="1" si="48"/>
        <v>—</v>
      </c>
      <c r="G637" s="40">
        <f t="shared" ca="1" si="49"/>
        <v>7</v>
      </c>
    </row>
    <row r="638" spans="1:7" x14ac:dyDescent="0.25">
      <c r="A638" s="17">
        <f t="shared" si="45"/>
        <v>81</v>
      </c>
      <c r="B638" t="str">
        <f ca="1">TEXT(DATE(YEAR(Invoer!$A$5),1,1)+INT((ROWS(B$2:B638)-1)/3),"jjjjmmdd")</f>
        <v>19430801</v>
      </c>
      <c r="C638" s="35" t="str">
        <f>INDEX(Data,2,2+MOD(ROWS(C$2:C638)-1,3))</f>
        <v>07.45</v>
      </c>
      <c r="D638" s="23">
        <f t="shared" ca="1" si="46"/>
        <v>753</v>
      </c>
      <c r="E638" s="40">
        <f t="shared" ca="1" si="47"/>
        <v>0</v>
      </c>
      <c r="F638" s="23">
        <f t="shared" ca="1" si="48"/>
        <v>26</v>
      </c>
      <c r="G638" s="40">
        <f t="shared" ca="1" si="49"/>
        <v>0</v>
      </c>
    </row>
    <row r="639" spans="1:7" x14ac:dyDescent="0.25">
      <c r="A639" s="17">
        <f t="shared" si="45"/>
        <v>81</v>
      </c>
      <c r="B639" t="str">
        <f ca="1">TEXT(DATE(YEAR(Invoer!$A$5),1,1)+INT((ROWS(B$2:B639)-1)/3),"jjjjmmdd")</f>
        <v>19430801</v>
      </c>
      <c r="C639" s="35" t="str">
        <f>INDEX(Data,2,2+MOD(ROWS(C$2:C639)-1,3))</f>
        <v>13.45</v>
      </c>
      <c r="D639" s="23">
        <f t="shared" ca="1" si="46"/>
        <v>751</v>
      </c>
      <c r="E639" s="40">
        <f t="shared" ca="1" si="47"/>
        <v>0</v>
      </c>
      <c r="F639" s="23">
        <f t="shared" ca="1" si="48"/>
        <v>26</v>
      </c>
      <c r="G639" s="40">
        <f t="shared" ca="1" si="49"/>
        <v>0</v>
      </c>
    </row>
    <row r="640" spans="1:7" x14ac:dyDescent="0.25">
      <c r="A640" s="17">
        <f t="shared" si="45"/>
        <v>81</v>
      </c>
      <c r="B640" t="str">
        <f ca="1">TEXT(DATE(YEAR(Invoer!$A$5),1,1)+INT((ROWS(B$2:B640)-1)/3),"jjjjmmdd")</f>
        <v>19430801</v>
      </c>
      <c r="C640" s="35" t="str">
        <f>INDEX(Data,2,2+MOD(ROWS(C$2:C640)-1,3))</f>
        <v>19.45</v>
      </c>
      <c r="D640" s="23">
        <f t="shared" ca="1" si="46"/>
        <v>752</v>
      </c>
      <c r="E640" s="40">
        <f t="shared" ca="1" si="47"/>
        <v>0</v>
      </c>
      <c r="F640" s="23">
        <f t="shared" ca="1" si="48"/>
        <v>26</v>
      </c>
      <c r="G640" s="40">
        <f t="shared" ca="1" si="49"/>
        <v>0</v>
      </c>
    </row>
    <row r="641" spans="1:7" x14ac:dyDescent="0.25">
      <c r="A641" s="17">
        <f t="shared" si="45"/>
        <v>81</v>
      </c>
      <c r="B641" t="str">
        <f ca="1">TEXT(DATE(YEAR(Invoer!$A$5),1,1)+INT((ROWS(B$2:B641)-1)/3),"jjjjmmdd")</f>
        <v>19430802</v>
      </c>
      <c r="C641" s="35" t="str">
        <f>INDEX(Data,2,2+MOD(ROWS(C$2:C641)-1,3))</f>
        <v>07.45</v>
      </c>
      <c r="D641" s="23">
        <f t="shared" ca="1" si="46"/>
        <v>752</v>
      </c>
      <c r="E641" s="40">
        <f t="shared" ca="1" si="47"/>
        <v>0</v>
      </c>
      <c r="F641" s="23">
        <f t="shared" ca="1" si="48"/>
        <v>27</v>
      </c>
      <c r="G641" s="40">
        <f t="shared" ca="1" si="49"/>
        <v>0</v>
      </c>
    </row>
    <row r="642" spans="1:7" x14ac:dyDescent="0.25">
      <c r="A642" s="17">
        <f t="shared" ref="A642:A705" si="50">INDEX(Stations,2,1)</f>
        <v>81</v>
      </c>
      <c r="B642" t="str">
        <f ca="1">TEXT(DATE(YEAR(Invoer!$A$5),1,1)+INT((ROWS(B$2:B642)-1)/3),"jjjjmmdd")</f>
        <v>19430802</v>
      </c>
      <c r="C642" s="35" t="str">
        <f>INDEX(Data,2,2+MOD(ROWS(C$2:C642)-1,3))</f>
        <v>13.45</v>
      </c>
      <c r="D642" s="23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750</v>
      </c>
      <c r="E642" s="40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23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)</f>
        <v>27</v>
      </c>
      <c r="G642" s="40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7">
        <f t="shared" si="50"/>
        <v>81</v>
      </c>
      <c r="B643" t="str">
        <f ca="1">TEXT(DATE(YEAR(Invoer!$A$5),1,1)+INT((ROWS(B$2:B643)-1)/3),"jjjjmmdd")</f>
        <v>19430802</v>
      </c>
      <c r="C643" s="35" t="str">
        <f>INDEX(Data,2,2+MOD(ROWS(C$2:C643)-1,3))</f>
        <v>19.45</v>
      </c>
      <c r="D643" s="23">
        <f t="shared" ca="1" si="51"/>
        <v>750</v>
      </c>
      <c r="E643" s="40">
        <f t="shared" ca="1" si="52"/>
        <v>0</v>
      </c>
      <c r="F643" s="23">
        <f t="shared" ca="1" si="53"/>
        <v>27</v>
      </c>
      <c r="G643" s="40">
        <f t="shared" ca="1" si="54"/>
        <v>0</v>
      </c>
    </row>
    <row r="644" spans="1:7" x14ac:dyDescent="0.25">
      <c r="A644" s="17">
        <f t="shared" si="50"/>
        <v>81</v>
      </c>
      <c r="B644" t="str">
        <f ca="1">TEXT(DATE(YEAR(Invoer!$A$5),1,1)+INT((ROWS(B$2:B644)-1)/3),"jjjjmmdd")</f>
        <v>19430803</v>
      </c>
      <c r="C644" s="35" t="str">
        <f>INDEX(Data,2,2+MOD(ROWS(C$2:C644)-1,3))</f>
        <v>07.45</v>
      </c>
      <c r="D644" s="23">
        <f t="shared" ca="1" si="51"/>
        <v>750</v>
      </c>
      <c r="E644" s="40">
        <f t="shared" ca="1" si="52"/>
        <v>0</v>
      </c>
      <c r="F644" s="23">
        <f t="shared" ca="1" si="53"/>
        <v>27</v>
      </c>
      <c r="G644" s="40">
        <f t="shared" ca="1" si="54"/>
        <v>0</v>
      </c>
    </row>
    <row r="645" spans="1:7" x14ac:dyDescent="0.25">
      <c r="A645" s="17">
        <f t="shared" si="50"/>
        <v>81</v>
      </c>
      <c r="B645" t="str">
        <f ca="1">TEXT(DATE(YEAR(Invoer!$A$5),1,1)+INT((ROWS(B$2:B645)-1)/3),"jjjjmmdd")</f>
        <v>19430803</v>
      </c>
      <c r="C645" s="35" t="str">
        <f>INDEX(Data,2,2+MOD(ROWS(C$2:C645)-1,3))</f>
        <v>13.45</v>
      </c>
      <c r="D645" s="23">
        <f t="shared" ca="1" si="51"/>
        <v>750</v>
      </c>
      <c r="E645" s="40">
        <f t="shared" ca="1" si="52"/>
        <v>0</v>
      </c>
      <c r="F645" s="23">
        <f t="shared" ca="1" si="53"/>
        <v>27</v>
      </c>
      <c r="G645" s="40">
        <f t="shared" ca="1" si="54"/>
        <v>0</v>
      </c>
    </row>
    <row r="646" spans="1:7" x14ac:dyDescent="0.25">
      <c r="A646" s="17">
        <f t="shared" si="50"/>
        <v>81</v>
      </c>
      <c r="B646" t="str">
        <f ca="1">TEXT(DATE(YEAR(Invoer!$A$5),1,1)+INT((ROWS(B$2:B646)-1)/3),"jjjjmmdd")</f>
        <v>19430803</v>
      </c>
      <c r="C646" s="35" t="str">
        <f>INDEX(Data,2,2+MOD(ROWS(C$2:C646)-1,3))</f>
        <v>19.45</v>
      </c>
      <c r="D646" s="23">
        <f t="shared" ca="1" si="51"/>
        <v>750</v>
      </c>
      <c r="E646" s="40">
        <f t="shared" ca="1" si="52"/>
        <v>0</v>
      </c>
      <c r="F646" s="23">
        <f t="shared" ca="1" si="53"/>
        <v>27</v>
      </c>
      <c r="G646" s="40">
        <f t="shared" ca="1" si="54"/>
        <v>0</v>
      </c>
    </row>
    <row r="647" spans="1:7" x14ac:dyDescent="0.25">
      <c r="A647" s="17">
        <f t="shared" si="50"/>
        <v>81</v>
      </c>
      <c r="B647" t="str">
        <f ca="1">TEXT(DATE(YEAR(Invoer!$A$5),1,1)+INT((ROWS(B$2:B647)-1)/3),"jjjjmmdd")</f>
        <v>19430804</v>
      </c>
      <c r="C647" s="35" t="str">
        <f>INDEX(Data,2,2+MOD(ROWS(C$2:C647)-1,3))</f>
        <v>07.45</v>
      </c>
      <c r="D647" s="23">
        <f t="shared" ca="1" si="51"/>
        <v>750</v>
      </c>
      <c r="E647" s="40">
        <f t="shared" ca="1" si="52"/>
        <v>0</v>
      </c>
      <c r="F647" s="23">
        <f t="shared" ca="1" si="53"/>
        <v>28</v>
      </c>
      <c r="G647" s="40">
        <f t="shared" ca="1" si="54"/>
        <v>0</v>
      </c>
    </row>
    <row r="648" spans="1:7" x14ac:dyDescent="0.25">
      <c r="A648" s="17">
        <f t="shared" si="50"/>
        <v>81</v>
      </c>
      <c r="B648" t="str">
        <f ca="1">TEXT(DATE(YEAR(Invoer!$A$5),1,1)+INT((ROWS(B$2:B648)-1)/3),"jjjjmmdd")</f>
        <v>19430804</v>
      </c>
      <c r="C648" s="35" t="str">
        <f>INDEX(Data,2,2+MOD(ROWS(C$2:C648)-1,3))</f>
        <v>13.45</v>
      </c>
      <c r="D648" s="23">
        <f t="shared" ca="1" si="51"/>
        <v>750</v>
      </c>
      <c r="E648" s="40">
        <f t="shared" ca="1" si="52"/>
        <v>0</v>
      </c>
      <c r="F648" s="23">
        <f t="shared" ca="1" si="53"/>
        <v>28</v>
      </c>
      <c r="G648" s="40">
        <f t="shared" ca="1" si="54"/>
        <v>0</v>
      </c>
    </row>
    <row r="649" spans="1:7" x14ac:dyDescent="0.25">
      <c r="A649" s="17">
        <f t="shared" si="50"/>
        <v>81</v>
      </c>
      <c r="B649" t="str">
        <f ca="1">TEXT(DATE(YEAR(Invoer!$A$5),1,1)+INT((ROWS(B$2:B649)-1)/3),"jjjjmmdd")</f>
        <v>19430804</v>
      </c>
      <c r="C649" s="35" t="str">
        <f>INDEX(Data,2,2+MOD(ROWS(C$2:C649)-1,3))</f>
        <v>19.45</v>
      </c>
      <c r="D649" s="23">
        <f t="shared" ca="1" si="51"/>
        <v>750</v>
      </c>
      <c r="E649" s="40">
        <f t="shared" ca="1" si="52"/>
        <v>0</v>
      </c>
      <c r="F649" s="23">
        <f t="shared" ca="1" si="53"/>
        <v>28</v>
      </c>
      <c r="G649" s="40">
        <f t="shared" ca="1" si="54"/>
        <v>0</v>
      </c>
    </row>
    <row r="650" spans="1:7" x14ac:dyDescent="0.25">
      <c r="A650" s="17">
        <f t="shared" si="50"/>
        <v>81</v>
      </c>
      <c r="B650" t="str">
        <f ca="1">TEXT(DATE(YEAR(Invoer!$A$5),1,1)+INT((ROWS(B$2:B650)-1)/3),"jjjjmmdd")</f>
        <v>19430805</v>
      </c>
      <c r="C650" s="35" t="str">
        <f>INDEX(Data,2,2+MOD(ROWS(C$2:C650)-1,3))</f>
        <v>07.45</v>
      </c>
      <c r="D650" s="23">
        <f t="shared" ca="1" si="51"/>
        <v>750</v>
      </c>
      <c r="E650" s="40">
        <f t="shared" ca="1" si="52"/>
        <v>0</v>
      </c>
      <c r="F650" s="23">
        <f t="shared" ca="1" si="53"/>
        <v>28</v>
      </c>
      <c r="G650" s="40">
        <f t="shared" ca="1" si="54"/>
        <v>0</v>
      </c>
    </row>
    <row r="651" spans="1:7" x14ac:dyDescent="0.25">
      <c r="A651" s="17">
        <f t="shared" si="50"/>
        <v>81</v>
      </c>
      <c r="B651" t="str">
        <f ca="1">TEXT(DATE(YEAR(Invoer!$A$5),1,1)+INT((ROWS(B$2:B651)-1)/3),"jjjjmmdd")</f>
        <v>19430805</v>
      </c>
      <c r="C651" s="35" t="str">
        <f>INDEX(Data,2,2+MOD(ROWS(C$2:C651)-1,3))</f>
        <v>13.45</v>
      </c>
      <c r="D651" s="23">
        <f t="shared" ca="1" si="51"/>
        <v>750</v>
      </c>
      <c r="E651" s="40">
        <f t="shared" ca="1" si="52"/>
        <v>0</v>
      </c>
      <c r="F651" s="23">
        <f t="shared" ca="1" si="53"/>
        <v>28</v>
      </c>
      <c r="G651" s="40">
        <f t="shared" ca="1" si="54"/>
        <v>0</v>
      </c>
    </row>
    <row r="652" spans="1:7" x14ac:dyDescent="0.25">
      <c r="A652" s="17">
        <f t="shared" si="50"/>
        <v>81</v>
      </c>
      <c r="B652" t="str">
        <f ca="1">TEXT(DATE(YEAR(Invoer!$A$5),1,1)+INT((ROWS(B$2:B652)-1)/3),"jjjjmmdd")</f>
        <v>19430805</v>
      </c>
      <c r="C652" s="35" t="str">
        <f>INDEX(Data,2,2+MOD(ROWS(C$2:C652)-1,3))</f>
        <v>19.45</v>
      </c>
      <c r="D652" s="23">
        <f t="shared" ca="1" si="51"/>
        <v>750</v>
      </c>
      <c r="E652" s="40">
        <f t="shared" ca="1" si="52"/>
        <v>0</v>
      </c>
      <c r="F652" s="23">
        <f t="shared" ca="1" si="53"/>
        <v>28</v>
      </c>
      <c r="G652" s="40">
        <f t="shared" ca="1" si="54"/>
        <v>0</v>
      </c>
    </row>
    <row r="653" spans="1:7" x14ac:dyDescent="0.25">
      <c r="A653" s="17">
        <f t="shared" si="50"/>
        <v>81</v>
      </c>
      <c r="B653" t="str">
        <f ca="1">TEXT(DATE(YEAR(Invoer!$A$5),1,1)+INT((ROWS(B$2:B653)-1)/3),"jjjjmmdd")</f>
        <v>19430806</v>
      </c>
      <c r="C653" s="35" t="str">
        <f>INDEX(Data,2,2+MOD(ROWS(C$2:C653)-1,3))</f>
        <v>07.45</v>
      </c>
      <c r="D653" s="23">
        <f t="shared" ca="1" si="51"/>
        <v>751</v>
      </c>
      <c r="E653" s="40">
        <f t="shared" ca="1" si="52"/>
        <v>0</v>
      </c>
      <c r="F653" s="23">
        <f t="shared" ca="1" si="53"/>
        <v>28</v>
      </c>
      <c r="G653" s="40">
        <f t="shared" ca="1" si="54"/>
        <v>0</v>
      </c>
    </row>
    <row r="654" spans="1:7" x14ac:dyDescent="0.25">
      <c r="A654" s="17">
        <f t="shared" si="50"/>
        <v>81</v>
      </c>
      <c r="B654" t="str">
        <f ca="1">TEXT(DATE(YEAR(Invoer!$A$5),1,1)+INT((ROWS(B$2:B654)-1)/3),"jjjjmmdd")</f>
        <v>19430806</v>
      </c>
      <c r="C654" s="35" t="str">
        <f>INDEX(Data,2,2+MOD(ROWS(C$2:C654)-1,3))</f>
        <v>13.45</v>
      </c>
      <c r="D654" s="23">
        <f t="shared" ca="1" si="51"/>
        <v>750</v>
      </c>
      <c r="E654" s="40">
        <f t="shared" ca="1" si="52"/>
        <v>0</v>
      </c>
      <c r="F654" s="23">
        <f t="shared" ca="1" si="53"/>
        <v>28</v>
      </c>
      <c r="G654" s="40">
        <f t="shared" ca="1" si="54"/>
        <v>0</v>
      </c>
    </row>
    <row r="655" spans="1:7" x14ac:dyDescent="0.25">
      <c r="A655" s="17">
        <f t="shared" si="50"/>
        <v>81</v>
      </c>
      <c r="B655" t="str">
        <f ca="1">TEXT(DATE(YEAR(Invoer!$A$5),1,1)+INT((ROWS(B$2:B655)-1)/3),"jjjjmmdd")</f>
        <v>19430806</v>
      </c>
      <c r="C655" s="35" t="str">
        <f>INDEX(Data,2,2+MOD(ROWS(C$2:C655)-1,3))</f>
        <v>19.45</v>
      </c>
      <c r="D655" s="23">
        <f t="shared" ca="1" si="51"/>
        <v>751</v>
      </c>
      <c r="E655" s="40">
        <f t="shared" ca="1" si="52"/>
        <v>0</v>
      </c>
      <c r="F655" s="23">
        <f t="shared" ca="1" si="53"/>
        <v>28</v>
      </c>
      <c r="G655" s="40">
        <f t="shared" ca="1" si="54"/>
        <v>0</v>
      </c>
    </row>
    <row r="656" spans="1:7" x14ac:dyDescent="0.25">
      <c r="A656" s="17">
        <f t="shared" si="50"/>
        <v>81</v>
      </c>
      <c r="B656" t="str">
        <f ca="1">TEXT(DATE(YEAR(Invoer!$A$5),1,1)+INT((ROWS(B$2:B656)-1)/3),"jjjjmmdd")</f>
        <v>19430807</v>
      </c>
      <c r="C656" s="35" t="str">
        <f>INDEX(Data,2,2+MOD(ROWS(C$2:C656)-1,3))</f>
        <v>07.45</v>
      </c>
      <c r="D656" s="23">
        <f t="shared" ca="1" si="51"/>
        <v>750</v>
      </c>
      <c r="E656" s="40">
        <f t="shared" ca="1" si="52"/>
        <v>0</v>
      </c>
      <c r="F656" s="23">
        <f t="shared" ca="1" si="53"/>
        <v>28</v>
      </c>
      <c r="G656" s="40">
        <f t="shared" ca="1" si="54"/>
        <v>0</v>
      </c>
    </row>
    <row r="657" spans="1:7" x14ac:dyDescent="0.25">
      <c r="A657" s="17">
        <f t="shared" si="50"/>
        <v>81</v>
      </c>
      <c r="B657" t="str">
        <f ca="1">TEXT(DATE(YEAR(Invoer!$A$5),1,1)+INT((ROWS(B$2:B657)-1)/3),"jjjjmmdd")</f>
        <v>19430807</v>
      </c>
      <c r="C657" s="35" t="str">
        <f>INDEX(Data,2,2+MOD(ROWS(C$2:C657)-1,3))</f>
        <v>13.45</v>
      </c>
      <c r="D657" s="23">
        <f t="shared" ca="1" si="51"/>
        <v>750</v>
      </c>
      <c r="E657" s="40">
        <f t="shared" ca="1" si="52"/>
        <v>0</v>
      </c>
      <c r="F657" s="23">
        <f t="shared" ca="1" si="53"/>
        <v>28</v>
      </c>
      <c r="G657" s="40">
        <f t="shared" ca="1" si="54"/>
        <v>0</v>
      </c>
    </row>
    <row r="658" spans="1:7" x14ac:dyDescent="0.25">
      <c r="A658" s="17">
        <f t="shared" si="50"/>
        <v>81</v>
      </c>
      <c r="B658" t="str">
        <f ca="1">TEXT(DATE(YEAR(Invoer!$A$5),1,1)+INT((ROWS(B$2:B658)-1)/3),"jjjjmmdd")</f>
        <v>19430807</v>
      </c>
      <c r="C658" s="35" t="str">
        <f>INDEX(Data,2,2+MOD(ROWS(C$2:C658)-1,3))</f>
        <v>19.45</v>
      </c>
      <c r="D658" s="23">
        <f t="shared" ca="1" si="51"/>
        <v>750</v>
      </c>
      <c r="E658" s="40">
        <f t="shared" ca="1" si="52"/>
        <v>0</v>
      </c>
      <c r="F658" s="23">
        <f t="shared" ca="1" si="53"/>
        <v>28</v>
      </c>
      <c r="G658" s="40">
        <f t="shared" ca="1" si="54"/>
        <v>0</v>
      </c>
    </row>
    <row r="659" spans="1:7" x14ac:dyDescent="0.25">
      <c r="A659" s="17">
        <f t="shared" si="50"/>
        <v>81</v>
      </c>
      <c r="B659" t="str">
        <f ca="1">TEXT(DATE(YEAR(Invoer!$A$5),1,1)+INT((ROWS(B$2:B659)-1)/3),"jjjjmmdd")</f>
        <v>19430808</v>
      </c>
      <c r="C659" s="35" t="str">
        <f>INDEX(Data,2,2+MOD(ROWS(C$2:C659)-1,3))</f>
        <v>07.45</v>
      </c>
      <c r="D659" s="23">
        <f t="shared" ca="1" si="51"/>
        <v>749</v>
      </c>
      <c r="E659" s="40">
        <f t="shared" ca="1" si="52"/>
        <v>0</v>
      </c>
      <c r="F659" s="23">
        <f t="shared" ca="1" si="53"/>
        <v>28</v>
      </c>
      <c r="G659" s="40">
        <f t="shared" ca="1" si="54"/>
        <v>0</v>
      </c>
    </row>
    <row r="660" spans="1:7" x14ac:dyDescent="0.25">
      <c r="A660" s="17">
        <f t="shared" si="50"/>
        <v>81</v>
      </c>
      <c r="B660" t="str">
        <f ca="1">TEXT(DATE(YEAR(Invoer!$A$5),1,1)+INT((ROWS(B$2:B660)-1)/3),"jjjjmmdd")</f>
        <v>19430808</v>
      </c>
      <c r="C660" s="35" t="str">
        <f>INDEX(Data,2,2+MOD(ROWS(C$2:C660)-1,3))</f>
        <v>13.45</v>
      </c>
      <c r="D660" s="23">
        <f t="shared" ca="1" si="51"/>
        <v>749</v>
      </c>
      <c r="E660" s="40">
        <f t="shared" ca="1" si="52"/>
        <v>0</v>
      </c>
      <c r="F660" s="23">
        <f t="shared" ca="1" si="53"/>
        <v>27</v>
      </c>
      <c r="G660" s="40">
        <f t="shared" ca="1" si="54"/>
        <v>0</v>
      </c>
    </row>
    <row r="661" spans="1:7" x14ac:dyDescent="0.25">
      <c r="A661" s="17">
        <f t="shared" si="50"/>
        <v>81</v>
      </c>
      <c r="B661" t="str">
        <f ca="1">TEXT(DATE(YEAR(Invoer!$A$5),1,1)+INT((ROWS(B$2:B661)-1)/3),"jjjjmmdd")</f>
        <v>19430808</v>
      </c>
      <c r="C661" s="35" t="str">
        <f>INDEX(Data,2,2+MOD(ROWS(C$2:C661)-1,3))</f>
        <v>19.45</v>
      </c>
      <c r="D661" s="23">
        <f t="shared" ca="1" si="51"/>
        <v>749</v>
      </c>
      <c r="E661" s="40">
        <f t="shared" ca="1" si="52"/>
        <v>0</v>
      </c>
      <c r="F661" s="23">
        <f t="shared" ca="1" si="53"/>
        <v>27</v>
      </c>
      <c r="G661" s="40">
        <f t="shared" ca="1" si="54"/>
        <v>0</v>
      </c>
    </row>
    <row r="662" spans="1:7" x14ac:dyDescent="0.25">
      <c r="A662" s="17">
        <f t="shared" si="50"/>
        <v>81</v>
      </c>
      <c r="B662" t="str">
        <f ca="1">TEXT(DATE(YEAR(Invoer!$A$5),1,1)+INT((ROWS(B$2:B662)-1)/3),"jjjjmmdd")</f>
        <v>19430809</v>
      </c>
      <c r="C662" s="35" t="str">
        <f>INDEX(Data,2,2+MOD(ROWS(C$2:C662)-1,3))</f>
        <v>07.45</v>
      </c>
      <c r="D662" s="23">
        <f t="shared" ca="1" si="51"/>
        <v>751</v>
      </c>
      <c r="E662" s="40">
        <f t="shared" ca="1" si="52"/>
        <v>0</v>
      </c>
      <c r="F662" s="23">
        <f t="shared" ca="1" si="53"/>
        <v>28</v>
      </c>
      <c r="G662" s="40">
        <f t="shared" ca="1" si="54"/>
        <v>0</v>
      </c>
    </row>
    <row r="663" spans="1:7" x14ac:dyDescent="0.25">
      <c r="A663" s="17">
        <f t="shared" si="50"/>
        <v>81</v>
      </c>
      <c r="B663" t="str">
        <f ca="1">TEXT(DATE(YEAR(Invoer!$A$5),1,1)+INT((ROWS(B$2:B663)-1)/3),"jjjjmmdd")</f>
        <v>19430809</v>
      </c>
      <c r="C663" s="35" t="str">
        <f>INDEX(Data,2,2+MOD(ROWS(C$2:C663)-1,3))</f>
        <v>13.45</v>
      </c>
      <c r="D663" s="23">
        <f t="shared" ca="1" si="51"/>
        <v>750</v>
      </c>
      <c r="E663" s="40">
        <f t="shared" ca="1" si="52"/>
        <v>0</v>
      </c>
      <c r="F663" s="23">
        <f t="shared" ca="1" si="53"/>
        <v>28</v>
      </c>
      <c r="G663" s="40">
        <f t="shared" ca="1" si="54"/>
        <v>0</v>
      </c>
    </row>
    <row r="664" spans="1:7" x14ac:dyDescent="0.25">
      <c r="A664" s="17">
        <f t="shared" si="50"/>
        <v>81</v>
      </c>
      <c r="B664" t="str">
        <f ca="1">TEXT(DATE(YEAR(Invoer!$A$5),1,1)+INT((ROWS(B$2:B664)-1)/3),"jjjjmmdd")</f>
        <v>19430809</v>
      </c>
      <c r="C664" s="35" t="str">
        <f>INDEX(Data,2,2+MOD(ROWS(C$2:C664)-1,3))</f>
        <v>19.45</v>
      </c>
      <c r="D664" s="23">
        <f t="shared" ca="1" si="51"/>
        <v>751</v>
      </c>
      <c r="E664" s="40">
        <f t="shared" ca="1" si="52"/>
        <v>0</v>
      </c>
      <c r="F664" s="23">
        <f t="shared" ca="1" si="53"/>
        <v>28</v>
      </c>
      <c r="G664" s="40">
        <f t="shared" ca="1" si="54"/>
        <v>0</v>
      </c>
    </row>
    <row r="665" spans="1:7" x14ac:dyDescent="0.25">
      <c r="A665" s="17">
        <f t="shared" si="50"/>
        <v>81</v>
      </c>
      <c r="B665" t="str">
        <f ca="1">TEXT(DATE(YEAR(Invoer!$A$5),1,1)+INT((ROWS(B$2:B665)-1)/3),"jjjjmmdd")</f>
        <v>19430810</v>
      </c>
      <c r="C665" s="35" t="str">
        <f>INDEX(Data,2,2+MOD(ROWS(C$2:C665)-1,3))</f>
        <v>07.45</v>
      </c>
      <c r="D665" s="23">
        <f t="shared" ca="1" si="51"/>
        <v>751</v>
      </c>
      <c r="E665" s="40">
        <f t="shared" ca="1" si="52"/>
        <v>0</v>
      </c>
      <c r="F665" s="23">
        <f t="shared" ca="1" si="53"/>
        <v>27</v>
      </c>
      <c r="G665" s="40">
        <f t="shared" ca="1" si="54"/>
        <v>0</v>
      </c>
    </row>
    <row r="666" spans="1:7" x14ac:dyDescent="0.25">
      <c r="A666" s="17">
        <f t="shared" si="50"/>
        <v>81</v>
      </c>
      <c r="B666" t="str">
        <f ca="1">TEXT(DATE(YEAR(Invoer!$A$5),1,1)+INT((ROWS(B$2:B666)-1)/3),"jjjjmmdd")</f>
        <v>19430810</v>
      </c>
      <c r="C666" s="35" t="str">
        <f>INDEX(Data,2,2+MOD(ROWS(C$2:C666)-1,3))</f>
        <v>13.45</v>
      </c>
      <c r="D666" s="23">
        <f t="shared" ca="1" si="51"/>
        <v>750</v>
      </c>
      <c r="E666" s="40">
        <f t="shared" ca="1" si="52"/>
        <v>0</v>
      </c>
      <c r="F666" s="23">
        <f t="shared" ca="1" si="53"/>
        <v>27</v>
      </c>
      <c r="G666" s="40">
        <f t="shared" ca="1" si="54"/>
        <v>0</v>
      </c>
    </row>
    <row r="667" spans="1:7" x14ac:dyDescent="0.25">
      <c r="A667" s="17">
        <f t="shared" si="50"/>
        <v>81</v>
      </c>
      <c r="B667" t="str">
        <f ca="1">TEXT(DATE(YEAR(Invoer!$A$5),1,1)+INT((ROWS(B$2:B667)-1)/3),"jjjjmmdd")</f>
        <v>19430810</v>
      </c>
      <c r="C667" s="35" t="str">
        <f>INDEX(Data,2,2+MOD(ROWS(C$2:C667)-1,3))</f>
        <v>19.45</v>
      </c>
      <c r="D667" s="23">
        <f t="shared" ca="1" si="51"/>
        <v>751</v>
      </c>
      <c r="E667" s="40">
        <f t="shared" ca="1" si="52"/>
        <v>0</v>
      </c>
      <c r="F667" s="23">
        <f t="shared" ca="1" si="53"/>
        <v>27</v>
      </c>
      <c r="G667" s="40">
        <f t="shared" ca="1" si="54"/>
        <v>0</v>
      </c>
    </row>
    <row r="668" spans="1:7" x14ac:dyDescent="0.25">
      <c r="A668" s="17">
        <f t="shared" si="50"/>
        <v>81</v>
      </c>
      <c r="B668" t="str">
        <f ca="1">TEXT(DATE(YEAR(Invoer!$A$5),1,1)+INT((ROWS(B$2:B668)-1)/3),"jjjjmmdd")</f>
        <v>19430811</v>
      </c>
      <c r="C668" s="35" t="str">
        <f>INDEX(Data,2,2+MOD(ROWS(C$2:C668)-1,3))</f>
        <v>07.45</v>
      </c>
      <c r="D668" s="23">
        <f t="shared" ca="1" si="51"/>
        <v>751</v>
      </c>
      <c r="E668" s="40">
        <f t="shared" ca="1" si="52"/>
        <v>0</v>
      </c>
      <c r="F668" s="23">
        <f t="shared" ca="1" si="53"/>
        <v>26</v>
      </c>
      <c r="G668" s="40">
        <f t="shared" ca="1" si="54"/>
        <v>0</v>
      </c>
    </row>
    <row r="669" spans="1:7" x14ac:dyDescent="0.25">
      <c r="A669" s="17">
        <f t="shared" si="50"/>
        <v>81</v>
      </c>
      <c r="B669" t="str">
        <f ca="1">TEXT(DATE(YEAR(Invoer!$A$5),1,1)+INT((ROWS(B$2:B669)-1)/3),"jjjjmmdd")</f>
        <v>19430811</v>
      </c>
      <c r="C669" s="35" t="str">
        <f>INDEX(Data,2,2+MOD(ROWS(C$2:C669)-1,3))</f>
        <v>13.45</v>
      </c>
      <c r="D669" s="23">
        <f t="shared" ca="1" si="51"/>
        <v>750</v>
      </c>
      <c r="E669" s="40">
        <f t="shared" ca="1" si="52"/>
        <v>0</v>
      </c>
      <c r="F669" s="23">
        <f t="shared" ca="1" si="53"/>
        <v>31</v>
      </c>
      <c r="G669" s="40">
        <f t="shared" ca="1" si="54"/>
        <v>0</v>
      </c>
    </row>
    <row r="670" spans="1:7" x14ac:dyDescent="0.25">
      <c r="A670" s="17">
        <f t="shared" si="50"/>
        <v>81</v>
      </c>
      <c r="B670" t="str">
        <f ca="1">TEXT(DATE(YEAR(Invoer!$A$5),1,1)+INT((ROWS(B$2:B670)-1)/3),"jjjjmmdd")</f>
        <v>19430811</v>
      </c>
      <c r="C670" s="35" t="str">
        <f>INDEX(Data,2,2+MOD(ROWS(C$2:C670)-1,3))</f>
        <v>19.45</v>
      </c>
      <c r="D670" s="23">
        <f t="shared" ca="1" si="51"/>
        <v>751</v>
      </c>
      <c r="E670" s="40">
        <f t="shared" ca="1" si="52"/>
        <v>0</v>
      </c>
      <c r="F670" s="23">
        <f t="shared" ca="1" si="53"/>
        <v>29</v>
      </c>
      <c r="G670" s="40">
        <f t="shared" ca="1" si="54"/>
        <v>0</v>
      </c>
    </row>
    <row r="671" spans="1:7" x14ac:dyDescent="0.25">
      <c r="A671" s="17">
        <f t="shared" si="50"/>
        <v>81</v>
      </c>
      <c r="B671" t="str">
        <f ca="1">TEXT(DATE(YEAR(Invoer!$A$5),1,1)+INT((ROWS(B$2:B671)-1)/3),"jjjjmmdd")</f>
        <v>19430812</v>
      </c>
      <c r="C671" s="35" t="str">
        <f>INDEX(Data,2,2+MOD(ROWS(C$2:C671)-1,3))</f>
        <v>07.45</v>
      </c>
      <c r="D671" s="23">
        <f t="shared" ca="1" si="51"/>
        <v>751</v>
      </c>
      <c r="E671" s="40">
        <f t="shared" ca="1" si="52"/>
        <v>0</v>
      </c>
      <c r="F671" s="23">
        <f t="shared" ca="1" si="53"/>
        <v>26.5</v>
      </c>
      <c r="G671" s="40">
        <f t="shared" ca="1" si="54"/>
        <v>0</v>
      </c>
    </row>
    <row r="672" spans="1:7" x14ac:dyDescent="0.25">
      <c r="A672" s="17">
        <f t="shared" si="50"/>
        <v>81</v>
      </c>
      <c r="B672" t="str">
        <f ca="1">TEXT(DATE(YEAR(Invoer!$A$5),1,1)+INT((ROWS(B$2:B672)-1)/3),"jjjjmmdd")</f>
        <v>19430812</v>
      </c>
      <c r="C672" s="35" t="str">
        <f>INDEX(Data,2,2+MOD(ROWS(C$2:C672)-1,3))</f>
        <v>13.45</v>
      </c>
      <c r="D672" s="23">
        <f t="shared" ca="1" si="51"/>
        <v>749</v>
      </c>
      <c r="E672" s="40">
        <f t="shared" ca="1" si="52"/>
        <v>0</v>
      </c>
      <c r="F672" s="23">
        <f t="shared" ca="1" si="53"/>
        <v>27</v>
      </c>
      <c r="G672" s="40">
        <f t="shared" ca="1" si="54"/>
        <v>0</v>
      </c>
    </row>
    <row r="673" spans="1:7" x14ac:dyDescent="0.25">
      <c r="A673" s="17">
        <f t="shared" si="50"/>
        <v>81</v>
      </c>
      <c r="B673" t="str">
        <f ca="1">TEXT(DATE(YEAR(Invoer!$A$5),1,1)+INT((ROWS(B$2:B673)-1)/3),"jjjjmmdd")</f>
        <v>19430812</v>
      </c>
      <c r="C673" s="35" t="str">
        <f>INDEX(Data,2,2+MOD(ROWS(C$2:C673)-1,3))</f>
        <v>19.45</v>
      </c>
      <c r="D673" s="23">
        <f t="shared" ca="1" si="51"/>
        <v>749</v>
      </c>
      <c r="E673" s="40">
        <f t="shared" ca="1" si="52"/>
        <v>0</v>
      </c>
      <c r="F673" s="23">
        <f t="shared" ca="1" si="53"/>
        <v>27</v>
      </c>
      <c r="G673" s="40">
        <f t="shared" ca="1" si="54"/>
        <v>0</v>
      </c>
    </row>
    <row r="674" spans="1:7" x14ac:dyDescent="0.25">
      <c r="A674" s="17">
        <f t="shared" si="50"/>
        <v>81</v>
      </c>
      <c r="B674" t="str">
        <f ca="1">TEXT(DATE(YEAR(Invoer!$A$5),1,1)+INT((ROWS(B$2:B674)-1)/3),"jjjjmmdd")</f>
        <v>19430813</v>
      </c>
      <c r="C674" s="35" t="str">
        <f>INDEX(Data,2,2+MOD(ROWS(C$2:C674)-1,3))</f>
        <v>07.45</v>
      </c>
      <c r="D674" s="23">
        <f t="shared" ca="1" si="51"/>
        <v>748</v>
      </c>
      <c r="E674" s="40">
        <f t="shared" ca="1" si="52"/>
        <v>0</v>
      </c>
      <c r="F674" s="23">
        <f t="shared" ca="1" si="53"/>
        <v>26</v>
      </c>
      <c r="G674" s="40">
        <f t="shared" ca="1" si="54"/>
        <v>0</v>
      </c>
    </row>
    <row r="675" spans="1:7" x14ac:dyDescent="0.25">
      <c r="A675" s="17">
        <f t="shared" si="50"/>
        <v>81</v>
      </c>
      <c r="B675" t="str">
        <f ca="1">TEXT(DATE(YEAR(Invoer!$A$5),1,1)+INT((ROWS(B$2:B675)-1)/3),"jjjjmmdd")</f>
        <v>19430813</v>
      </c>
      <c r="C675" s="35" t="str">
        <f>INDEX(Data,2,2+MOD(ROWS(C$2:C675)-1,3))</f>
        <v>13.45</v>
      </c>
      <c r="D675" s="23">
        <f t="shared" ca="1" si="51"/>
        <v>747</v>
      </c>
      <c r="E675" s="40">
        <f t="shared" ca="1" si="52"/>
        <v>0</v>
      </c>
      <c r="F675" s="23">
        <f t="shared" ca="1" si="53"/>
        <v>26</v>
      </c>
      <c r="G675" s="40">
        <f t="shared" ca="1" si="54"/>
        <v>0</v>
      </c>
    </row>
    <row r="676" spans="1:7" x14ac:dyDescent="0.25">
      <c r="A676" s="17">
        <f t="shared" si="50"/>
        <v>81</v>
      </c>
      <c r="B676" t="str">
        <f ca="1">TEXT(DATE(YEAR(Invoer!$A$5),1,1)+INT((ROWS(B$2:B676)-1)/3),"jjjjmmdd")</f>
        <v>19430813</v>
      </c>
      <c r="C676" s="35" t="str">
        <f>INDEX(Data,2,2+MOD(ROWS(C$2:C676)-1,3))</f>
        <v>19.45</v>
      </c>
      <c r="D676" s="23">
        <f t="shared" ca="1" si="51"/>
        <v>746</v>
      </c>
      <c r="E676" s="40">
        <f t="shared" ca="1" si="52"/>
        <v>0</v>
      </c>
      <c r="F676" s="23">
        <f t="shared" ca="1" si="53"/>
        <v>26</v>
      </c>
      <c r="G676" s="40">
        <f t="shared" ca="1" si="54"/>
        <v>0</v>
      </c>
    </row>
    <row r="677" spans="1:7" x14ac:dyDescent="0.25">
      <c r="A677" s="17">
        <f t="shared" si="50"/>
        <v>81</v>
      </c>
      <c r="B677" t="str">
        <f ca="1">TEXT(DATE(YEAR(Invoer!$A$5),1,1)+INT((ROWS(B$2:B677)-1)/3),"jjjjmmdd")</f>
        <v>19430814</v>
      </c>
      <c r="C677" s="35" t="str">
        <f>INDEX(Data,2,2+MOD(ROWS(C$2:C677)-1,3))</f>
        <v>07.45</v>
      </c>
      <c r="D677" s="23">
        <f t="shared" ca="1" si="51"/>
        <v>748</v>
      </c>
      <c r="E677" s="40">
        <f t="shared" ca="1" si="52"/>
        <v>0</v>
      </c>
      <c r="F677" s="23">
        <f t="shared" ca="1" si="53"/>
        <v>31</v>
      </c>
      <c r="G677" s="40">
        <f t="shared" ca="1" si="54"/>
        <v>0</v>
      </c>
    </row>
    <row r="678" spans="1:7" x14ac:dyDescent="0.25">
      <c r="A678" s="17">
        <f t="shared" si="50"/>
        <v>81</v>
      </c>
      <c r="B678" t="str">
        <f ca="1">TEXT(DATE(YEAR(Invoer!$A$5),1,1)+INT((ROWS(B$2:B678)-1)/3),"jjjjmmdd")</f>
        <v>19430814</v>
      </c>
      <c r="C678" s="35" t="str">
        <f>INDEX(Data,2,2+MOD(ROWS(C$2:C678)-1,3))</f>
        <v>13.45</v>
      </c>
      <c r="D678" s="23">
        <f t="shared" ca="1" si="51"/>
        <v>749</v>
      </c>
      <c r="E678" s="40">
        <f t="shared" ca="1" si="52"/>
        <v>0</v>
      </c>
      <c r="F678" s="23">
        <f t="shared" ca="1" si="53"/>
        <v>28</v>
      </c>
      <c r="G678" s="40">
        <f t="shared" ca="1" si="54"/>
        <v>0</v>
      </c>
    </row>
    <row r="679" spans="1:7" x14ac:dyDescent="0.25">
      <c r="A679" s="17">
        <f t="shared" si="50"/>
        <v>81</v>
      </c>
      <c r="B679" t="str">
        <f ca="1">TEXT(DATE(YEAR(Invoer!$A$5),1,1)+INT((ROWS(B$2:B679)-1)/3),"jjjjmmdd")</f>
        <v>19430814</v>
      </c>
      <c r="C679" s="35" t="str">
        <f>INDEX(Data,2,2+MOD(ROWS(C$2:C679)-1,3))</f>
        <v>19.45</v>
      </c>
      <c r="D679" s="23">
        <f t="shared" ca="1" si="51"/>
        <v>749</v>
      </c>
      <c r="E679" s="40">
        <f t="shared" ca="1" si="52"/>
        <v>0</v>
      </c>
      <c r="F679" s="23">
        <f t="shared" ca="1" si="53"/>
        <v>27</v>
      </c>
      <c r="G679" s="40">
        <f t="shared" ca="1" si="54"/>
        <v>0</v>
      </c>
    </row>
    <row r="680" spans="1:7" x14ac:dyDescent="0.25">
      <c r="A680" s="17">
        <f t="shared" si="50"/>
        <v>81</v>
      </c>
      <c r="B680" t="str">
        <f ca="1">TEXT(DATE(YEAR(Invoer!$A$5),1,1)+INT((ROWS(B$2:B680)-1)/3),"jjjjmmdd")</f>
        <v>19430815</v>
      </c>
      <c r="C680" s="35" t="str">
        <f>INDEX(Data,2,2+MOD(ROWS(C$2:C680)-1,3))</f>
        <v>07.45</v>
      </c>
      <c r="D680" s="23">
        <f t="shared" ca="1" si="51"/>
        <v>750</v>
      </c>
      <c r="E680" s="40">
        <f t="shared" ca="1" si="52"/>
        <v>0</v>
      </c>
      <c r="F680" s="23">
        <f t="shared" ca="1" si="53"/>
        <v>30.5</v>
      </c>
      <c r="G680" s="40">
        <f t="shared" ca="1" si="54"/>
        <v>0</v>
      </c>
    </row>
    <row r="681" spans="1:7" x14ac:dyDescent="0.25">
      <c r="A681" s="17">
        <f t="shared" si="50"/>
        <v>81</v>
      </c>
      <c r="B681" t="str">
        <f ca="1">TEXT(DATE(YEAR(Invoer!$A$5),1,1)+INT((ROWS(B$2:B681)-1)/3),"jjjjmmdd")</f>
        <v>19430815</v>
      </c>
      <c r="C681" s="35" t="str">
        <f>INDEX(Data,2,2+MOD(ROWS(C$2:C681)-1,3))</f>
        <v>13.45</v>
      </c>
      <c r="D681" s="23">
        <f t="shared" ca="1" si="51"/>
        <v>748</v>
      </c>
      <c r="E681" s="40">
        <f t="shared" ca="1" si="52"/>
        <v>0</v>
      </c>
      <c r="F681" s="23">
        <f t="shared" ca="1" si="53"/>
        <v>28</v>
      </c>
      <c r="G681" s="40">
        <f t="shared" ca="1" si="54"/>
        <v>0</v>
      </c>
    </row>
    <row r="682" spans="1:7" x14ac:dyDescent="0.25">
      <c r="A682" s="17">
        <f t="shared" si="50"/>
        <v>81</v>
      </c>
      <c r="B682" t="str">
        <f ca="1">TEXT(DATE(YEAR(Invoer!$A$5),1,1)+INT((ROWS(B$2:B682)-1)/3),"jjjjmmdd")</f>
        <v>19430815</v>
      </c>
      <c r="C682" s="35" t="str">
        <f>INDEX(Data,2,2+MOD(ROWS(C$2:C682)-1,3))</f>
        <v>19.45</v>
      </c>
      <c r="D682" s="23">
        <f t="shared" ca="1" si="51"/>
        <v>748</v>
      </c>
      <c r="E682" s="40">
        <f t="shared" ca="1" si="52"/>
        <v>0</v>
      </c>
      <c r="F682" s="23">
        <f t="shared" ca="1" si="53"/>
        <v>26</v>
      </c>
      <c r="G682" s="40">
        <f t="shared" ca="1" si="54"/>
        <v>0</v>
      </c>
    </row>
    <row r="683" spans="1:7" x14ac:dyDescent="0.25">
      <c r="A683" s="17">
        <f t="shared" si="50"/>
        <v>81</v>
      </c>
      <c r="B683" t="str">
        <f ca="1">TEXT(DATE(YEAR(Invoer!$A$5),1,1)+INT((ROWS(B$2:B683)-1)/3),"jjjjmmdd")</f>
        <v>19430816</v>
      </c>
      <c r="C683" s="35" t="str">
        <f>INDEX(Data,2,2+MOD(ROWS(C$2:C683)-1,3))</f>
        <v>07.45</v>
      </c>
      <c r="D683" s="23">
        <f t="shared" ca="1" si="51"/>
        <v>747</v>
      </c>
      <c r="E683" s="40">
        <f t="shared" ca="1" si="52"/>
        <v>0</v>
      </c>
      <c r="F683" s="23">
        <f t="shared" ca="1" si="53"/>
        <v>26</v>
      </c>
      <c r="G683" s="40">
        <f t="shared" ca="1" si="54"/>
        <v>0</v>
      </c>
    </row>
    <row r="684" spans="1:7" x14ac:dyDescent="0.25">
      <c r="A684" s="17">
        <f t="shared" si="50"/>
        <v>81</v>
      </c>
      <c r="B684" t="str">
        <f ca="1">TEXT(DATE(YEAR(Invoer!$A$5),1,1)+INT((ROWS(B$2:B684)-1)/3),"jjjjmmdd")</f>
        <v>19430816</v>
      </c>
      <c r="C684" s="35" t="str">
        <f>INDEX(Data,2,2+MOD(ROWS(C$2:C684)-1,3))</f>
        <v>13.45</v>
      </c>
      <c r="D684" s="23">
        <f t="shared" ca="1" si="51"/>
        <v>746</v>
      </c>
      <c r="E684" s="40">
        <f t="shared" ca="1" si="52"/>
        <v>0</v>
      </c>
      <c r="F684" s="23">
        <f t="shared" ca="1" si="53"/>
        <v>27</v>
      </c>
      <c r="G684" s="40">
        <f t="shared" ca="1" si="54"/>
        <v>0</v>
      </c>
    </row>
    <row r="685" spans="1:7" x14ac:dyDescent="0.25">
      <c r="A685" s="17">
        <f t="shared" si="50"/>
        <v>81</v>
      </c>
      <c r="B685" t="str">
        <f ca="1">TEXT(DATE(YEAR(Invoer!$A$5),1,1)+INT((ROWS(B$2:B685)-1)/3),"jjjjmmdd")</f>
        <v>19430816</v>
      </c>
      <c r="C685" s="35" t="str">
        <f>INDEX(Data,2,2+MOD(ROWS(C$2:C685)-1,3))</f>
        <v>19.45</v>
      </c>
      <c r="D685" s="23">
        <f t="shared" ca="1" si="51"/>
        <v>747</v>
      </c>
      <c r="E685" s="40">
        <f t="shared" ca="1" si="52"/>
        <v>0</v>
      </c>
      <c r="F685" s="23">
        <f t="shared" ca="1" si="53"/>
        <v>26</v>
      </c>
      <c r="G685" s="40">
        <f t="shared" ca="1" si="54"/>
        <v>0</v>
      </c>
    </row>
    <row r="686" spans="1:7" x14ac:dyDescent="0.25">
      <c r="A686" s="17">
        <f t="shared" si="50"/>
        <v>81</v>
      </c>
      <c r="B686" t="str">
        <f ca="1">TEXT(DATE(YEAR(Invoer!$A$5),1,1)+INT((ROWS(B$2:B686)-1)/3),"jjjjmmdd")</f>
        <v>19430817</v>
      </c>
      <c r="C686" s="35" t="str">
        <f>INDEX(Data,2,2+MOD(ROWS(C$2:C686)-1,3))</f>
        <v>07.45</v>
      </c>
      <c r="D686" s="23">
        <f t="shared" ca="1" si="51"/>
        <v>749</v>
      </c>
      <c r="E686" s="40">
        <f t="shared" ca="1" si="52"/>
        <v>0</v>
      </c>
      <c r="F686" s="23">
        <f t="shared" ca="1" si="53"/>
        <v>26.5</v>
      </c>
      <c r="G686" s="40">
        <f t="shared" ca="1" si="54"/>
        <v>0</v>
      </c>
    </row>
    <row r="687" spans="1:7" x14ac:dyDescent="0.25">
      <c r="A687" s="17">
        <f t="shared" si="50"/>
        <v>81</v>
      </c>
      <c r="B687" t="str">
        <f ca="1">TEXT(DATE(YEAR(Invoer!$A$5),1,1)+INT((ROWS(B$2:B687)-1)/3),"jjjjmmdd")</f>
        <v>19430817</v>
      </c>
      <c r="C687" s="35" t="str">
        <f>INDEX(Data,2,2+MOD(ROWS(C$2:C687)-1,3))</f>
        <v>13.45</v>
      </c>
      <c r="D687" s="23">
        <f t="shared" ca="1" si="51"/>
        <v>748</v>
      </c>
      <c r="E687" s="40">
        <f t="shared" ca="1" si="52"/>
        <v>0</v>
      </c>
      <c r="F687" s="23">
        <f t="shared" ca="1" si="53"/>
        <v>30</v>
      </c>
      <c r="G687" s="40">
        <f t="shared" ca="1" si="54"/>
        <v>0</v>
      </c>
    </row>
    <row r="688" spans="1:7" x14ac:dyDescent="0.25">
      <c r="A688" s="17">
        <f t="shared" si="50"/>
        <v>81</v>
      </c>
      <c r="B688" t="str">
        <f ca="1">TEXT(DATE(YEAR(Invoer!$A$5),1,1)+INT((ROWS(B$2:B688)-1)/3),"jjjjmmdd")</f>
        <v>19430817</v>
      </c>
      <c r="C688" s="35" t="str">
        <f>INDEX(Data,2,2+MOD(ROWS(C$2:C688)-1,3))</f>
        <v>19.45</v>
      </c>
      <c r="D688" s="23">
        <f t="shared" ca="1" si="51"/>
        <v>750</v>
      </c>
      <c r="E688" s="40">
        <f t="shared" ca="1" si="52"/>
        <v>0</v>
      </c>
      <c r="F688" s="23">
        <f t="shared" ca="1" si="53"/>
        <v>28</v>
      </c>
      <c r="G688" s="40">
        <f t="shared" ca="1" si="54"/>
        <v>0</v>
      </c>
    </row>
    <row r="689" spans="1:7" x14ac:dyDescent="0.25">
      <c r="A689" s="17">
        <f t="shared" si="50"/>
        <v>81</v>
      </c>
      <c r="B689" t="str">
        <f ca="1">TEXT(DATE(YEAR(Invoer!$A$5),1,1)+INT((ROWS(B$2:B689)-1)/3),"jjjjmmdd")</f>
        <v>19430818</v>
      </c>
      <c r="C689" s="35" t="str">
        <f>INDEX(Data,2,2+MOD(ROWS(C$2:C689)-1,3))</f>
        <v>07.45</v>
      </c>
      <c r="D689" s="23">
        <f t="shared" ca="1" si="51"/>
        <v>750</v>
      </c>
      <c r="E689" s="40">
        <f t="shared" ca="1" si="52"/>
        <v>0</v>
      </c>
      <c r="F689" s="23">
        <f t="shared" ca="1" si="53"/>
        <v>26.5</v>
      </c>
      <c r="G689" s="40">
        <f t="shared" ca="1" si="54"/>
        <v>0</v>
      </c>
    </row>
    <row r="690" spans="1:7" x14ac:dyDescent="0.25">
      <c r="A690" s="17">
        <f t="shared" si="50"/>
        <v>81</v>
      </c>
      <c r="B690" t="str">
        <f ca="1">TEXT(DATE(YEAR(Invoer!$A$5),1,1)+INT((ROWS(B$2:B690)-1)/3),"jjjjmmdd")</f>
        <v>19430818</v>
      </c>
      <c r="C690" s="35" t="str">
        <f>INDEX(Data,2,2+MOD(ROWS(C$2:C690)-1,3))</f>
        <v>13.45</v>
      </c>
      <c r="D690" s="23">
        <f t="shared" ca="1" si="51"/>
        <v>748</v>
      </c>
      <c r="E690" s="40">
        <f t="shared" ca="1" si="52"/>
        <v>0</v>
      </c>
      <c r="F690" s="23">
        <f t="shared" ca="1" si="53"/>
        <v>29</v>
      </c>
      <c r="G690" s="40">
        <f t="shared" ca="1" si="54"/>
        <v>0</v>
      </c>
    </row>
    <row r="691" spans="1:7" x14ac:dyDescent="0.25">
      <c r="A691" s="17">
        <f t="shared" si="50"/>
        <v>81</v>
      </c>
      <c r="B691" t="str">
        <f ca="1">TEXT(DATE(YEAR(Invoer!$A$5),1,1)+INT((ROWS(B$2:B691)-1)/3),"jjjjmmdd")</f>
        <v>19430818</v>
      </c>
      <c r="C691" s="35" t="str">
        <f>INDEX(Data,2,2+MOD(ROWS(C$2:C691)-1,3))</f>
        <v>19.45</v>
      </c>
      <c r="D691" s="23">
        <f t="shared" ca="1" si="51"/>
        <v>748</v>
      </c>
      <c r="E691" s="40">
        <f t="shared" ca="1" si="52"/>
        <v>0</v>
      </c>
      <c r="F691" s="23">
        <f t="shared" ca="1" si="53"/>
        <v>28</v>
      </c>
      <c r="G691" s="40">
        <f t="shared" ca="1" si="54"/>
        <v>0</v>
      </c>
    </row>
    <row r="692" spans="1:7" x14ac:dyDescent="0.25">
      <c r="A692" s="17">
        <f t="shared" si="50"/>
        <v>81</v>
      </c>
      <c r="B692" t="str">
        <f ca="1">TEXT(DATE(YEAR(Invoer!$A$5),1,1)+INT((ROWS(B$2:B692)-1)/3),"jjjjmmdd")</f>
        <v>19430819</v>
      </c>
      <c r="C692" s="35" t="str">
        <f>INDEX(Data,2,2+MOD(ROWS(C$2:C692)-1,3))</f>
        <v>07.45</v>
      </c>
      <c r="D692" s="23">
        <f t="shared" ca="1" si="51"/>
        <v>748</v>
      </c>
      <c r="E692" s="40">
        <f t="shared" ca="1" si="52"/>
        <v>0</v>
      </c>
      <c r="F692" s="23">
        <f t="shared" ca="1" si="53"/>
        <v>26</v>
      </c>
      <c r="G692" s="40">
        <f t="shared" ca="1" si="54"/>
        <v>0</v>
      </c>
    </row>
    <row r="693" spans="1:7" x14ac:dyDescent="0.25">
      <c r="A693" s="17">
        <f t="shared" si="50"/>
        <v>81</v>
      </c>
      <c r="B693" t="str">
        <f ca="1">TEXT(DATE(YEAR(Invoer!$A$5),1,1)+INT((ROWS(B$2:B693)-1)/3),"jjjjmmdd")</f>
        <v>19430819</v>
      </c>
      <c r="C693" s="35" t="str">
        <f>INDEX(Data,2,2+MOD(ROWS(C$2:C693)-1,3))</f>
        <v>13.45</v>
      </c>
      <c r="D693" s="23">
        <f t="shared" ca="1" si="51"/>
        <v>747</v>
      </c>
      <c r="E693" s="40">
        <f t="shared" ca="1" si="52"/>
        <v>0</v>
      </c>
      <c r="F693" s="23">
        <f t="shared" ca="1" si="53"/>
        <v>28</v>
      </c>
      <c r="G693" s="40">
        <f t="shared" ca="1" si="54"/>
        <v>0</v>
      </c>
    </row>
    <row r="694" spans="1:7" x14ac:dyDescent="0.25">
      <c r="A694" s="17">
        <f t="shared" si="50"/>
        <v>81</v>
      </c>
      <c r="B694" t="str">
        <f ca="1">TEXT(DATE(YEAR(Invoer!$A$5),1,1)+INT((ROWS(B$2:B694)-1)/3),"jjjjmmdd")</f>
        <v>19430819</v>
      </c>
      <c r="C694" s="35" t="str">
        <f>INDEX(Data,2,2+MOD(ROWS(C$2:C694)-1,3))</f>
        <v>19.45</v>
      </c>
      <c r="D694" s="23">
        <f t="shared" ca="1" si="51"/>
        <v>747</v>
      </c>
      <c r="E694" s="40">
        <f t="shared" ca="1" si="52"/>
        <v>0</v>
      </c>
      <c r="F694" s="23">
        <f t="shared" ca="1" si="53"/>
        <v>28</v>
      </c>
      <c r="G694" s="40">
        <f t="shared" ca="1" si="54"/>
        <v>0</v>
      </c>
    </row>
    <row r="695" spans="1:7" x14ac:dyDescent="0.25">
      <c r="A695" s="17">
        <f t="shared" si="50"/>
        <v>81</v>
      </c>
      <c r="B695" t="str">
        <f ca="1">TEXT(DATE(YEAR(Invoer!$A$5),1,1)+INT((ROWS(B$2:B695)-1)/3),"jjjjmmdd")</f>
        <v>19430820</v>
      </c>
      <c r="C695" s="35" t="str">
        <f>INDEX(Data,2,2+MOD(ROWS(C$2:C695)-1,3))</f>
        <v>07.45</v>
      </c>
      <c r="D695" s="23">
        <f t="shared" ca="1" si="51"/>
        <v>746</v>
      </c>
      <c r="E695" s="40">
        <f t="shared" ca="1" si="52"/>
        <v>0</v>
      </c>
      <c r="F695" s="23">
        <f t="shared" ca="1" si="53"/>
        <v>26.5</v>
      </c>
      <c r="G695" s="40">
        <f t="shared" ca="1" si="54"/>
        <v>0</v>
      </c>
    </row>
    <row r="696" spans="1:7" x14ac:dyDescent="0.25">
      <c r="A696" s="17">
        <f t="shared" si="50"/>
        <v>81</v>
      </c>
      <c r="B696" t="str">
        <f ca="1">TEXT(DATE(YEAR(Invoer!$A$5),1,1)+INT((ROWS(B$2:B696)-1)/3),"jjjjmmdd")</f>
        <v>19430820</v>
      </c>
      <c r="C696" s="35" t="str">
        <f>INDEX(Data,2,2+MOD(ROWS(C$2:C696)-1,3))</f>
        <v>13.45</v>
      </c>
      <c r="D696" s="23">
        <f t="shared" ca="1" si="51"/>
        <v>745</v>
      </c>
      <c r="E696" s="40">
        <f t="shared" ca="1" si="52"/>
        <v>0</v>
      </c>
      <c r="F696" s="23">
        <f t="shared" ca="1" si="53"/>
        <v>28.5</v>
      </c>
      <c r="G696" s="40">
        <f t="shared" ca="1" si="54"/>
        <v>0</v>
      </c>
    </row>
    <row r="697" spans="1:7" x14ac:dyDescent="0.25">
      <c r="A697" s="17">
        <f t="shared" si="50"/>
        <v>81</v>
      </c>
      <c r="B697" t="str">
        <f ca="1">TEXT(DATE(YEAR(Invoer!$A$5),1,1)+INT((ROWS(B$2:B697)-1)/3),"jjjjmmdd")</f>
        <v>19430820</v>
      </c>
      <c r="C697" s="35" t="str">
        <f>INDEX(Data,2,2+MOD(ROWS(C$2:C697)-1,3))</f>
        <v>19.45</v>
      </c>
      <c r="D697" s="23">
        <f t="shared" ca="1" si="51"/>
        <v>745</v>
      </c>
      <c r="E697" s="40">
        <f t="shared" ca="1" si="52"/>
        <v>0</v>
      </c>
      <c r="F697" s="23">
        <f t="shared" ca="1" si="53"/>
        <v>27.5</v>
      </c>
      <c r="G697" s="40">
        <f t="shared" ca="1" si="54"/>
        <v>0</v>
      </c>
    </row>
    <row r="698" spans="1:7" x14ac:dyDescent="0.25">
      <c r="A698" s="17">
        <f t="shared" si="50"/>
        <v>81</v>
      </c>
      <c r="B698" t="str">
        <f ca="1">TEXT(DATE(YEAR(Invoer!$A$5),1,1)+INT((ROWS(B$2:B698)-1)/3),"jjjjmmdd")</f>
        <v>19430821</v>
      </c>
      <c r="C698" s="35" t="str">
        <f>INDEX(Data,2,2+MOD(ROWS(C$2:C698)-1,3))</f>
        <v>07.45</v>
      </c>
      <c r="D698" s="23">
        <f t="shared" ca="1" si="51"/>
        <v>745</v>
      </c>
      <c r="E698" s="40">
        <f t="shared" ca="1" si="52"/>
        <v>0</v>
      </c>
      <c r="F698" s="23">
        <f t="shared" ca="1" si="53"/>
        <v>26</v>
      </c>
      <c r="G698" s="40">
        <f t="shared" ca="1" si="54"/>
        <v>0</v>
      </c>
    </row>
    <row r="699" spans="1:7" x14ac:dyDescent="0.25">
      <c r="A699" s="17">
        <f t="shared" si="50"/>
        <v>81</v>
      </c>
      <c r="B699" t="str">
        <f ca="1">TEXT(DATE(YEAR(Invoer!$A$5),1,1)+INT((ROWS(B$2:B699)-1)/3),"jjjjmmdd")</f>
        <v>19430821</v>
      </c>
      <c r="C699" s="35" t="str">
        <f>INDEX(Data,2,2+MOD(ROWS(C$2:C699)-1,3))</f>
        <v>13.45</v>
      </c>
      <c r="D699" s="23">
        <f t="shared" ca="1" si="51"/>
        <v>745</v>
      </c>
      <c r="E699" s="40">
        <f t="shared" ca="1" si="52"/>
        <v>0</v>
      </c>
      <c r="F699" s="23">
        <f t="shared" ca="1" si="53"/>
        <v>26</v>
      </c>
      <c r="G699" s="40">
        <f t="shared" ca="1" si="54"/>
        <v>0</v>
      </c>
    </row>
    <row r="700" spans="1:7" x14ac:dyDescent="0.25">
      <c r="A700" s="17">
        <f t="shared" si="50"/>
        <v>81</v>
      </c>
      <c r="B700" t="str">
        <f ca="1">TEXT(DATE(YEAR(Invoer!$A$5),1,1)+INT((ROWS(B$2:B700)-1)/3),"jjjjmmdd")</f>
        <v>19430821</v>
      </c>
      <c r="C700" s="35" t="str">
        <f>INDEX(Data,2,2+MOD(ROWS(C$2:C700)-1,3))</f>
        <v>19.45</v>
      </c>
      <c r="D700" s="23">
        <f t="shared" ca="1" si="51"/>
        <v>746</v>
      </c>
      <c r="E700" s="40">
        <f t="shared" ca="1" si="52"/>
        <v>0</v>
      </c>
      <c r="F700" s="23">
        <f t="shared" ca="1" si="53"/>
        <v>26</v>
      </c>
      <c r="G700" s="40">
        <f t="shared" ca="1" si="54"/>
        <v>0</v>
      </c>
    </row>
    <row r="701" spans="1:7" x14ac:dyDescent="0.25">
      <c r="A701" s="17">
        <f t="shared" si="50"/>
        <v>81</v>
      </c>
      <c r="B701" t="str">
        <f ca="1">TEXT(DATE(YEAR(Invoer!$A$5),1,1)+INT((ROWS(B$2:B701)-1)/3),"jjjjmmdd")</f>
        <v>19430822</v>
      </c>
      <c r="C701" s="35" t="str">
        <f>INDEX(Data,2,2+MOD(ROWS(C$2:C701)-1,3))</f>
        <v>07.45</v>
      </c>
      <c r="D701" s="23">
        <f t="shared" ca="1" si="51"/>
        <v>745</v>
      </c>
      <c r="E701" s="40">
        <f t="shared" ca="1" si="52"/>
        <v>0</v>
      </c>
      <c r="F701" s="23">
        <f t="shared" ca="1" si="53"/>
        <v>27</v>
      </c>
      <c r="G701" s="40">
        <f t="shared" ca="1" si="54"/>
        <v>0</v>
      </c>
    </row>
    <row r="702" spans="1:7" x14ac:dyDescent="0.25">
      <c r="A702" s="17">
        <f t="shared" si="50"/>
        <v>81</v>
      </c>
      <c r="B702" t="str">
        <f ca="1">TEXT(DATE(YEAR(Invoer!$A$5),1,1)+INT((ROWS(B$2:B702)-1)/3),"jjjjmmdd")</f>
        <v>19430822</v>
      </c>
      <c r="C702" s="35" t="str">
        <f>INDEX(Data,2,2+MOD(ROWS(C$2:C702)-1,3))</f>
        <v>13.45</v>
      </c>
      <c r="D702" s="23">
        <f t="shared" ca="1" si="51"/>
        <v>747</v>
      </c>
      <c r="E702" s="40">
        <f t="shared" ca="1" si="52"/>
        <v>0</v>
      </c>
      <c r="F702" s="23">
        <f t="shared" ca="1" si="53"/>
        <v>31</v>
      </c>
      <c r="G702" s="40">
        <f t="shared" ca="1" si="54"/>
        <v>0</v>
      </c>
    </row>
    <row r="703" spans="1:7" x14ac:dyDescent="0.25">
      <c r="A703" s="17">
        <f t="shared" si="50"/>
        <v>81</v>
      </c>
      <c r="B703" t="str">
        <f ca="1">TEXT(DATE(YEAR(Invoer!$A$5),1,1)+INT((ROWS(B$2:B703)-1)/3),"jjjjmmdd")</f>
        <v>19430822</v>
      </c>
      <c r="C703" s="35" t="str">
        <f>INDEX(Data,2,2+MOD(ROWS(C$2:C703)-1,3))</f>
        <v>19.45</v>
      </c>
      <c r="D703" s="23">
        <f t="shared" ca="1" si="51"/>
        <v>748</v>
      </c>
      <c r="E703" s="40">
        <f t="shared" ca="1" si="52"/>
        <v>0</v>
      </c>
      <c r="F703" s="23">
        <f t="shared" ca="1" si="53"/>
        <v>29</v>
      </c>
      <c r="G703" s="40">
        <f t="shared" ca="1" si="54"/>
        <v>0</v>
      </c>
    </row>
    <row r="704" spans="1:7" x14ac:dyDescent="0.25">
      <c r="A704" s="17">
        <f t="shared" si="50"/>
        <v>81</v>
      </c>
      <c r="B704" t="str">
        <f ca="1">TEXT(DATE(YEAR(Invoer!$A$5),1,1)+INT((ROWS(B$2:B704)-1)/3),"jjjjmmdd")</f>
        <v>19430823</v>
      </c>
      <c r="C704" s="35" t="str">
        <f>INDEX(Data,2,2+MOD(ROWS(C$2:C704)-1,3))</f>
        <v>07.45</v>
      </c>
      <c r="D704" s="23">
        <f t="shared" ca="1" si="51"/>
        <v>749</v>
      </c>
      <c r="E704" s="40">
        <f t="shared" ca="1" si="52"/>
        <v>0</v>
      </c>
      <c r="F704" s="23">
        <f t="shared" ca="1" si="53"/>
        <v>27</v>
      </c>
      <c r="G704" s="40">
        <f t="shared" ca="1" si="54"/>
        <v>0</v>
      </c>
    </row>
    <row r="705" spans="1:7" x14ac:dyDescent="0.25">
      <c r="A705" s="17">
        <f t="shared" si="50"/>
        <v>81</v>
      </c>
      <c r="B705" t="str">
        <f ca="1">TEXT(DATE(YEAR(Invoer!$A$5),1,1)+INT((ROWS(B$2:B705)-1)/3),"jjjjmmdd")</f>
        <v>19430823</v>
      </c>
      <c r="C705" s="35" t="str">
        <f>INDEX(Data,2,2+MOD(ROWS(C$2:C705)-1,3))</f>
        <v>13.45</v>
      </c>
      <c r="D705" s="23">
        <f t="shared" ca="1" si="51"/>
        <v>748</v>
      </c>
      <c r="E705" s="40">
        <f t="shared" ca="1" si="52"/>
        <v>0</v>
      </c>
      <c r="F705" s="23">
        <f t="shared" ca="1" si="53"/>
        <v>31</v>
      </c>
      <c r="G705" s="40">
        <f t="shared" ca="1" si="54"/>
        <v>0</v>
      </c>
    </row>
    <row r="706" spans="1:7" x14ac:dyDescent="0.25">
      <c r="A706" s="17">
        <f t="shared" ref="A706:A769" si="55">INDEX(Stations,2,1)</f>
        <v>81</v>
      </c>
      <c r="B706" t="str">
        <f ca="1">TEXT(DATE(YEAR(Invoer!$A$5),1,1)+INT((ROWS(B$2:B706)-1)/3),"jjjjmmdd")</f>
        <v>19430823</v>
      </c>
      <c r="C706" s="35" t="str">
        <f>INDEX(Data,2,2+MOD(ROWS(C$2:C706)-1,3))</f>
        <v>19.45</v>
      </c>
      <c r="D706" s="23">
        <f t="shared" ref="D706:D769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749</v>
      </c>
      <c r="E706" s="40">
        <f t="shared" ref="E706:E769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23">
        <f t="shared" ref="F706:F769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)</f>
        <v>29</v>
      </c>
      <c r="G706" s="40">
        <f t="shared" ref="G706:G769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7">
        <f t="shared" si="55"/>
        <v>81</v>
      </c>
      <c r="B707" t="str">
        <f ca="1">TEXT(DATE(YEAR(Invoer!$A$5),1,1)+INT((ROWS(B$2:B707)-1)/3),"jjjjmmdd")</f>
        <v>19430824</v>
      </c>
      <c r="C707" s="35" t="str">
        <f>INDEX(Data,2,2+MOD(ROWS(C$2:C707)-1,3))</f>
        <v>07.45</v>
      </c>
      <c r="D707" s="23">
        <f t="shared" ca="1" si="56"/>
        <v>750</v>
      </c>
      <c r="E707" s="40">
        <f t="shared" ca="1" si="57"/>
        <v>0</v>
      </c>
      <c r="F707" s="23">
        <f t="shared" ca="1" si="58"/>
        <v>28</v>
      </c>
      <c r="G707" s="40">
        <f t="shared" ca="1" si="59"/>
        <v>0</v>
      </c>
    </row>
    <row r="708" spans="1:7" x14ac:dyDescent="0.25">
      <c r="A708" s="17">
        <f t="shared" si="55"/>
        <v>81</v>
      </c>
      <c r="B708" t="str">
        <f ca="1">TEXT(DATE(YEAR(Invoer!$A$5),1,1)+INT((ROWS(B$2:B708)-1)/3),"jjjjmmdd")</f>
        <v>19430824</v>
      </c>
      <c r="C708" s="35" t="str">
        <f>INDEX(Data,2,2+MOD(ROWS(C$2:C708)-1,3))</f>
        <v>13.45</v>
      </c>
      <c r="D708" s="23">
        <f t="shared" ca="1" si="56"/>
        <v>749</v>
      </c>
      <c r="E708" s="40">
        <f t="shared" ca="1" si="57"/>
        <v>0</v>
      </c>
      <c r="F708" s="23">
        <f t="shared" ca="1" si="58"/>
        <v>33</v>
      </c>
      <c r="G708" s="40">
        <f t="shared" ca="1" si="59"/>
        <v>0</v>
      </c>
    </row>
    <row r="709" spans="1:7" x14ac:dyDescent="0.25">
      <c r="A709" s="17">
        <f t="shared" si="55"/>
        <v>81</v>
      </c>
      <c r="B709" t="str">
        <f ca="1">TEXT(DATE(YEAR(Invoer!$A$5),1,1)+INT((ROWS(B$2:B709)-1)/3),"jjjjmmdd")</f>
        <v>19430824</v>
      </c>
      <c r="C709" s="35" t="str">
        <f>INDEX(Data,2,2+MOD(ROWS(C$2:C709)-1,3))</f>
        <v>19.45</v>
      </c>
      <c r="D709" s="23">
        <f t="shared" ca="1" si="56"/>
        <v>750</v>
      </c>
      <c r="E709" s="40">
        <f t="shared" ca="1" si="57"/>
        <v>0</v>
      </c>
      <c r="F709" s="23">
        <f t="shared" ca="1" si="58"/>
        <v>29</v>
      </c>
      <c r="G709" s="40">
        <f t="shared" ca="1" si="59"/>
        <v>0</v>
      </c>
    </row>
    <row r="710" spans="1:7" x14ac:dyDescent="0.25">
      <c r="A710" s="17">
        <f t="shared" si="55"/>
        <v>81</v>
      </c>
      <c r="B710" t="str">
        <f ca="1">TEXT(DATE(YEAR(Invoer!$A$5),1,1)+INT((ROWS(B$2:B710)-1)/3),"jjjjmmdd")</f>
        <v>19430825</v>
      </c>
      <c r="C710" s="35" t="str">
        <f>INDEX(Data,2,2+MOD(ROWS(C$2:C710)-1,3))</f>
        <v>07.45</v>
      </c>
      <c r="D710" s="23">
        <f t="shared" ca="1" si="56"/>
        <v>750</v>
      </c>
      <c r="E710" s="40">
        <f t="shared" ca="1" si="57"/>
        <v>0</v>
      </c>
      <c r="F710" s="23">
        <f t="shared" ca="1" si="58"/>
        <v>27.5</v>
      </c>
      <c r="G710" s="40">
        <f t="shared" ca="1" si="59"/>
        <v>0</v>
      </c>
    </row>
    <row r="711" spans="1:7" x14ac:dyDescent="0.25">
      <c r="A711" s="17">
        <f t="shared" si="55"/>
        <v>81</v>
      </c>
      <c r="B711" t="str">
        <f ca="1">TEXT(DATE(YEAR(Invoer!$A$5),1,1)+INT((ROWS(B$2:B711)-1)/3),"jjjjmmdd")</f>
        <v>19430825</v>
      </c>
      <c r="C711" s="35" t="str">
        <f>INDEX(Data,2,2+MOD(ROWS(C$2:C711)-1,3))</f>
        <v>13.45</v>
      </c>
      <c r="D711" s="23">
        <f t="shared" ca="1" si="56"/>
        <v>750</v>
      </c>
      <c r="E711" s="40">
        <f t="shared" ca="1" si="57"/>
        <v>0</v>
      </c>
      <c r="F711" s="23">
        <f t="shared" ca="1" si="58"/>
        <v>32</v>
      </c>
      <c r="G711" s="40">
        <f t="shared" ca="1" si="59"/>
        <v>0</v>
      </c>
    </row>
    <row r="712" spans="1:7" x14ac:dyDescent="0.25">
      <c r="A712" s="17">
        <f t="shared" si="55"/>
        <v>81</v>
      </c>
      <c r="B712" t="str">
        <f ca="1">TEXT(DATE(YEAR(Invoer!$A$5),1,1)+INT((ROWS(B$2:B712)-1)/3),"jjjjmmdd")</f>
        <v>19430825</v>
      </c>
      <c r="C712" s="35" t="str">
        <f>INDEX(Data,2,2+MOD(ROWS(C$2:C712)-1,3))</f>
        <v>19.45</v>
      </c>
      <c r="D712" s="23">
        <f t="shared" ca="1" si="56"/>
        <v>750</v>
      </c>
      <c r="E712" s="40">
        <f t="shared" ca="1" si="57"/>
        <v>0</v>
      </c>
      <c r="F712" s="23">
        <f t="shared" ca="1" si="58"/>
        <v>28.5</v>
      </c>
      <c r="G712" s="40">
        <f t="shared" ca="1" si="59"/>
        <v>0</v>
      </c>
    </row>
    <row r="713" spans="1:7" x14ac:dyDescent="0.25">
      <c r="A713" s="17">
        <f t="shared" si="55"/>
        <v>81</v>
      </c>
      <c r="B713" t="str">
        <f ca="1">TEXT(DATE(YEAR(Invoer!$A$5),1,1)+INT((ROWS(B$2:B713)-1)/3),"jjjjmmdd")</f>
        <v>19430826</v>
      </c>
      <c r="C713" s="35" t="str">
        <f>INDEX(Data,2,2+MOD(ROWS(C$2:C713)-1,3))</f>
        <v>07.45</v>
      </c>
      <c r="D713" s="23">
        <f t="shared" ca="1" si="56"/>
        <v>751</v>
      </c>
      <c r="E713" s="40">
        <f t="shared" ca="1" si="57"/>
        <v>0</v>
      </c>
      <c r="F713" s="23">
        <f t="shared" ca="1" si="58"/>
        <v>26</v>
      </c>
      <c r="G713" s="40">
        <f t="shared" ca="1" si="59"/>
        <v>0</v>
      </c>
    </row>
    <row r="714" spans="1:7" x14ac:dyDescent="0.25">
      <c r="A714" s="17">
        <f t="shared" si="55"/>
        <v>81</v>
      </c>
      <c r="B714" t="str">
        <f ca="1">TEXT(DATE(YEAR(Invoer!$A$5),1,1)+INT((ROWS(B$2:B714)-1)/3),"jjjjmmdd")</f>
        <v>19430826</v>
      </c>
      <c r="C714" s="35" t="str">
        <f>INDEX(Data,2,2+MOD(ROWS(C$2:C714)-1,3))</f>
        <v>13.45</v>
      </c>
      <c r="D714" s="23">
        <f t="shared" ca="1" si="56"/>
        <v>750</v>
      </c>
      <c r="E714" s="40">
        <f t="shared" ca="1" si="57"/>
        <v>0</v>
      </c>
      <c r="F714" s="23">
        <f t="shared" ca="1" si="58"/>
        <v>29</v>
      </c>
      <c r="G714" s="40">
        <f t="shared" ca="1" si="59"/>
        <v>0</v>
      </c>
    </row>
    <row r="715" spans="1:7" x14ac:dyDescent="0.25">
      <c r="A715" s="17">
        <f t="shared" si="55"/>
        <v>81</v>
      </c>
      <c r="B715" t="str">
        <f ca="1">TEXT(DATE(YEAR(Invoer!$A$5),1,1)+INT((ROWS(B$2:B715)-1)/3),"jjjjmmdd")</f>
        <v>19430826</v>
      </c>
      <c r="C715" s="35" t="str">
        <f>INDEX(Data,2,2+MOD(ROWS(C$2:C715)-1,3))</f>
        <v>19.45</v>
      </c>
      <c r="D715" s="23">
        <f t="shared" ca="1" si="56"/>
        <v>751</v>
      </c>
      <c r="E715" s="40">
        <f t="shared" ca="1" si="57"/>
        <v>0</v>
      </c>
      <c r="F715" s="23">
        <f t="shared" ca="1" si="58"/>
        <v>26.5</v>
      </c>
      <c r="G715" s="40">
        <f t="shared" ca="1" si="59"/>
        <v>0</v>
      </c>
    </row>
    <row r="716" spans="1:7" x14ac:dyDescent="0.25">
      <c r="A716" s="17">
        <f t="shared" si="55"/>
        <v>81</v>
      </c>
      <c r="B716" t="str">
        <f ca="1">TEXT(DATE(YEAR(Invoer!$A$5),1,1)+INT((ROWS(B$2:B716)-1)/3),"jjjjmmdd")</f>
        <v>19430827</v>
      </c>
      <c r="C716" s="35" t="str">
        <f>INDEX(Data,2,2+MOD(ROWS(C$2:C716)-1,3))</f>
        <v>07.45</v>
      </c>
      <c r="D716" s="23">
        <f t="shared" ca="1" si="56"/>
        <v>751</v>
      </c>
      <c r="E716" s="40">
        <f t="shared" ca="1" si="57"/>
        <v>0</v>
      </c>
      <c r="F716" s="23">
        <f t="shared" ca="1" si="58"/>
        <v>26</v>
      </c>
      <c r="G716" s="40">
        <f t="shared" ca="1" si="59"/>
        <v>0</v>
      </c>
    </row>
    <row r="717" spans="1:7" x14ac:dyDescent="0.25">
      <c r="A717" s="17">
        <f t="shared" si="55"/>
        <v>81</v>
      </c>
      <c r="B717" t="str">
        <f ca="1">TEXT(DATE(YEAR(Invoer!$A$5),1,1)+INT((ROWS(B$2:B717)-1)/3),"jjjjmmdd")</f>
        <v>19430827</v>
      </c>
      <c r="C717" s="35" t="str">
        <f>INDEX(Data,2,2+MOD(ROWS(C$2:C717)-1,3))</f>
        <v>13.45</v>
      </c>
      <c r="D717" s="23">
        <f t="shared" ca="1" si="56"/>
        <v>751</v>
      </c>
      <c r="E717" s="40">
        <f t="shared" ca="1" si="57"/>
        <v>0</v>
      </c>
      <c r="F717" s="23">
        <f t="shared" ca="1" si="58"/>
        <v>31</v>
      </c>
      <c r="G717" s="40">
        <f t="shared" ca="1" si="59"/>
        <v>0</v>
      </c>
    </row>
    <row r="718" spans="1:7" x14ac:dyDescent="0.25">
      <c r="A718" s="17">
        <f t="shared" si="55"/>
        <v>81</v>
      </c>
      <c r="B718" t="str">
        <f ca="1">TEXT(DATE(YEAR(Invoer!$A$5),1,1)+INT((ROWS(B$2:B718)-1)/3),"jjjjmmdd")</f>
        <v>19430827</v>
      </c>
      <c r="C718" s="35" t="str">
        <f>INDEX(Data,2,2+MOD(ROWS(C$2:C718)-1,3))</f>
        <v>19.45</v>
      </c>
      <c r="D718" s="23">
        <f t="shared" ca="1" si="56"/>
        <v>751</v>
      </c>
      <c r="E718" s="40">
        <f t="shared" ca="1" si="57"/>
        <v>0</v>
      </c>
      <c r="F718" s="23">
        <f t="shared" ca="1" si="58"/>
        <v>28</v>
      </c>
      <c r="G718" s="40">
        <f t="shared" ca="1" si="59"/>
        <v>0</v>
      </c>
    </row>
    <row r="719" spans="1:7" x14ac:dyDescent="0.25">
      <c r="A719" s="17">
        <f t="shared" si="55"/>
        <v>81</v>
      </c>
      <c r="B719" t="str">
        <f ca="1">TEXT(DATE(YEAR(Invoer!$A$5),1,1)+INT((ROWS(B$2:B719)-1)/3),"jjjjmmdd")</f>
        <v>19430828</v>
      </c>
      <c r="C719" s="35" t="str">
        <f>INDEX(Data,2,2+MOD(ROWS(C$2:C719)-1,3))</f>
        <v>07.45</v>
      </c>
      <c r="D719" s="23">
        <f t="shared" ca="1" si="56"/>
        <v>751</v>
      </c>
      <c r="E719" s="40">
        <f t="shared" ca="1" si="57"/>
        <v>0</v>
      </c>
      <c r="F719" s="23">
        <f t="shared" ca="1" si="58"/>
        <v>26.5</v>
      </c>
      <c r="G719" s="40">
        <f t="shared" ca="1" si="59"/>
        <v>0</v>
      </c>
    </row>
    <row r="720" spans="1:7" x14ac:dyDescent="0.25">
      <c r="A720" s="17">
        <f t="shared" si="55"/>
        <v>81</v>
      </c>
      <c r="B720" t="str">
        <f ca="1">TEXT(DATE(YEAR(Invoer!$A$5),1,1)+INT((ROWS(B$2:B720)-1)/3),"jjjjmmdd")</f>
        <v>19430828</v>
      </c>
      <c r="C720" s="35" t="str">
        <f>INDEX(Data,2,2+MOD(ROWS(C$2:C720)-1,3))</f>
        <v>13.45</v>
      </c>
      <c r="D720" s="23">
        <f t="shared" ca="1" si="56"/>
        <v>751</v>
      </c>
      <c r="E720" s="40">
        <f t="shared" ca="1" si="57"/>
        <v>0</v>
      </c>
      <c r="F720" s="23">
        <f t="shared" ca="1" si="58"/>
        <v>31.5</v>
      </c>
      <c r="G720" s="40">
        <f t="shared" ca="1" si="59"/>
        <v>0</v>
      </c>
    </row>
    <row r="721" spans="1:7" x14ac:dyDescent="0.25">
      <c r="A721" s="17">
        <f t="shared" si="55"/>
        <v>81</v>
      </c>
      <c r="B721" t="str">
        <f ca="1">TEXT(DATE(YEAR(Invoer!$A$5),1,1)+INT((ROWS(B$2:B721)-1)/3),"jjjjmmdd")</f>
        <v>19430828</v>
      </c>
      <c r="C721" s="35" t="str">
        <f>INDEX(Data,2,2+MOD(ROWS(C$2:C721)-1,3))</f>
        <v>19.45</v>
      </c>
      <c r="D721" s="23">
        <f t="shared" ca="1" si="56"/>
        <v>751</v>
      </c>
      <c r="E721" s="40">
        <f t="shared" ca="1" si="57"/>
        <v>0</v>
      </c>
      <c r="F721" s="23">
        <f t="shared" ca="1" si="58"/>
        <v>27</v>
      </c>
      <c r="G721" s="40">
        <f t="shared" ca="1" si="59"/>
        <v>0</v>
      </c>
    </row>
    <row r="722" spans="1:7" x14ac:dyDescent="0.25">
      <c r="A722" s="17">
        <f t="shared" si="55"/>
        <v>81</v>
      </c>
      <c r="B722" t="str">
        <f ca="1">TEXT(DATE(YEAR(Invoer!$A$5),1,1)+INT((ROWS(B$2:B722)-1)/3),"jjjjmmdd")</f>
        <v>19430829</v>
      </c>
      <c r="C722" s="35" t="str">
        <f>INDEX(Data,2,2+MOD(ROWS(C$2:C722)-1,3))</f>
        <v>07.45</v>
      </c>
      <c r="D722" s="23">
        <f t="shared" ca="1" si="56"/>
        <v>751</v>
      </c>
      <c r="E722" s="40">
        <f t="shared" ca="1" si="57"/>
        <v>0</v>
      </c>
      <c r="F722" s="23">
        <f t="shared" ca="1" si="58"/>
        <v>27</v>
      </c>
      <c r="G722" s="40">
        <f t="shared" ca="1" si="59"/>
        <v>0</v>
      </c>
    </row>
    <row r="723" spans="1:7" x14ac:dyDescent="0.25">
      <c r="A723" s="17">
        <f t="shared" si="55"/>
        <v>81</v>
      </c>
      <c r="B723" t="str">
        <f ca="1">TEXT(DATE(YEAR(Invoer!$A$5),1,1)+INT((ROWS(B$2:B723)-1)/3),"jjjjmmdd")</f>
        <v>19430829</v>
      </c>
      <c r="C723" s="35" t="str">
        <f>INDEX(Data,2,2+MOD(ROWS(C$2:C723)-1,3))</f>
        <v>13.45</v>
      </c>
      <c r="D723" s="23">
        <f t="shared" ca="1" si="56"/>
        <v>752</v>
      </c>
      <c r="E723" s="40">
        <f t="shared" ca="1" si="57"/>
        <v>0</v>
      </c>
      <c r="F723" s="23">
        <f t="shared" ca="1" si="58"/>
        <v>31</v>
      </c>
      <c r="G723" s="40">
        <f t="shared" ca="1" si="59"/>
        <v>0</v>
      </c>
    </row>
    <row r="724" spans="1:7" x14ac:dyDescent="0.25">
      <c r="A724" s="17">
        <f t="shared" si="55"/>
        <v>81</v>
      </c>
      <c r="B724" t="str">
        <f ca="1">TEXT(DATE(YEAR(Invoer!$A$5),1,1)+INT((ROWS(B$2:B724)-1)/3),"jjjjmmdd")</f>
        <v>19430829</v>
      </c>
      <c r="C724" s="35" t="str">
        <f>INDEX(Data,2,2+MOD(ROWS(C$2:C724)-1,3))</f>
        <v>19.45</v>
      </c>
      <c r="D724" s="23">
        <f t="shared" ca="1" si="56"/>
        <v>751</v>
      </c>
      <c r="E724" s="40">
        <f t="shared" ca="1" si="57"/>
        <v>0</v>
      </c>
      <c r="F724" s="23">
        <f t="shared" ca="1" si="58"/>
        <v>29</v>
      </c>
      <c r="G724" s="40">
        <f t="shared" ca="1" si="59"/>
        <v>0</v>
      </c>
    </row>
    <row r="725" spans="1:7" x14ac:dyDescent="0.25">
      <c r="A725" s="17">
        <f t="shared" si="55"/>
        <v>81</v>
      </c>
      <c r="B725" t="str">
        <f ca="1">TEXT(DATE(YEAR(Invoer!$A$5),1,1)+INT((ROWS(B$2:B725)-1)/3),"jjjjmmdd")</f>
        <v>19430830</v>
      </c>
      <c r="C725" s="35" t="str">
        <f>INDEX(Data,2,2+MOD(ROWS(C$2:C725)-1,3))</f>
        <v>07.45</v>
      </c>
      <c r="D725" s="23" t="str">
        <f t="shared" ca="1" si="56"/>
        <v>—</v>
      </c>
      <c r="E725" s="40">
        <f t="shared" ca="1" si="57"/>
        <v>7</v>
      </c>
      <c r="F725" s="23">
        <f t="shared" ca="1" si="58"/>
        <v>26.5</v>
      </c>
      <c r="G725" s="40">
        <f t="shared" ca="1" si="59"/>
        <v>0</v>
      </c>
    </row>
    <row r="726" spans="1:7" x14ac:dyDescent="0.25">
      <c r="A726" s="17">
        <f t="shared" si="55"/>
        <v>81</v>
      </c>
      <c r="B726" t="str">
        <f ca="1">TEXT(DATE(YEAR(Invoer!$A$5),1,1)+INT((ROWS(B$2:B726)-1)/3),"jjjjmmdd")</f>
        <v>19430830</v>
      </c>
      <c r="C726" s="35" t="str">
        <f>INDEX(Data,2,2+MOD(ROWS(C$2:C726)-1,3))</f>
        <v>13.45</v>
      </c>
      <c r="D726" s="23" t="str">
        <f t="shared" ca="1" si="56"/>
        <v>—</v>
      </c>
      <c r="E726" s="40">
        <f t="shared" ca="1" si="57"/>
        <v>7</v>
      </c>
      <c r="F726" s="23">
        <f t="shared" ca="1" si="58"/>
        <v>31</v>
      </c>
      <c r="G726" s="40">
        <f t="shared" ca="1" si="59"/>
        <v>0</v>
      </c>
    </row>
    <row r="727" spans="1:7" x14ac:dyDescent="0.25">
      <c r="A727" s="17">
        <f t="shared" si="55"/>
        <v>81</v>
      </c>
      <c r="B727" t="str">
        <f ca="1">TEXT(DATE(YEAR(Invoer!$A$5),1,1)+INT((ROWS(B$2:B727)-1)/3),"jjjjmmdd")</f>
        <v>19430830</v>
      </c>
      <c r="C727" s="35" t="str">
        <f>INDEX(Data,2,2+MOD(ROWS(C$2:C727)-1,3))</f>
        <v>19.45</v>
      </c>
      <c r="D727" s="23" t="str">
        <f t="shared" ca="1" si="56"/>
        <v>—</v>
      </c>
      <c r="E727" s="40">
        <f t="shared" ca="1" si="57"/>
        <v>7</v>
      </c>
      <c r="F727" s="23">
        <f t="shared" ca="1" si="58"/>
        <v>29.5</v>
      </c>
      <c r="G727" s="40">
        <f t="shared" ca="1" si="59"/>
        <v>0</v>
      </c>
    </row>
    <row r="728" spans="1:7" x14ac:dyDescent="0.25">
      <c r="A728" s="17">
        <f t="shared" si="55"/>
        <v>81</v>
      </c>
      <c r="B728" t="str">
        <f ca="1">TEXT(DATE(YEAR(Invoer!$A$5),1,1)+INT((ROWS(B$2:B728)-1)/3),"jjjjmmdd")</f>
        <v>19430831</v>
      </c>
      <c r="C728" s="35" t="str">
        <f>INDEX(Data,2,2+MOD(ROWS(C$2:C728)-1,3))</f>
        <v>07.45</v>
      </c>
      <c r="D728" s="23" t="str">
        <f t="shared" ca="1" si="56"/>
        <v>—</v>
      </c>
      <c r="E728" s="40">
        <f t="shared" ca="1" si="57"/>
        <v>7</v>
      </c>
      <c r="F728" s="23">
        <f t="shared" ca="1" si="58"/>
        <v>27</v>
      </c>
      <c r="G728" s="40">
        <f t="shared" ca="1" si="59"/>
        <v>0</v>
      </c>
    </row>
    <row r="729" spans="1:7" x14ac:dyDescent="0.25">
      <c r="A729" s="17">
        <f t="shared" si="55"/>
        <v>81</v>
      </c>
      <c r="B729" t="str">
        <f ca="1">TEXT(DATE(YEAR(Invoer!$A$5),1,1)+INT((ROWS(B$2:B729)-1)/3),"jjjjmmdd")</f>
        <v>19430831</v>
      </c>
      <c r="C729" s="35" t="str">
        <f>INDEX(Data,2,2+MOD(ROWS(C$2:C729)-1,3))</f>
        <v>13.45</v>
      </c>
      <c r="D729" s="23" t="str">
        <f t="shared" ca="1" si="56"/>
        <v>—</v>
      </c>
      <c r="E729" s="40">
        <f t="shared" ca="1" si="57"/>
        <v>7</v>
      </c>
      <c r="F729" s="23">
        <f t="shared" ca="1" si="58"/>
        <v>31.5</v>
      </c>
      <c r="G729" s="40">
        <f t="shared" ca="1" si="59"/>
        <v>0</v>
      </c>
    </row>
    <row r="730" spans="1:7" x14ac:dyDescent="0.25">
      <c r="A730" s="17">
        <f t="shared" si="55"/>
        <v>81</v>
      </c>
      <c r="B730" t="str">
        <f ca="1">TEXT(DATE(YEAR(Invoer!$A$5),1,1)+INT((ROWS(B$2:B730)-1)/3),"jjjjmmdd")</f>
        <v>19430831</v>
      </c>
      <c r="C730" s="35" t="str">
        <f>INDEX(Data,2,2+MOD(ROWS(C$2:C730)-1,3))</f>
        <v>19.45</v>
      </c>
      <c r="D730" s="23" t="str">
        <f t="shared" ca="1" si="56"/>
        <v>—</v>
      </c>
      <c r="E730" s="40">
        <f t="shared" ca="1" si="57"/>
        <v>7</v>
      </c>
      <c r="F730" s="23">
        <f t="shared" ca="1" si="58"/>
        <v>29</v>
      </c>
      <c r="G730" s="40">
        <f t="shared" ca="1" si="59"/>
        <v>0</v>
      </c>
    </row>
    <row r="731" spans="1:7" x14ac:dyDescent="0.25">
      <c r="A731" s="17">
        <f t="shared" si="55"/>
        <v>81</v>
      </c>
      <c r="B731" t="str">
        <f ca="1">TEXT(DATE(YEAR(Invoer!$A$5),1,1)+INT((ROWS(B$2:B731)-1)/3),"jjjjmmdd")</f>
        <v>19430901</v>
      </c>
      <c r="C731" s="35" t="str">
        <f>INDEX(Data,2,2+MOD(ROWS(C$2:C731)-1,3))</f>
        <v>07.45</v>
      </c>
      <c r="D731" s="23" t="str">
        <f t="shared" ca="1" si="56"/>
        <v>—</v>
      </c>
      <c r="E731" s="40">
        <f t="shared" ca="1" si="57"/>
        <v>7</v>
      </c>
      <c r="F731" s="23" t="str">
        <f t="shared" ca="1" si="58"/>
        <v>—</v>
      </c>
      <c r="G731" s="40">
        <f t="shared" ca="1" si="59"/>
        <v>7</v>
      </c>
    </row>
    <row r="732" spans="1:7" x14ac:dyDescent="0.25">
      <c r="A732" s="17">
        <f t="shared" si="55"/>
        <v>81</v>
      </c>
      <c r="B732" t="str">
        <f ca="1">TEXT(DATE(YEAR(Invoer!$A$5),1,1)+INT((ROWS(B$2:B732)-1)/3),"jjjjmmdd")</f>
        <v>19430901</v>
      </c>
      <c r="C732" s="35" t="str">
        <f>INDEX(Data,2,2+MOD(ROWS(C$2:C732)-1,3))</f>
        <v>13.45</v>
      </c>
      <c r="D732" s="23" t="str">
        <f t="shared" ca="1" si="56"/>
        <v>—</v>
      </c>
      <c r="E732" s="40">
        <f t="shared" ca="1" si="57"/>
        <v>7</v>
      </c>
      <c r="F732" s="23" t="str">
        <f t="shared" ca="1" si="58"/>
        <v>—</v>
      </c>
      <c r="G732" s="40">
        <f t="shared" ca="1" si="59"/>
        <v>7</v>
      </c>
    </row>
    <row r="733" spans="1:7" x14ac:dyDescent="0.25">
      <c r="A733" s="17">
        <f t="shared" si="55"/>
        <v>81</v>
      </c>
      <c r="B733" t="str">
        <f ca="1">TEXT(DATE(YEAR(Invoer!$A$5),1,1)+INT((ROWS(B$2:B733)-1)/3),"jjjjmmdd")</f>
        <v>19430901</v>
      </c>
      <c r="C733" s="35" t="str">
        <f>INDEX(Data,2,2+MOD(ROWS(C$2:C733)-1,3))</f>
        <v>19.45</v>
      </c>
      <c r="D733" s="23" t="str">
        <f t="shared" ca="1" si="56"/>
        <v>—</v>
      </c>
      <c r="E733" s="40">
        <f t="shared" ca="1" si="57"/>
        <v>7</v>
      </c>
      <c r="F733" s="23" t="str">
        <f t="shared" ca="1" si="58"/>
        <v>—</v>
      </c>
      <c r="G733" s="40">
        <f t="shared" ca="1" si="59"/>
        <v>7</v>
      </c>
    </row>
    <row r="734" spans="1:7" x14ac:dyDescent="0.25">
      <c r="A734" s="17">
        <f t="shared" si="55"/>
        <v>81</v>
      </c>
      <c r="B734" t="str">
        <f ca="1">TEXT(DATE(YEAR(Invoer!$A$5),1,1)+INT((ROWS(B$2:B734)-1)/3),"jjjjmmdd")</f>
        <v>19430902</v>
      </c>
      <c r="C734" s="35" t="str">
        <f>INDEX(Data,2,2+MOD(ROWS(C$2:C734)-1,3))</f>
        <v>07.45</v>
      </c>
      <c r="D734" s="23" t="str">
        <f t="shared" ca="1" si="56"/>
        <v>—</v>
      </c>
      <c r="E734" s="40">
        <f t="shared" ca="1" si="57"/>
        <v>7</v>
      </c>
      <c r="F734" s="23" t="str">
        <f t="shared" ca="1" si="58"/>
        <v>—</v>
      </c>
      <c r="G734" s="40">
        <f t="shared" ca="1" si="59"/>
        <v>7</v>
      </c>
    </row>
    <row r="735" spans="1:7" x14ac:dyDescent="0.25">
      <c r="A735" s="17">
        <f t="shared" si="55"/>
        <v>81</v>
      </c>
      <c r="B735" t="str">
        <f ca="1">TEXT(DATE(YEAR(Invoer!$A$5),1,1)+INT((ROWS(B$2:B735)-1)/3),"jjjjmmdd")</f>
        <v>19430902</v>
      </c>
      <c r="C735" s="35" t="str">
        <f>INDEX(Data,2,2+MOD(ROWS(C$2:C735)-1,3))</f>
        <v>13.45</v>
      </c>
      <c r="D735" s="23" t="str">
        <f t="shared" ca="1" si="56"/>
        <v>—</v>
      </c>
      <c r="E735" s="40">
        <f t="shared" ca="1" si="57"/>
        <v>7</v>
      </c>
      <c r="F735" s="23" t="str">
        <f t="shared" ca="1" si="58"/>
        <v>—</v>
      </c>
      <c r="G735" s="40">
        <f t="shared" ca="1" si="59"/>
        <v>7</v>
      </c>
    </row>
    <row r="736" spans="1:7" x14ac:dyDescent="0.25">
      <c r="A736" s="17">
        <f t="shared" si="55"/>
        <v>81</v>
      </c>
      <c r="B736" t="str">
        <f ca="1">TEXT(DATE(YEAR(Invoer!$A$5),1,1)+INT((ROWS(B$2:B736)-1)/3),"jjjjmmdd")</f>
        <v>19430902</v>
      </c>
      <c r="C736" s="35" t="str">
        <f>INDEX(Data,2,2+MOD(ROWS(C$2:C736)-1,3))</f>
        <v>19.45</v>
      </c>
      <c r="D736" s="23" t="str">
        <f t="shared" ca="1" si="56"/>
        <v>—</v>
      </c>
      <c r="E736" s="40">
        <f t="shared" ca="1" si="57"/>
        <v>7</v>
      </c>
      <c r="F736" s="23" t="str">
        <f t="shared" ca="1" si="58"/>
        <v>—</v>
      </c>
      <c r="G736" s="40">
        <f t="shared" ca="1" si="59"/>
        <v>7</v>
      </c>
    </row>
    <row r="737" spans="1:7" x14ac:dyDescent="0.25">
      <c r="A737" s="17">
        <f t="shared" si="55"/>
        <v>81</v>
      </c>
      <c r="B737" t="str">
        <f ca="1">TEXT(DATE(YEAR(Invoer!$A$5),1,1)+INT((ROWS(B$2:B737)-1)/3),"jjjjmmdd")</f>
        <v>19430903</v>
      </c>
      <c r="C737" s="35" t="str">
        <f>INDEX(Data,2,2+MOD(ROWS(C$2:C737)-1,3))</f>
        <v>07.45</v>
      </c>
      <c r="D737" s="23" t="str">
        <f t="shared" ca="1" si="56"/>
        <v>—</v>
      </c>
      <c r="E737" s="40">
        <f t="shared" ca="1" si="57"/>
        <v>7</v>
      </c>
      <c r="F737" s="23" t="str">
        <f t="shared" ca="1" si="58"/>
        <v>—</v>
      </c>
      <c r="G737" s="40">
        <f t="shared" ca="1" si="59"/>
        <v>7</v>
      </c>
    </row>
    <row r="738" spans="1:7" x14ac:dyDescent="0.25">
      <c r="A738" s="17">
        <f t="shared" si="55"/>
        <v>81</v>
      </c>
      <c r="B738" t="str">
        <f ca="1">TEXT(DATE(YEAR(Invoer!$A$5),1,1)+INT((ROWS(B$2:B738)-1)/3),"jjjjmmdd")</f>
        <v>19430903</v>
      </c>
      <c r="C738" s="35" t="str">
        <f>INDEX(Data,2,2+MOD(ROWS(C$2:C738)-1,3))</f>
        <v>13.45</v>
      </c>
      <c r="D738" s="23" t="str">
        <f t="shared" ca="1" si="56"/>
        <v>—</v>
      </c>
      <c r="E738" s="40">
        <f t="shared" ca="1" si="57"/>
        <v>7</v>
      </c>
      <c r="F738" s="23" t="str">
        <f t="shared" ca="1" si="58"/>
        <v>—</v>
      </c>
      <c r="G738" s="40">
        <f t="shared" ca="1" si="59"/>
        <v>7</v>
      </c>
    </row>
    <row r="739" spans="1:7" x14ac:dyDescent="0.25">
      <c r="A739" s="17">
        <f t="shared" si="55"/>
        <v>81</v>
      </c>
      <c r="B739" t="str">
        <f ca="1">TEXT(DATE(YEAR(Invoer!$A$5),1,1)+INT((ROWS(B$2:B739)-1)/3),"jjjjmmdd")</f>
        <v>19430903</v>
      </c>
      <c r="C739" s="35" t="str">
        <f>INDEX(Data,2,2+MOD(ROWS(C$2:C739)-1,3))</f>
        <v>19.45</v>
      </c>
      <c r="D739" s="23" t="str">
        <f t="shared" ca="1" si="56"/>
        <v>—</v>
      </c>
      <c r="E739" s="40">
        <f t="shared" ca="1" si="57"/>
        <v>7</v>
      </c>
      <c r="F739" s="23" t="str">
        <f t="shared" ca="1" si="58"/>
        <v>—</v>
      </c>
      <c r="G739" s="40">
        <f t="shared" ca="1" si="59"/>
        <v>7</v>
      </c>
    </row>
    <row r="740" spans="1:7" x14ac:dyDescent="0.25">
      <c r="A740" s="17">
        <f t="shared" si="55"/>
        <v>81</v>
      </c>
      <c r="B740" t="str">
        <f ca="1">TEXT(DATE(YEAR(Invoer!$A$5),1,1)+INT((ROWS(B$2:B740)-1)/3),"jjjjmmdd")</f>
        <v>19430904</v>
      </c>
      <c r="C740" s="35" t="str">
        <f>INDEX(Data,2,2+MOD(ROWS(C$2:C740)-1,3))</f>
        <v>07.45</v>
      </c>
      <c r="D740" s="23" t="str">
        <f t="shared" ca="1" si="56"/>
        <v>—</v>
      </c>
      <c r="E740" s="40">
        <f t="shared" ca="1" si="57"/>
        <v>7</v>
      </c>
      <c r="F740" s="23" t="str">
        <f t="shared" ca="1" si="58"/>
        <v>—</v>
      </c>
      <c r="G740" s="40">
        <f t="shared" ca="1" si="59"/>
        <v>7</v>
      </c>
    </row>
    <row r="741" spans="1:7" x14ac:dyDescent="0.25">
      <c r="A741" s="17">
        <f t="shared" si="55"/>
        <v>81</v>
      </c>
      <c r="B741" t="str">
        <f ca="1">TEXT(DATE(YEAR(Invoer!$A$5),1,1)+INT((ROWS(B$2:B741)-1)/3),"jjjjmmdd")</f>
        <v>19430904</v>
      </c>
      <c r="C741" s="35" t="str">
        <f>INDEX(Data,2,2+MOD(ROWS(C$2:C741)-1,3))</f>
        <v>13.45</v>
      </c>
      <c r="D741" s="23" t="str">
        <f t="shared" ca="1" si="56"/>
        <v>—</v>
      </c>
      <c r="E741" s="40">
        <f t="shared" ca="1" si="57"/>
        <v>7</v>
      </c>
      <c r="F741" s="23" t="str">
        <f t="shared" ca="1" si="58"/>
        <v>—</v>
      </c>
      <c r="G741" s="40">
        <f t="shared" ca="1" si="59"/>
        <v>7</v>
      </c>
    </row>
    <row r="742" spans="1:7" x14ac:dyDescent="0.25">
      <c r="A742" s="17">
        <f t="shared" si="55"/>
        <v>81</v>
      </c>
      <c r="B742" t="str">
        <f ca="1">TEXT(DATE(YEAR(Invoer!$A$5),1,1)+INT((ROWS(B$2:B742)-1)/3),"jjjjmmdd")</f>
        <v>19430904</v>
      </c>
      <c r="C742" s="35" t="str">
        <f>INDEX(Data,2,2+MOD(ROWS(C$2:C742)-1,3))</f>
        <v>19.45</v>
      </c>
      <c r="D742" s="23" t="str">
        <f t="shared" ca="1" si="56"/>
        <v>—</v>
      </c>
      <c r="E742" s="40">
        <f t="shared" ca="1" si="57"/>
        <v>7</v>
      </c>
      <c r="F742" s="23" t="str">
        <f t="shared" ca="1" si="58"/>
        <v>—</v>
      </c>
      <c r="G742" s="40">
        <f t="shared" ca="1" si="59"/>
        <v>7</v>
      </c>
    </row>
    <row r="743" spans="1:7" x14ac:dyDescent="0.25">
      <c r="A743" s="17">
        <f t="shared" si="55"/>
        <v>81</v>
      </c>
      <c r="B743" t="str">
        <f ca="1">TEXT(DATE(YEAR(Invoer!$A$5),1,1)+INT((ROWS(B$2:B743)-1)/3),"jjjjmmdd")</f>
        <v>19430905</v>
      </c>
      <c r="C743" s="35" t="str">
        <f>INDEX(Data,2,2+MOD(ROWS(C$2:C743)-1,3))</f>
        <v>07.45</v>
      </c>
      <c r="D743" s="23" t="str">
        <f t="shared" ca="1" si="56"/>
        <v>—</v>
      </c>
      <c r="E743" s="40">
        <f t="shared" ca="1" si="57"/>
        <v>7</v>
      </c>
      <c r="F743" s="23" t="str">
        <f t="shared" ca="1" si="58"/>
        <v>—</v>
      </c>
      <c r="G743" s="40">
        <f t="shared" ca="1" si="59"/>
        <v>7</v>
      </c>
    </row>
    <row r="744" spans="1:7" x14ac:dyDescent="0.25">
      <c r="A744" s="17">
        <f t="shared" si="55"/>
        <v>81</v>
      </c>
      <c r="B744" t="str">
        <f ca="1">TEXT(DATE(YEAR(Invoer!$A$5),1,1)+INT((ROWS(B$2:B744)-1)/3),"jjjjmmdd")</f>
        <v>19430905</v>
      </c>
      <c r="C744" s="35" t="str">
        <f>INDEX(Data,2,2+MOD(ROWS(C$2:C744)-1,3))</f>
        <v>13.45</v>
      </c>
      <c r="D744" s="23" t="str">
        <f t="shared" ca="1" si="56"/>
        <v>—</v>
      </c>
      <c r="E744" s="40">
        <f t="shared" ca="1" si="57"/>
        <v>7</v>
      </c>
      <c r="F744" s="23" t="str">
        <f t="shared" ca="1" si="58"/>
        <v>—</v>
      </c>
      <c r="G744" s="40">
        <f t="shared" ca="1" si="59"/>
        <v>7</v>
      </c>
    </row>
    <row r="745" spans="1:7" x14ac:dyDescent="0.25">
      <c r="A745" s="17">
        <f t="shared" si="55"/>
        <v>81</v>
      </c>
      <c r="B745" t="str">
        <f ca="1">TEXT(DATE(YEAR(Invoer!$A$5),1,1)+INT((ROWS(B$2:B745)-1)/3),"jjjjmmdd")</f>
        <v>19430905</v>
      </c>
      <c r="C745" s="35" t="str">
        <f>INDEX(Data,2,2+MOD(ROWS(C$2:C745)-1,3))</f>
        <v>19.45</v>
      </c>
      <c r="D745" s="23" t="str">
        <f t="shared" ca="1" si="56"/>
        <v>—</v>
      </c>
      <c r="E745" s="40">
        <f t="shared" ca="1" si="57"/>
        <v>7</v>
      </c>
      <c r="F745" s="23" t="str">
        <f t="shared" ca="1" si="58"/>
        <v>—</v>
      </c>
      <c r="G745" s="40">
        <f t="shared" ca="1" si="59"/>
        <v>7</v>
      </c>
    </row>
    <row r="746" spans="1:7" x14ac:dyDescent="0.25">
      <c r="A746" s="17">
        <f t="shared" si="55"/>
        <v>81</v>
      </c>
      <c r="B746" t="str">
        <f ca="1">TEXT(DATE(YEAR(Invoer!$A$5),1,1)+INT((ROWS(B$2:B746)-1)/3),"jjjjmmdd")</f>
        <v>19430906</v>
      </c>
      <c r="C746" s="35" t="str">
        <f>INDEX(Data,2,2+MOD(ROWS(C$2:C746)-1,3))</f>
        <v>07.45</v>
      </c>
      <c r="D746" s="23" t="str">
        <f t="shared" ca="1" si="56"/>
        <v>—</v>
      </c>
      <c r="E746" s="40">
        <f t="shared" ca="1" si="57"/>
        <v>7</v>
      </c>
      <c r="F746" s="23" t="str">
        <f t="shared" ca="1" si="58"/>
        <v>—</v>
      </c>
      <c r="G746" s="40">
        <f t="shared" ca="1" si="59"/>
        <v>7</v>
      </c>
    </row>
    <row r="747" spans="1:7" x14ac:dyDescent="0.25">
      <c r="A747" s="17">
        <f t="shared" si="55"/>
        <v>81</v>
      </c>
      <c r="B747" t="str">
        <f ca="1">TEXT(DATE(YEAR(Invoer!$A$5),1,1)+INT((ROWS(B$2:B747)-1)/3),"jjjjmmdd")</f>
        <v>19430906</v>
      </c>
      <c r="C747" s="35" t="str">
        <f>INDEX(Data,2,2+MOD(ROWS(C$2:C747)-1,3))</f>
        <v>13.45</v>
      </c>
      <c r="D747" s="23" t="str">
        <f t="shared" ca="1" si="56"/>
        <v>—</v>
      </c>
      <c r="E747" s="40">
        <f t="shared" ca="1" si="57"/>
        <v>7</v>
      </c>
      <c r="F747" s="23" t="str">
        <f t="shared" ca="1" si="58"/>
        <v>—</v>
      </c>
      <c r="G747" s="40">
        <f t="shared" ca="1" si="59"/>
        <v>7</v>
      </c>
    </row>
    <row r="748" spans="1:7" x14ac:dyDescent="0.25">
      <c r="A748" s="17">
        <f t="shared" si="55"/>
        <v>81</v>
      </c>
      <c r="B748" t="str">
        <f ca="1">TEXT(DATE(YEAR(Invoer!$A$5),1,1)+INT((ROWS(B$2:B748)-1)/3),"jjjjmmdd")</f>
        <v>19430906</v>
      </c>
      <c r="C748" s="35" t="str">
        <f>INDEX(Data,2,2+MOD(ROWS(C$2:C748)-1,3))</f>
        <v>19.45</v>
      </c>
      <c r="D748" s="23" t="str">
        <f t="shared" ca="1" si="56"/>
        <v>—</v>
      </c>
      <c r="E748" s="40">
        <f t="shared" ca="1" si="57"/>
        <v>7</v>
      </c>
      <c r="F748" s="23" t="str">
        <f t="shared" ca="1" si="58"/>
        <v>—</v>
      </c>
      <c r="G748" s="40">
        <f t="shared" ca="1" si="59"/>
        <v>7</v>
      </c>
    </row>
    <row r="749" spans="1:7" x14ac:dyDescent="0.25">
      <c r="A749" s="17">
        <f t="shared" si="55"/>
        <v>81</v>
      </c>
      <c r="B749" t="str">
        <f ca="1">TEXT(DATE(YEAR(Invoer!$A$5),1,1)+INT((ROWS(B$2:B749)-1)/3),"jjjjmmdd")</f>
        <v>19430907</v>
      </c>
      <c r="C749" s="35" t="str">
        <f>INDEX(Data,2,2+MOD(ROWS(C$2:C749)-1,3))</f>
        <v>07.45</v>
      </c>
      <c r="D749" s="23" t="str">
        <f t="shared" ca="1" si="56"/>
        <v>—</v>
      </c>
      <c r="E749" s="40">
        <f t="shared" ca="1" si="57"/>
        <v>7</v>
      </c>
      <c r="F749" s="23" t="str">
        <f t="shared" ca="1" si="58"/>
        <v>—</v>
      </c>
      <c r="G749" s="40">
        <f t="shared" ca="1" si="59"/>
        <v>7</v>
      </c>
    </row>
    <row r="750" spans="1:7" x14ac:dyDescent="0.25">
      <c r="A750" s="17">
        <f t="shared" si="55"/>
        <v>81</v>
      </c>
      <c r="B750" t="str">
        <f ca="1">TEXT(DATE(YEAR(Invoer!$A$5),1,1)+INT((ROWS(B$2:B750)-1)/3),"jjjjmmdd")</f>
        <v>19430907</v>
      </c>
      <c r="C750" s="35" t="str">
        <f>INDEX(Data,2,2+MOD(ROWS(C$2:C750)-1,3))</f>
        <v>13.45</v>
      </c>
      <c r="D750" s="23" t="str">
        <f t="shared" ca="1" si="56"/>
        <v>—</v>
      </c>
      <c r="E750" s="40">
        <f t="shared" ca="1" si="57"/>
        <v>7</v>
      </c>
      <c r="F750" s="23" t="str">
        <f t="shared" ca="1" si="58"/>
        <v>—</v>
      </c>
      <c r="G750" s="40">
        <f t="shared" ca="1" si="59"/>
        <v>7</v>
      </c>
    </row>
    <row r="751" spans="1:7" x14ac:dyDescent="0.25">
      <c r="A751" s="17">
        <f t="shared" si="55"/>
        <v>81</v>
      </c>
      <c r="B751" t="str">
        <f ca="1">TEXT(DATE(YEAR(Invoer!$A$5),1,1)+INT((ROWS(B$2:B751)-1)/3),"jjjjmmdd")</f>
        <v>19430907</v>
      </c>
      <c r="C751" s="35" t="str">
        <f>INDEX(Data,2,2+MOD(ROWS(C$2:C751)-1,3))</f>
        <v>19.45</v>
      </c>
      <c r="D751" s="23" t="str">
        <f t="shared" ca="1" si="56"/>
        <v>—</v>
      </c>
      <c r="E751" s="40">
        <f t="shared" ca="1" si="57"/>
        <v>7</v>
      </c>
      <c r="F751" s="23" t="str">
        <f t="shared" ca="1" si="58"/>
        <v>—</v>
      </c>
      <c r="G751" s="40">
        <f t="shared" ca="1" si="59"/>
        <v>7</v>
      </c>
    </row>
    <row r="752" spans="1:7" x14ac:dyDescent="0.25">
      <c r="A752" s="17">
        <f t="shared" si="55"/>
        <v>81</v>
      </c>
      <c r="B752" t="str">
        <f ca="1">TEXT(DATE(YEAR(Invoer!$A$5),1,1)+INT((ROWS(B$2:B752)-1)/3),"jjjjmmdd")</f>
        <v>19430908</v>
      </c>
      <c r="C752" s="35" t="str">
        <f>INDEX(Data,2,2+MOD(ROWS(C$2:C752)-1,3))</f>
        <v>07.45</v>
      </c>
      <c r="D752" s="23" t="str">
        <f t="shared" ca="1" si="56"/>
        <v>—</v>
      </c>
      <c r="E752" s="40">
        <f t="shared" ca="1" si="57"/>
        <v>7</v>
      </c>
      <c r="F752" s="23" t="str">
        <f t="shared" ca="1" si="58"/>
        <v>—</v>
      </c>
      <c r="G752" s="40">
        <f t="shared" ca="1" si="59"/>
        <v>7</v>
      </c>
    </row>
    <row r="753" spans="1:7" x14ac:dyDescent="0.25">
      <c r="A753" s="17">
        <f t="shared" si="55"/>
        <v>81</v>
      </c>
      <c r="B753" t="str">
        <f ca="1">TEXT(DATE(YEAR(Invoer!$A$5),1,1)+INT((ROWS(B$2:B753)-1)/3),"jjjjmmdd")</f>
        <v>19430908</v>
      </c>
      <c r="C753" s="35" t="str">
        <f>INDEX(Data,2,2+MOD(ROWS(C$2:C753)-1,3))</f>
        <v>13.45</v>
      </c>
      <c r="D753" s="23" t="str">
        <f t="shared" ca="1" si="56"/>
        <v>—</v>
      </c>
      <c r="E753" s="40">
        <f t="shared" ca="1" si="57"/>
        <v>7</v>
      </c>
      <c r="F753" s="23" t="str">
        <f t="shared" ca="1" si="58"/>
        <v>—</v>
      </c>
      <c r="G753" s="40">
        <f t="shared" ca="1" si="59"/>
        <v>7</v>
      </c>
    </row>
    <row r="754" spans="1:7" x14ac:dyDescent="0.25">
      <c r="A754" s="17">
        <f t="shared" si="55"/>
        <v>81</v>
      </c>
      <c r="B754" t="str">
        <f ca="1">TEXT(DATE(YEAR(Invoer!$A$5),1,1)+INT((ROWS(B$2:B754)-1)/3),"jjjjmmdd")</f>
        <v>19430908</v>
      </c>
      <c r="C754" s="35" t="str">
        <f>INDEX(Data,2,2+MOD(ROWS(C$2:C754)-1,3))</f>
        <v>19.45</v>
      </c>
      <c r="D754" s="23" t="str">
        <f t="shared" ca="1" si="56"/>
        <v>—</v>
      </c>
      <c r="E754" s="40">
        <f t="shared" ca="1" si="57"/>
        <v>7</v>
      </c>
      <c r="F754" s="23" t="str">
        <f t="shared" ca="1" si="58"/>
        <v>—</v>
      </c>
      <c r="G754" s="40">
        <f t="shared" ca="1" si="59"/>
        <v>7</v>
      </c>
    </row>
    <row r="755" spans="1:7" x14ac:dyDescent="0.25">
      <c r="A755" s="17">
        <f t="shared" si="55"/>
        <v>81</v>
      </c>
      <c r="B755" t="str">
        <f ca="1">TEXT(DATE(YEAR(Invoer!$A$5),1,1)+INT((ROWS(B$2:B755)-1)/3),"jjjjmmdd")</f>
        <v>19430909</v>
      </c>
      <c r="C755" s="35" t="str">
        <f>INDEX(Data,2,2+MOD(ROWS(C$2:C755)-1,3))</f>
        <v>07.45</v>
      </c>
      <c r="D755" s="23" t="str">
        <f t="shared" ca="1" si="56"/>
        <v>—</v>
      </c>
      <c r="E755" s="40">
        <f t="shared" ca="1" si="57"/>
        <v>7</v>
      </c>
      <c r="F755" s="23" t="str">
        <f t="shared" ca="1" si="58"/>
        <v>—</v>
      </c>
      <c r="G755" s="40">
        <f t="shared" ca="1" si="59"/>
        <v>7</v>
      </c>
    </row>
    <row r="756" spans="1:7" x14ac:dyDescent="0.25">
      <c r="A756" s="17">
        <f t="shared" si="55"/>
        <v>81</v>
      </c>
      <c r="B756" t="str">
        <f ca="1">TEXT(DATE(YEAR(Invoer!$A$5),1,1)+INT((ROWS(B$2:B756)-1)/3),"jjjjmmdd")</f>
        <v>19430909</v>
      </c>
      <c r="C756" s="35" t="str">
        <f>INDEX(Data,2,2+MOD(ROWS(C$2:C756)-1,3))</f>
        <v>13.45</v>
      </c>
      <c r="D756" s="23" t="str">
        <f t="shared" ca="1" si="56"/>
        <v>—</v>
      </c>
      <c r="E756" s="40">
        <f t="shared" ca="1" si="57"/>
        <v>7</v>
      </c>
      <c r="F756" s="23" t="str">
        <f t="shared" ca="1" si="58"/>
        <v>—</v>
      </c>
      <c r="G756" s="40">
        <f t="shared" ca="1" si="59"/>
        <v>7</v>
      </c>
    </row>
    <row r="757" spans="1:7" x14ac:dyDescent="0.25">
      <c r="A757" s="17">
        <f t="shared" si="55"/>
        <v>81</v>
      </c>
      <c r="B757" t="str">
        <f ca="1">TEXT(DATE(YEAR(Invoer!$A$5),1,1)+INT((ROWS(B$2:B757)-1)/3),"jjjjmmdd")</f>
        <v>19430909</v>
      </c>
      <c r="C757" s="35" t="str">
        <f>INDEX(Data,2,2+MOD(ROWS(C$2:C757)-1,3))</f>
        <v>19.45</v>
      </c>
      <c r="D757" s="23" t="str">
        <f t="shared" ca="1" si="56"/>
        <v>—</v>
      </c>
      <c r="E757" s="40">
        <f t="shared" ca="1" si="57"/>
        <v>7</v>
      </c>
      <c r="F757" s="23" t="str">
        <f t="shared" ca="1" si="58"/>
        <v>—</v>
      </c>
      <c r="G757" s="40">
        <f t="shared" ca="1" si="59"/>
        <v>7</v>
      </c>
    </row>
    <row r="758" spans="1:7" x14ac:dyDescent="0.25">
      <c r="A758" s="17">
        <f t="shared" si="55"/>
        <v>81</v>
      </c>
      <c r="B758" t="str">
        <f ca="1">TEXT(DATE(YEAR(Invoer!$A$5),1,1)+INT((ROWS(B$2:B758)-1)/3),"jjjjmmdd")</f>
        <v>19430910</v>
      </c>
      <c r="C758" s="35" t="str">
        <f>INDEX(Data,2,2+MOD(ROWS(C$2:C758)-1,3))</f>
        <v>07.45</v>
      </c>
      <c r="D758" s="23" t="str">
        <f t="shared" ca="1" si="56"/>
        <v>—</v>
      </c>
      <c r="E758" s="40">
        <f t="shared" ca="1" si="57"/>
        <v>7</v>
      </c>
      <c r="F758" s="23" t="str">
        <f t="shared" ca="1" si="58"/>
        <v>—</v>
      </c>
      <c r="G758" s="40">
        <f t="shared" ca="1" si="59"/>
        <v>7</v>
      </c>
    </row>
    <row r="759" spans="1:7" x14ac:dyDescent="0.25">
      <c r="A759" s="17">
        <f t="shared" si="55"/>
        <v>81</v>
      </c>
      <c r="B759" t="str">
        <f ca="1">TEXT(DATE(YEAR(Invoer!$A$5),1,1)+INT((ROWS(B$2:B759)-1)/3),"jjjjmmdd")</f>
        <v>19430910</v>
      </c>
      <c r="C759" s="35" t="str">
        <f>INDEX(Data,2,2+MOD(ROWS(C$2:C759)-1,3))</f>
        <v>13.45</v>
      </c>
      <c r="D759" s="23" t="str">
        <f t="shared" ca="1" si="56"/>
        <v>—</v>
      </c>
      <c r="E759" s="40">
        <f t="shared" ca="1" si="57"/>
        <v>7</v>
      </c>
      <c r="F759" s="23" t="str">
        <f t="shared" ca="1" si="58"/>
        <v>—</v>
      </c>
      <c r="G759" s="40">
        <f t="shared" ca="1" si="59"/>
        <v>7</v>
      </c>
    </row>
    <row r="760" spans="1:7" x14ac:dyDescent="0.25">
      <c r="A760" s="17">
        <f t="shared" si="55"/>
        <v>81</v>
      </c>
      <c r="B760" t="str">
        <f ca="1">TEXT(DATE(YEAR(Invoer!$A$5),1,1)+INT((ROWS(B$2:B760)-1)/3),"jjjjmmdd")</f>
        <v>19430910</v>
      </c>
      <c r="C760" s="35" t="str">
        <f>INDEX(Data,2,2+MOD(ROWS(C$2:C760)-1,3))</f>
        <v>19.45</v>
      </c>
      <c r="D760" s="23" t="str">
        <f t="shared" ca="1" si="56"/>
        <v>—</v>
      </c>
      <c r="E760" s="40">
        <f t="shared" ca="1" si="57"/>
        <v>7</v>
      </c>
      <c r="F760" s="23" t="str">
        <f t="shared" ca="1" si="58"/>
        <v>—</v>
      </c>
      <c r="G760" s="40">
        <f t="shared" ca="1" si="59"/>
        <v>7</v>
      </c>
    </row>
    <row r="761" spans="1:7" x14ac:dyDescent="0.25">
      <c r="A761" s="17">
        <f t="shared" si="55"/>
        <v>81</v>
      </c>
      <c r="B761" t="str">
        <f ca="1">TEXT(DATE(YEAR(Invoer!$A$5),1,1)+INT((ROWS(B$2:B761)-1)/3),"jjjjmmdd")</f>
        <v>19430911</v>
      </c>
      <c r="C761" s="35" t="str">
        <f>INDEX(Data,2,2+MOD(ROWS(C$2:C761)-1,3))</f>
        <v>07.45</v>
      </c>
      <c r="D761" s="23" t="str">
        <f t="shared" ca="1" si="56"/>
        <v>—</v>
      </c>
      <c r="E761" s="40">
        <f t="shared" ca="1" si="57"/>
        <v>7</v>
      </c>
      <c r="F761" s="23" t="str">
        <f t="shared" ca="1" si="58"/>
        <v>—</v>
      </c>
      <c r="G761" s="40">
        <f t="shared" ca="1" si="59"/>
        <v>7</v>
      </c>
    </row>
    <row r="762" spans="1:7" x14ac:dyDescent="0.25">
      <c r="A762" s="17">
        <f t="shared" si="55"/>
        <v>81</v>
      </c>
      <c r="B762" t="str">
        <f ca="1">TEXT(DATE(YEAR(Invoer!$A$5),1,1)+INT((ROWS(B$2:B762)-1)/3),"jjjjmmdd")</f>
        <v>19430911</v>
      </c>
      <c r="C762" s="35" t="str">
        <f>INDEX(Data,2,2+MOD(ROWS(C$2:C762)-1,3))</f>
        <v>13.45</v>
      </c>
      <c r="D762" s="23" t="str">
        <f t="shared" ca="1" si="56"/>
        <v>—</v>
      </c>
      <c r="E762" s="40">
        <f t="shared" ca="1" si="57"/>
        <v>7</v>
      </c>
      <c r="F762" s="23" t="str">
        <f t="shared" ca="1" si="58"/>
        <v>—</v>
      </c>
      <c r="G762" s="40">
        <f t="shared" ca="1" si="59"/>
        <v>7</v>
      </c>
    </row>
    <row r="763" spans="1:7" x14ac:dyDescent="0.25">
      <c r="A763" s="17">
        <f t="shared" si="55"/>
        <v>81</v>
      </c>
      <c r="B763" t="str">
        <f ca="1">TEXT(DATE(YEAR(Invoer!$A$5),1,1)+INT((ROWS(B$2:B763)-1)/3),"jjjjmmdd")</f>
        <v>19430911</v>
      </c>
      <c r="C763" s="35" t="str">
        <f>INDEX(Data,2,2+MOD(ROWS(C$2:C763)-1,3))</f>
        <v>19.45</v>
      </c>
      <c r="D763" s="23" t="str">
        <f t="shared" ca="1" si="56"/>
        <v>—</v>
      </c>
      <c r="E763" s="40">
        <f t="shared" ca="1" si="57"/>
        <v>7</v>
      </c>
      <c r="F763" s="23" t="str">
        <f t="shared" ca="1" si="58"/>
        <v>—</v>
      </c>
      <c r="G763" s="40">
        <f t="shared" ca="1" si="59"/>
        <v>7</v>
      </c>
    </row>
    <row r="764" spans="1:7" x14ac:dyDescent="0.25">
      <c r="A764" s="17">
        <f t="shared" si="55"/>
        <v>81</v>
      </c>
      <c r="B764" t="str">
        <f ca="1">TEXT(DATE(YEAR(Invoer!$A$5),1,1)+INT((ROWS(B$2:B764)-1)/3),"jjjjmmdd")</f>
        <v>19430912</v>
      </c>
      <c r="C764" s="35" t="str">
        <f>INDEX(Data,2,2+MOD(ROWS(C$2:C764)-1,3))</f>
        <v>07.45</v>
      </c>
      <c r="D764" s="23" t="str">
        <f t="shared" ca="1" si="56"/>
        <v>—</v>
      </c>
      <c r="E764" s="40">
        <f t="shared" ca="1" si="57"/>
        <v>7</v>
      </c>
      <c r="F764" s="23" t="str">
        <f t="shared" ca="1" si="58"/>
        <v>—</v>
      </c>
      <c r="G764" s="40">
        <f t="shared" ca="1" si="59"/>
        <v>7</v>
      </c>
    </row>
    <row r="765" spans="1:7" x14ac:dyDescent="0.25">
      <c r="A765" s="17">
        <f t="shared" si="55"/>
        <v>81</v>
      </c>
      <c r="B765" t="str">
        <f ca="1">TEXT(DATE(YEAR(Invoer!$A$5),1,1)+INT((ROWS(B$2:B765)-1)/3),"jjjjmmdd")</f>
        <v>19430912</v>
      </c>
      <c r="C765" s="35" t="str">
        <f>INDEX(Data,2,2+MOD(ROWS(C$2:C765)-1,3))</f>
        <v>13.45</v>
      </c>
      <c r="D765" s="23" t="str">
        <f t="shared" ca="1" si="56"/>
        <v>—</v>
      </c>
      <c r="E765" s="40">
        <f t="shared" ca="1" si="57"/>
        <v>7</v>
      </c>
      <c r="F765" s="23" t="str">
        <f t="shared" ca="1" si="58"/>
        <v>—</v>
      </c>
      <c r="G765" s="40">
        <f t="shared" ca="1" si="59"/>
        <v>7</v>
      </c>
    </row>
    <row r="766" spans="1:7" x14ac:dyDescent="0.25">
      <c r="A766" s="17">
        <f t="shared" si="55"/>
        <v>81</v>
      </c>
      <c r="B766" t="str">
        <f ca="1">TEXT(DATE(YEAR(Invoer!$A$5),1,1)+INT((ROWS(B$2:B766)-1)/3),"jjjjmmdd")</f>
        <v>19430912</v>
      </c>
      <c r="C766" s="35" t="str">
        <f>INDEX(Data,2,2+MOD(ROWS(C$2:C766)-1,3))</f>
        <v>19.45</v>
      </c>
      <c r="D766" s="23" t="str">
        <f t="shared" ca="1" si="56"/>
        <v>—</v>
      </c>
      <c r="E766" s="40">
        <f t="shared" ca="1" si="57"/>
        <v>7</v>
      </c>
      <c r="F766" s="23" t="str">
        <f t="shared" ca="1" si="58"/>
        <v>—</v>
      </c>
      <c r="G766" s="40">
        <f t="shared" ca="1" si="59"/>
        <v>7</v>
      </c>
    </row>
    <row r="767" spans="1:7" x14ac:dyDescent="0.25">
      <c r="A767" s="17">
        <f t="shared" si="55"/>
        <v>81</v>
      </c>
      <c r="B767" t="str">
        <f ca="1">TEXT(DATE(YEAR(Invoer!$A$5),1,1)+INT((ROWS(B$2:B767)-1)/3),"jjjjmmdd")</f>
        <v>19430913</v>
      </c>
      <c r="C767" s="35" t="str">
        <f>INDEX(Data,2,2+MOD(ROWS(C$2:C767)-1,3))</f>
        <v>07.45</v>
      </c>
      <c r="D767" s="23" t="str">
        <f t="shared" ca="1" si="56"/>
        <v>—</v>
      </c>
      <c r="E767" s="40">
        <f t="shared" ca="1" si="57"/>
        <v>7</v>
      </c>
      <c r="F767" s="23" t="str">
        <f t="shared" ca="1" si="58"/>
        <v>—</v>
      </c>
      <c r="G767" s="40">
        <f t="shared" ca="1" si="59"/>
        <v>7</v>
      </c>
    </row>
    <row r="768" spans="1:7" x14ac:dyDescent="0.25">
      <c r="A768" s="17">
        <f t="shared" si="55"/>
        <v>81</v>
      </c>
      <c r="B768" t="str">
        <f ca="1">TEXT(DATE(YEAR(Invoer!$A$5),1,1)+INT((ROWS(B$2:B768)-1)/3),"jjjjmmdd")</f>
        <v>19430913</v>
      </c>
      <c r="C768" s="35" t="str">
        <f>INDEX(Data,2,2+MOD(ROWS(C$2:C768)-1,3))</f>
        <v>13.45</v>
      </c>
      <c r="D768" s="23" t="str">
        <f t="shared" ca="1" si="56"/>
        <v>—</v>
      </c>
      <c r="E768" s="40">
        <f t="shared" ca="1" si="57"/>
        <v>7</v>
      </c>
      <c r="F768" s="23" t="str">
        <f t="shared" ca="1" si="58"/>
        <v>—</v>
      </c>
      <c r="G768" s="40">
        <f t="shared" ca="1" si="59"/>
        <v>7</v>
      </c>
    </row>
    <row r="769" spans="1:7" x14ac:dyDescent="0.25">
      <c r="A769" s="17">
        <f t="shared" si="55"/>
        <v>81</v>
      </c>
      <c r="B769" t="str">
        <f ca="1">TEXT(DATE(YEAR(Invoer!$A$5),1,1)+INT((ROWS(B$2:B769)-1)/3),"jjjjmmdd")</f>
        <v>19430913</v>
      </c>
      <c r="C769" s="35" t="str">
        <f>INDEX(Data,2,2+MOD(ROWS(C$2:C769)-1,3))</f>
        <v>19.45</v>
      </c>
      <c r="D769" s="23" t="str">
        <f t="shared" ca="1" si="56"/>
        <v>—</v>
      </c>
      <c r="E769" s="40">
        <f t="shared" ca="1" si="57"/>
        <v>7</v>
      </c>
      <c r="F769" s="23" t="str">
        <f t="shared" ca="1" si="58"/>
        <v>—</v>
      </c>
      <c r="G769" s="40">
        <f t="shared" ca="1" si="59"/>
        <v>7</v>
      </c>
    </row>
    <row r="770" spans="1:7" x14ac:dyDescent="0.25">
      <c r="A770" s="17">
        <f t="shared" ref="A770:A833" si="60">INDEX(Stations,2,1)</f>
        <v>81</v>
      </c>
      <c r="B770" t="str">
        <f ca="1">TEXT(DATE(YEAR(Invoer!$A$5),1,1)+INT((ROWS(B$2:B770)-1)/3),"jjjjmmdd")</f>
        <v>19430914</v>
      </c>
      <c r="C770" s="35" t="str">
        <f>INDEX(Data,2,2+MOD(ROWS(C$2:C770)-1,3))</f>
        <v>07.45</v>
      </c>
      <c r="D770" s="23" t="str">
        <f t="shared" ref="D770:D833" ca="1" si="61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—</v>
      </c>
      <c r="E770" s="40">
        <f t="shared" ref="E770:E833" ca="1" si="62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7</v>
      </c>
      <c r="F770" s="23" t="str">
        <f t="shared" ref="F770:F833" ca="1" si="63">IF(OR(ISBLANK(VLOOKUP(DATEVALUE(LEFT($B770,4)&amp;"-"&amp;MID($B770,5,2)&amp;"-"&amp;RIGHT($B770,2)),Data,MATCH(LEFT(VLOOKUP(F$1,Parameters,2,FALSE()),4)&amp;"*",OFFSET(Data,0,0,1),0)+MATCH($C770,OFFSET(Data,1,0,1),0)-2,FALSE())),ISTEXT(VLOOKUP(DATEVALUE(LEFT($B770,4)&amp;"-"&amp;MID($B770,5,2)&amp;"-"&amp;RIGHT($B770,2)),Data,MATCH(LEFT(VLOOKUP(F$1,Parameters,2,FALSE()),4)&amp;"*",OFFSET(Data,0,0,1),0)+MATCH($C770,OFFSET(Data,1,0,1),0)-2,FALSE()))),"—",VLOOKUP(DATEVALUE(LEFT($B770,4)&amp;"-"&amp;MID($B770,5,2)&amp;"-"&amp;RIGHT($B770,2)),Data,MATCH(LEFT(VLOOKUP(F$1,Parameters,2,FALSE()),4)&amp;"*",OFFSET(Data,0,0,1),0)+MATCH($C770,OFFSET(Data,1,0,1),0)-2,FALSE()))</f>
        <v>—</v>
      </c>
      <c r="G770" s="40">
        <f t="shared" ref="G770:G833" ca="1" si="64">IF(OR(ISBLANK(VLOOKUP(DATEVALUE(LEFT($B770,4)&amp;"-"&amp;MID($B770,5,2)&amp;"-"&amp;RIGHT($B770,2)),Data,MATCH(LEFT(VLOOKUP(MID(G$1,2,LEN(G$1)-1),Parameters,2,FALSE()),4)&amp;"*",OFFSET(Data,0,0,1),0)+MATCH($C770,OFFSET(Data,1,0,1),0)-2,FALSE())),ISTEXT(VLOOKUP(DATEVALUE(LEFT($B770,4)&amp;"-"&amp;MID($B770,5,2)&amp;"-"&amp;RIGHT($B770,2)),Data,MATCH(LEFT(VLOOKUP(MID(G$1,2,LEN(G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G$1,2,LEN(G$1)-1),Parameters,2,FALSE()),4)&amp;"*",OFFSET(Catalogus,0,0,1),0)+MATCH($C770,OFFSET(Catalogus,1,0,1),0)-2,FALSE())))</f>
        <v>7</v>
      </c>
    </row>
    <row r="771" spans="1:7" x14ac:dyDescent="0.25">
      <c r="A771" s="17">
        <f t="shared" si="60"/>
        <v>81</v>
      </c>
      <c r="B771" t="str">
        <f ca="1">TEXT(DATE(YEAR(Invoer!$A$5),1,1)+INT((ROWS(B$2:B771)-1)/3),"jjjjmmdd")</f>
        <v>19430914</v>
      </c>
      <c r="C771" s="35" t="str">
        <f>INDEX(Data,2,2+MOD(ROWS(C$2:C771)-1,3))</f>
        <v>13.45</v>
      </c>
      <c r="D771" s="23" t="str">
        <f t="shared" ca="1" si="61"/>
        <v>—</v>
      </c>
      <c r="E771" s="40">
        <f t="shared" ca="1" si="62"/>
        <v>7</v>
      </c>
      <c r="F771" s="23" t="str">
        <f t="shared" ca="1" si="63"/>
        <v>—</v>
      </c>
      <c r="G771" s="40">
        <f t="shared" ca="1" si="64"/>
        <v>7</v>
      </c>
    </row>
    <row r="772" spans="1:7" x14ac:dyDescent="0.25">
      <c r="A772" s="17">
        <f t="shared" si="60"/>
        <v>81</v>
      </c>
      <c r="B772" t="str">
        <f ca="1">TEXT(DATE(YEAR(Invoer!$A$5),1,1)+INT((ROWS(B$2:B772)-1)/3),"jjjjmmdd")</f>
        <v>19430914</v>
      </c>
      <c r="C772" s="35" t="str">
        <f>INDEX(Data,2,2+MOD(ROWS(C$2:C772)-1,3))</f>
        <v>19.45</v>
      </c>
      <c r="D772" s="23" t="str">
        <f t="shared" ca="1" si="61"/>
        <v>—</v>
      </c>
      <c r="E772" s="40">
        <f t="shared" ca="1" si="62"/>
        <v>7</v>
      </c>
      <c r="F772" s="23" t="str">
        <f t="shared" ca="1" si="63"/>
        <v>—</v>
      </c>
      <c r="G772" s="40">
        <f t="shared" ca="1" si="64"/>
        <v>7</v>
      </c>
    </row>
    <row r="773" spans="1:7" x14ac:dyDescent="0.25">
      <c r="A773" s="17">
        <f t="shared" si="60"/>
        <v>81</v>
      </c>
      <c r="B773" t="str">
        <f ca="1">TEXT(DATE(YEAR(Invoer!$A$5),1,1)+INT((ROWS(B$2:B773)-1)/3),"jjjjmmdd")</f>
        <v>19430915</v>
      </c>
      <c r="C773" s="35" t="str">
        <f>INDEX(Data,2,2+MOD(ROWS(C$2:C773)-1,3))</f>
        <v>07.45</v>
      </c>
      <c r="D773" s="23" t="str">
        <f t="shared" ca="1" si="61"/>
        <v>—</v>
      </c>
      <c r="E773" s="40">
        <f t="shared" ca="1" si="62"/>
        <v>7</v>
      </c>
      <c r="F773" s="23" t="str">
        <f t="shared" ca="1" si="63"/>
        <v>—</v>
      </c>
      <c r="G773" s="40">
        <f t="shared" ca="1" si="64"/>
        <v>7</v>
      </c>
    </row>
    <row r="774" spans="1:7" x14ac:dyDescent="0.25">
      <c r="A774" s="17">
        <f t="shared" si="60"/>
        <v>81</v>
      </c>
      <c r="B774" t="str">
        <f ca="1">TEXT(DATE(YEAR(Invoer!$A$5),1,1)+INT((ROWS(B$2:B774)-1)/3),"jjjjmmdd")</f>
        <v>19430915</v>
      </c>
      <c r="C774" s="35" t="str">
        <f>INDEX(Data,2,2+MOD(ROWS(C$2:C774)-1,3))</f>
        <v>13.45</v>
      </c>
      <c r="D774" s="23" t="str">
        <f t="shared" ca="1" si="61"/>
        <v>—</v>
      </c>
      <c r="E774" s="40">
        <f t="shared" ca="1" si="62"/>
        <v>7</v>
      </c>
      <c r="F774" s="23" t="str">
        <f t="shared" ca="1" si="63"/>
        <v>—</v>
      </c>
      <c r="G774" s="40">
        <f t="shared" ca="1" si="64"/>
        <v>7</v>
      </c>
    </row>
    <row r="775" spans="1:7" x14ac:dyDescent="0.25">
      <c r="A775" s="17">
        <f t="shared" si="60"/>
        <v>81</v>
      </c>
      <c r="B775" t="str">
        <f ca="1">TEXT(DATE(YEAR(Invoer!$A$5),1,1)+INT((ROWS(B$2:B775)-1)/3),"jjjjmmdd")</f>
        <v>19430915</v>
      </c>
      <c r="C775" s="35" t="str">
        <f>INDEX(Data,2,2+MOD(ROWS(C$2:C775)-1,3))</f>
        <v>19.45</v>
      </c>
      <c r="D775" s="23" t="str">
        <f t="shared" ca="1" si="61"/>
        <v>—</v>
      </c>
      <c r="E775" s="40">
        <f t="shared" ca="1" si="62"/>
        <v>7</v>
      </c>
      <c r="F775" s="23" t="str">
        <f t="shared" ca="1" si="63"/>
        <v>—</v>
      </c>
      <c r="G775" s="40">
        <f t="shared" ca="1" si="64"/>
        <v>7</v>
      </c>
    </row>
    <row r="776" spans="1:7" x14ac:dyDescent="0.25">
      <c r="A776" s="17">
        <f t="shared" si="60"/>
        <v>81</v>
      </c>
      <c r="B776" t="str">
        <f ca="1">TEXT(DATE(YEAR(Invoer!$A$5),1,1)+INT((ROWS(B$2:B776)-1)/3),"jjjjmmdd")</f>
        <v>19430916</v>
      </c>
      <c r="C776" s="35" t="str">
        <f>INDEX(Data,2,2+MOD(ROWS(C$2:C776)-1,3))</f>
        <v>07.45</v>
      </c>
      <c r="D776" s="23" t="str">
        <f t="shared" ca="1" si="61"/>
        <v>—</v>
      </c>
      <c r="E776" s="40">
        <f t="shared" ca="1" si="62"/>
        <v>7</v>
      </c>
      <c r="F776" s="23" t="str">
        <f t="shared" ca="1" si="63"/>
        <v>—</v>
      </c>
      <c r="G776" s="40">
        <f t="shared" ca="1" si="64"/>
        <v>7</v>
      </c>
    </row>
    <row r="777" spans="1:7" x14ac:dyDescent="0.25">
      <c r="A777" s="17">
        <f t="shared" si="60"/>
        <v>81</v>
      </c>
      <c r="B777" t="str">
        <f ca="1">TEXT(DATE(YEAR(Invoer!$A$5),1,1)+INT((ROWS(B$2:B777)-1)/3),"jjjjmmdd")</f>
        <v>19430916</v>
      </c>
      <c r="C777" s="35" t="str">
        <f>INDEX(Data,2,2+MOD(ROWS(C$2:C777)-1,3))</f>
        <v>13.45</v>
      </c>
      <c r="D777" s="23" t="str">
        <f t="shared" ca="1" si="61"/>
        <v>—</v>
      </c>
      <c r="E777" s="40">
        <f t="shared" ca="1" si="62"/>
        <v>7</v>
      </c>
      <c r="F777" s="23" t="str">
        <f t="shared" ca="1" si="63"/>
        <v>—</v>
      </c>
      <c r="G777" s="40">
        <f t="shared" ca="1" si="64"/>
        <v>7</v>
      </c>
    </row>
    <row r="778" spans="1:7" x14ac:dyDescent="0.25">
      <c r="A778" s="17">
        <f t="shared" si="60"/>
        <v>81</v>
      </c>
      <c r="B778" t="str">
        <f ca="1">TEXT(DATE(YEAR(Invoer!$A$5),1,1)+INT((ROWS(B$2:B778)-1)/3),"jjjjmmdd")</f>
        <v>19430916</v>
      </c>
      <c r="C778" s="35" t="str">
        <f>INDEX(Data,2,2+MOD(ROWS(C$2:C778)-1,3))</f>
        <v>19.45</v>
      </c>
      <c r="D778" s="23" t="str">
        <f t="shared" ca="1" si="61"/>
        <v>—</v>
      </c>
      <c r="E778" s="40">
        <f t="shared" ca="1" si="62"/>
        <v>7</v>
      </c>
      <c r="F778" s="23" t="str">
        <f t="shared" ca="1" si="63"/>
        <v>—</v>
      </c>
      <c r="G778" s="40">
        <f t="shared" ca="1" si="64"/>
        <v>7</v>
      </c>
    </row>
    <row r="779" spans="1:7" x14ac:dyDescent="0.25">
      <c r="A779" s="17">
        <f t="shared" si="60"/>
        <v>81</v>
      </c>
      <c r="B779" t="str">
        <f ca="1">TEXT(DATE(YEAR(Invoer!$A$5),1,1)+INT((ROWS(B$2:B779)-1)/3),"jjjjmmdd")</f>
        <v>19430917</v>
      </c>
      <c r="C779" s="35" t="str">
        <f>INDEX(Data,2,2+MOD(ROWS(C$2:C779)-1,3))</f>
        <v>07.45</v>
      </c>
      <c r="D779" s="23" t="str">
        <f t="shared" ca="1" si="61"/>
        <v>—</v>
      </c>
      <c r="E779" s="40">
        <f t="shared" ca="1" si="62"/>
        <v>7</v>
      </c>
      <c r="F779" s="23" t="str">
        <f t="shared" ca="1" si="63"/>
        <v>—</v>
      </c>
      <c r="G779" s="40">
        <f t="shared" ca="1" si="64"/>
        <v>7</v>
      </c>
    </row>
    <row r="780" spans="1:7" x14ac:dyDescent="0.25">
      <c r="A780" s="17">
        <f t="shared" si="60"/>
        <v>81</v>
      </c>
      <c r="B780" t="str">
        <f ca="1">TEXT(DATE(YEAR(Invoer!$A$5),1,1)+INT((ROWS(B$2:B780)-1)/3),"jjjjmmdd")</f>
        <v>19430917</v>
      </c>
      <c r="C780" s="35" t="str">
        <f>INDEX(Data,2,2+MOD(ROWS(C$2:C780)-1,3))</f>
        <v>13.45</v>
      </c>
      <c r="D780" s="23" t="str">
        <f t="shared" ca="1" si="61"/>
        <v>—</v>
      </c>
      <c r="E780" s="40">
        <f t="shared" ca="1" si="62"/>
        <v>7</v>
      </c>
      <c r="F780" s="23" t="str">
        <f t="shared" ca="1" si="63"/>
        <v>—</v>
      </c>
      <c r="G780" s="40">
        <f t="shared" ca="1" si="64"/>
        <v>7</v>
      </c>
    </row>
    <row r="781" spans="1:7" x14ac:dyDescent="0.25">
      <c r="A781" s="17">
        <f t="shared" si="60"/>
        <v>81</v>
      </c>
      <c r="B781" t="str">
        <f ca="1">TEXT(DATE(YEAR(Invoer!$A$5),1,1)+INT((ROWS(B$2:B781)-1)/3),"jjjjmmdd")</f>
        <v>19430917</v>
      </c>
      <c r="C781" s="35" t="str">
        <f>INDEX(Data,2,2+MOD(ROWS(C$2:C781)-1,3))</f>
        <v>19.45</v>
      </c>
      <c r="D781" s="23" t="str">
        <f t="shared" ca="1" si="61"/>
        <v>—</v>
      </c>
      <c r="E781" s="40">
        <f t="shared" ca="1" si="62"/>
        <v>7</v>
      </c>
      <c r="F781" s="23" t="str">
        <f t="shared" ca="1" si="63"/>
        <v>—</v>
      </c>
      <c r="G781" s="40">
        <f t="shared" ca="1" si="64"/>
        <v>7</v>
      </c>
    </row>
    <row r="782" spans="1:7" x14ac:dyDescent="0.25">
      <c r="A782" s="17">
        <f t="shared" si="60"/>
        <v>81</v>
      </c>
      <c r="B782" t="str">
        <f ca="1">TEXT(DATE(YEAR(Invoer!$A$5),1,1)+INT((ROWS(B$2:B782)-1)/3),"jjjjmmdd")</f>
        <v>19430918</v>
      </c>
      <c r="C782" s="35" t="str">
        <f>INDEX(Data,2,2+MOD(ROWS(C$2:C782)-1,3))</f>
        <v>07.45</v>
      </c>
      <c r="D782" s="23" t="str">
        <f t="shared" ca="1" si="61"/>
        <v>—</v>
      </c>
      <c r="E782" s="40">
        <f t="shared" ca="1" si="62"/>
        <v>7</v>
      </c>
      <c r="F782" s="23" t="str">
        <f t="shared" ca="1" si="63"/>
        <v>—</v>
      </c>
      <c r="G782" s="40">
        <f t="shared" ca="1" si="64"/>
        <v>7</v>
      </c>
    </row>
    <row r="783" spans="1:7" x14ac:dyDescent="0.25">
      <c r="A783" s="17">
        <f t="shared" si="60"/>
        <v>81</v>
      </c>
      <c r="B783" t="str">
        <f ca="1">TEXT(DATE(YEAR(Invoer!$A$5),1,1)+INT((ROWS(B$2:B783)-1)/3),"jjjjmmdd")</f>
        <v>19430918</v>
      </c>
      <c r="C783" s="35" t="str">
        <f>INDEX(Data,2,2+MOD(ROWS(C$2:C783)-1,3))</f>
        <v>13.45</v>
      </c>
      <c r="D783" s="23" t="str">
        <f t="shared" ca="1" si="61"/>
        <v>—</v>
      </c>
      <c r="E783" s="40">
        <f t="shared" ca="1" si="62"/>
        <v>7</v>
      </c>
      <c r="F783" s="23" t="str">
        <f t="shared" ca="1" si="63"/>
        <v>—</v>
      </c>
      <c r="G783" s="40">
        <f t="shared" ca="1" si="64"/>
        <v>7</v>
      </c>
    </row>
    <row r="784" spans="1:7" x14ac:dyDescent="0.25">
      <c r="A784" s="17">
        <f t="shared" si="60"/>
        <v>81</v>
      </c>
      <c r="B784" t="str">
        <f ca="1">TEXT(DATE(YEAR(Invoer!$A$5),1,1)+INT((ROWS(B$2:B784)-1)/3),"jjjjmmdd")</f>
        <v>19430918</v>
      </c>
      <c r="C784" s="35" t="str">
        <f>INDEX(Data,2,2+MOD(ROWS(C$2:C784)-1,3))</f>
        <v>19.45</v>
      </c>
      <c r="D784" s="23" t="str">
        <f t="shared" ca="1" si="61"/>
        <v>—</v>
      </c>
      <c r="E784" s="40">
        <f t="shared" ca="1" si="62"/>
        <v>7</v>
      </c>
      <c r="F784" s="23" t="str">
        <f t="shared" ca="1" si="63"/>
        <v>—</v>
      </c>
      <c r="G784" s="40">
        <f t="shared" ca="1" si="64"/>
        <v>7</v>
      </c>
    </row>
    <row r="785" spans="1:7" x14ac:dyDescent="0.25">
      <c r="A785" s="17">
        <f t="shared" si="60"/>
        <v>81</v>
      </c>
      <c r="B785" t="str">
        <f ca="1">TEXT(DATE(YEAR(Invoer!$A$5),1,1)+INT((ROWS(B$2:B785)-1)/3),"jjjjmmdd")</f>
        <v>19430919</v>
      </c>
      <c r="C785" s="35" t="str">
        <f>INDEX(Data,2,2+MOD(ROWS(C$2:C785)-1,3))</f>
        <v>07.45</v>
      </c>
      <c r="D785" s="23" t="str">
        <f t="shared" ca="1" si="61"/>
        <v>—</v>
      </c>
      <c r="E785" s="40">
        <f t="shared" ca="1" si="62"/>
        <v>7</v>
      </c>
      <c r="F785" s="23" t="str">
        <f t="shared" ca="1" si="63"/>
        <v>—</v>
      </c>
      <c r="G785" s="40">
        <f t="shared" ca="1" si="64"/>
        <v>7</v>
      </c>
    </row>
    <row r="786" spans="1:7" x14ac:dyDescent="0.25">
      <c r="A786" s="17">
        <f t="shared" si="60"/>
        <v>81</v>
      </c>
      <c r="B786" t="str">
        <f ca="1">TEXT(DATE(YEAR(Invoer!$A$5),1,1)+INT((ROWS(B$2:B786)-1)/3),"jjjjmmdd")</f>
        <v>19430919</v>
      </c>
      <c r="C786" s="35" t="str">
        <f>INDEX(Data,2,2+MOD(ROWS(C$2:C786)-1,3))</f>
        <v>13.45</v>
      </c>
      <c r="D786" s="23" t="str">
        <f t="shared" ca="1" si="61"/>
        <v>—</v>
      </c>
      <c r="E786" s="40">
        <f t="shared" ca="1" si="62"/>
        <v>7</v>
      </c>
      <c r="F786" s="23" t="str">
        <f t="shared" ca="1" si="63"/>
        <v>—</v>
      </c>
      <c r="G786" s="40">
        <f t="shared" ca="1" si="64"/>
        <v>7</v>
      </c>
    </row>
    <row r="787" spans="1:7" x14ac:dyDescent="0.25">
      <c r="A787" s="17">
        <f t="shared" si="60"/>
        <v>81</v>
      </c>
      <c r="B787" t="str">
        <f ca="1">TEXT(DATE(YEAR(Invoer!$A$5),1,1)+INT((ROWS(B$2:B787)-1)/3),"jjjjmmdd")</f>
        <v>19430919</v>
      </c>
      <c r="C787" s="35" t="str">
        <f>INDEX(Data,2,2+MOD(ROWS(C$2:C787)-1,3))</f>
        <v>19.45</v>
      </c>
      <c r="D787" s="23" t="str">
        <f t="shared" ca="1" si="61"/>
        <v>—</v>
      </c>
      <c r="E787" s="40">
        <f t="shared" ca="1" si="62"/>
        <v>7</v>
      </c>
      <c r="F787" s="23" t="str">
        <f t="shared" ca="1" si="63"/>
        <v>—</v>
      </c>
      <c r="G787" s="40">
        <f t="shared" ca="1" si="64"/>
        <v>7</v>
      </c>
    </row>
    <row r="788" spans="1:7" x14ac:dyDescent="0.25">
      <c r="A788" s="17">
        <f t="shared" si="60"/>
        <v>81</v>
      </c>
      <c r="B788" t="str">
        <f ca="1">TEXT(DATE(YEAR(Invoer!$A$5),1,1)+INT((ROWS(B$2:B788)-1)/3),"jjjjmmdd")</f>
        <v>19430920</v>
      </c>
      <c r="C788" s="35" t="str">
        <f>INDEX(Data,2,2+MOD(ROWS(C$2:C788)-1,3))</f>
        <v>07.45</v>
      </c>
      <c r="D788" s="23" t="str">
        <f t="shared" ca="1" si="61"/>
        <v>—</v>
      </c>
      <c r="E788" s="40">
        <f t="shared" ca="1" si="62"/>
        <v>7</v>
      </c>
      <c r="F788" s="23" t="str">
        <f t="shared" ca="1" si="63"/>
        <v>—</v>
      </c>
      <c r="G788" s="40">
        <f t="shared" ca="1" si="64"/>
        <v>7</v>
      </c>
    </row>
    <row r="789" spans="1:7" x14ac:dyDescent="0.25">
      <c r="A789" s="17">
        <f t="shared" si="60"/>
        <v>81</v>
      </c>
      <c r="B789" t="str">
        <f ca="1">TEXT(DATE(YEAR(Invoer!$A$5),1,1)+INT((ROWS(B$2:B789)-1)/3),"jjjjmmdd")</f>
        <v>19430920</v>
      </c>
      <c r="C789" s="35" t="str">
        <f>INDEX(Data,2,2+MOD(ROWS(C$2:C789)-1,3))</f>
        <v>13.45</v>
      </c>
      <c r="D789" s="23" t="str">
        <f t="shared" ca="1" si="61"/>
        <v>—</v>
      </c>
      <c r="E789" s="40">
        <f t="shared" ca="1" si="62"/>
        <v>7</v>
      </c>
      <c r="F789" s="23" t="str">
        <f t="shared" ca="1" si="63"/>
        <v>—</v>
      </c>
      <c r="G789" s="40">
        <f t="shared" ca="1" si="64"/>
        <v>7</v>
      </c>
    </row>
    <row r="790" spans="1:7" x14ac:dyDescent="0.25">
      <c r="A790" s="17">
        <f t="shared" si="60"/>
        <v>81</v>
      </c>
      <c r="B790" t="str">
        <f ca="1">TEXT(DATE(YEAR(Invoer!$A$5),1,1)+INT((ROWS(B$2:B790)-1)/3),"jjjjmmdd")</f>
        <v>19430920</v>
      </c>
      <c r="C790" s="35" t="str">
        <f>INDEX(Data,2,2+MOD(ROWS(C$2:C790)-1,3))</f>
        <v>19.45</v>
      </c>
      <c r="D790" s="23" t="str">
        <f t="shared" ca="1" si="61"/>
        <v>—</v>
      </c>
      <c r="E790" s="40">
        <f t="shared" ca="1" si="62"/>
        <v>7</v>
      </c>
      <c r="F790" s="23" t="str">
        <f t="shared" ca="1" si="63"/>
        <v>—</v>
      </c>
      <c r="G790" s="40">
        <f t="shared" ca="1" si="64"/>
        <v>7</v>
      </c>
    </row>
    <row r="791" spans="1:7" x14ac:dyDescent="0.25">
      <c r="A791" s="17">
        <f t="shared" si="60"/>
        <v>81</v>
      </c>
      <c r="B791" t="str">
        <f ca="1">TEXT(DATE(YEAR(Invoer!$A$5),1,1)+INT((ROWS(B$2:B791)-1)/3),"jjjjmmdd")</f>
        <v>19430921</v>
      </c>
      <c r="C791" s="35" t="str">
        <f>INDEX(Data,2,2+MOD(ROWS(C$2:C791)-1,3))</f>
        <v>07.45</v>
      </c>
      <c r="D791" s="23" t="str">
        <f t="shared" ca="1" si="61"/>
        <v>—</v>
      </c>
      <c r="E791" s="40">
        <f t="shared" ca="1" si="62"/>
        <v>7</v>
      </c>
      <c r="F791" s="23" t="str">
        <f t="shared" ca="1" si="63"/>
        <v>—</v>
      </c>
      <c r="G791" s="40">
        <f t="shared" ca="1" si="64"/>
        <v>7</v>
      </c>
    </row>
    <row r="792" spans="1:7" x14ac:dyDescent="0.25">
      <c r="A792" s="17">
        <f t="shared" si="60"/>
        <v>81</v>
      </c>
      <c r="B792" t="str">
        <f ca="1">TEXT(DATE(YEAR(Invoer!$A$5),1,1)+INT((ROWS(B$2:B792)-1)/3),"jjjjmmdd")</f>
        <v>19430921</v>
      </c>
      <c r="C792" s="35" t="str">
        <f>INDEX(Data,2,2+MOD(ROWS(C$2:C792)-1,3))</f>
        <v>13.45</v>
      </c>
      <c r="D792" s="23" t="str">
        <f t="shared" ca="1" si="61"/>
        <v>—</v>
      </c>
      <c r="E792" s="40">
        <f t="shared" ca="1" si="62"/>
        <v>7</v>
      </c>
      <c r="F792" s="23" t="str">
        <f t="shared" ca="1" si="63"/>
        <v>—</v>
      </c>
      <c r="G792" s="40">
        <f t="shared" ca="1" si="64"/>
        <v>7</v>
      </c>
    </row>
    <row r="793" spans="1:7" x14ac:dyDescent="0.25">
      <c r="A793" s="17">
        <f t="shared" si="60"/>
        <v>81</v>
      </c>
      <c r="B793" t="str">
        <f ca="1">TEXT(DATE(YEAR(Invoer!$A$5),1,1)+INT((ROWS(B$2:B793)-1)/3),"jjjjmmdd")</f>
        <v>19430921</v>
      </c>
      <c r="C793" s="35" t="str">
        <f>INDEX(Data,2,2+MOD(ROWS(C$2:C793)-1,3))</f>
        <v>19.45</v>
      </c>
      <c r="D793" s="23" t="str">
        <f t="shared" ca="1" si="61"/>
        <v>—</v>
      </c>
      <c r="E793" s="40">
        <f t="shared" ca="1" si="62"/>
        <v>7</v>
      </c>
      <c r="F793" s="23" t="str">
        <f t="shared" ca="1" si="63"/>
        <v>—</v>
      </c>
      <c r="G793" s="40">
        <f t="shared" ca="1" si="64"/>
        <v>7</v>
      </c>
    </row>
    <row r="794" spans="1:7" x14ac:dyDescent="0.25">
      <c r="A794" s="17">
        <f t="shared" si="60"/>
        <v>81</v>
      </c>
      <c r="B794" t="str">
        <f ca="1">TEXT(DATE(YEAR(Invoer!$A$5),1,1)+INT((ROWS(B$2:B794)-1)/3),"jjjjmmdd")</f>
        <v>19430922</v>
      </c>
      <c r="C794" s="35" t="str">
        <f>INDEX(Data,2,2+MOD(ROWS(C$2:C794)-1,3))</f>
        <v>07.45</v>
      </c>
      <c r="D794" s="23" t="str">
        <f t="shared" ca="1" si="61"/>
        <v>—</v>
      </c>
      <c r="E794" s="40">
        <f t="shared" ca="1" si="62"/>
        <v>7</v>
      </c>
      <c r="F794" s="23" t="str">
        <f t="shared" ca="1" si="63"/>
        <v>—</v>
      </c>
      <c r="G794" s="40">
        <f t="shared" ca="1" si="64"/>
        <v>7</v>
      </c>
    </row>
    <row r="795" spans="1:7" x14ac:dyDescent="0.25">
      <c r="A795" s="17">
        <f t="shared" si="60"/>
        <v>81</v>
      </c>
      <c r="B795" t="str">
        <f ca="1">TEXT(DATE(YEAR(Invoer!$A$5),1,1)+INT((ROWS(B$2:B795)-1)/3),"jjjjmmdd")</f>
        <v>19430922</v>
      </c>
      <c r="C795" s="35" t="str">
        <f>INDEX(Data,2,2+MOD(ROWS(C$2:C795)-1,3))</f>
        <v>13.45</v>
      </c>
      <c r="D795" s="23" t="str">
        <f t="shared" ca="1" si="61"/>
        <v>—</v>
      </c>
      <c r="E795" s="40">
        <f t="shared" ca="1" si="62"/>
        <v>7</v>
      </c>
      <c r="F795" s="23" t="str">
        <f t="shared" ca="1" si="63"/>
        <v>—</v>
      </c>
      <c r="G795" s="40">
        <f t="shared" ca="1" si="64"/>
        <v>7</v>
      </c>
    </row>
    <row r="796" spans="1:7" x14ac:dyDescent="0.25">
      <c r="A796" s="17">
        <f t="shared" si="60"/>
        <v>81</v>
      </c>
      <c r="B796" t="str">
        <f ca="1">TEXT(DATE(YEAR(Invoer!$A$5),1,1)+INT((ROWS(B$2:B796)-1)/3),"jjjjmmdd")</f>
        <v>19430922</v>
      </c>
      <c r="C796" s="35" t="str">
        <f>INDEX(Data,2,2+MOD(ROWS(C$2:C796)-1,3))</f>
        <v>19.45</v>
      </c>
      <c r="D796" s="23" t="str">
        <f t="shared" ca="1" si="61"/>
        <v>—</v>
      </c>
      <c r="E796" s="40">
        <f t="shared" ca="1" si="62"/>
        <v>7</v>
      </c>
      <c r="F796" s="23" t="str">
        <f t="shared" ca="1" si="63"/>
        <v>—</v>
      </c>
      <c r="G796" s="40">
        <f t="shared" ca="1" si="64"/>
        <v>7</v>
      </c>
    </row>
    <row r="797" spans="1:7" x14ac:dyDescent="0.25">
      <c r="A797" s="17">
        <f t="shared" si="60"/>
        <v>81</v>
      </c>
      <c r="B797" t="str">
        <f ca="1">TEXT(DATE(YEAR(Invoer!$A$5),1,1)+INT((ROWS(B$2:B797)-1)/3),"jjjjmmdd")</f>
        <v>19430923</v>
      </c>
      <c r="C797" s="35" t="str">
        <f>INDEX(Data,2,2+MOD(ROWS(C$2:C797)-1,3))</f>
        <v>07.45</v>
      </c>
      <c r="D797" s="23" t="str">
        <f t="shared" ca="1" si="61"/>
        <v>—</v>
      </c>
      <c r="E797" s="40">
        <f t="shared" ca="1" si="62"/>
        <v>7</v>
      </c>
      <c r="F797" s="23" t="str">
        <f t="shared" ca="1" si="63"/>
        <v>—</v>
      </c>
      <c r="G797" s="40">
        <f t="shared" ca="1" si="64"/>
        <v>7</v>
      </c>
    </row>
    <row r="798" spans="1:7" x14ac:dyDescent="0.25">
      <c r="A798" s="17">
        <f t="shared" si="60"/>
        <v>81</v>
      </c>
      <c r="B798" t="str">
        <f ca="1">TEXT(DATE(YEAR(Invoer!$A$5),1,1)+INT((ROWS(B$2:B798)-1)/3),"jjjjmmdd")</f>
        <v>19430923</v>
      </c>
      <c r="C798" s="35" t="str">
        <f>INDEX(Data,2,2+MOD(ROWS(C$2:C798)-1,3))</f>
        <v>13.45</v>
      </c>
      <c r="D798" s="23" t="str">
        <f t="shared" ca="1" si="61"/>
        <v>—</v>
      </c>
      <c r="E798" s="40">
        <f t="shared" ca="1" si="62"/>
        <v>7</v>
      </c>
      <c r="F798" s="23" t="str">
        <f t="shared" ca="1" si="63"/>
        <v>—</v>
      </c>
      <c r="G798" s="40">
        <f t="shared" ca="1" si="64"/>
        <v>7</v>
      </c>
    </row>
    <row r="799" spans="1:7" x14ac:dyDescent="0.25">
      <c r="A799" s="17">
        <f t="shared" si="60"/>
        <v>81</v>
      </c>
      <c r="B799" t="str">
        <f ca="1">TEXT(DATE(YEAR(Invoer!$A$5),1,1)+INT((ROWS(B$2:B799)-1)/3),"jjjjmmdd")</f>
        <v>19430923</v>
      </c>
      <c r="C799" s="35" t="str">
        <f>INDEX(Data,2,2+MOD(ROWS(C$2:C799)-1,3))</f>
        <v>19.45</v>
      </c>
      <c r="D799" s="23" t="str">
        <f t="shared" ca="1" si="61"/>
        <v>—</v>
      </c>
      <c r="E799" s="40">
        <f t="shared" ca="1" si="62"/>
        <v>7</v>
      </c>
      <c r="F799" s="23" t="str">
        <f t="shared" ca="1" si="63"/>
        <v>—</v>
      </c>
      <c r="G799" s="40">
        <f t="shared" ca="1" si="64"/>
        <v>7</v>
      </c>
    </row>
    <row r="800" spans="1:7" x14ac:dyDescent="0.25">
      <c r="A800" s="17">
        <f t="shared" si="60"/>
        <v>81</v>
      </c>
      <c r="B800" t="str">
        <f ca="1">TEXT(DATE(YEAR(Invoer!$A$5),1,1)+INT((ROWS(B$2:B800)-1)/3),"jjjjmmdd")</f>
        <v>19430924</v>
      </c>
      <c r="C800" s="35" t="str">
        <f>INDEX(Data,2,2+MOD(ROWS(C$2:C800)-1,3))</f>
        <v>07.45</v>
      </c>
      <c r="D800" s="23" t="str">
        <f t="shared" ca="1" si="61"/>
        <v>—</v>
      </c>
      <c r="E800" s="40">
        <f t="shared" ca="1" si="62"/>
        <v>7</v>
      </c>
      <c r="F800" s="23" t="str">
        <f t="shared" ca="1" si="63"/>
        <v>—</v>
      </c>
      <c r="G800" s="40">
        <f t="shared" ca="1" si="64"/>
        <v>7</v>
      </c>
    </row>
    <row r="801" spans="1:7" x14ac:dyDescent="0.25">
      <c r="A801" s="17">
        <f t="shared" si="60"/>
        <v>81</v>
      </c>
      <c r="B801" t="str">
        <f ca="1">TEXT(DATE(YEAR(Invoer!$A$5),1,1)+INT((ROWS(B$2:B801)-1)/3),"jjjjmmdd")</f>
        <v>19430924</v>
      </c>
      <c r="C801" s="35" t="str">
        <f>INDEX(Data,2,2+MOD(ROWS(C$2:C801)-1,3))</f>
        <v>13.45</v>
      </c>
      <c r="D801" s="23" t="str">
        <f t="shared" ca="1" si="61"/>
        <v>—</v>
      </c>
      <c r="E801" s="40">
        <f t="shared" ca="1" si="62"/>
        <v>7</v>
      </c>
      <c r="F801" s="23" t="str">
        <f t="shared" ca="1" si="63"/>
        <v>—</v>
      </c>
      <c r="G801" s="40">
        <f t="shared" ca="1" si="64"/>
        <v>7</v>
      </c>
    </row>
    <row r="802" spans="1:7" x14ac:dyDescent="0.25">
      <c r="A802" s="17">
        <f t="shared" si="60"/>
        <v>81</v>
      </c>
      <c r="B802" t="str">
        <f ca="1">TEXT(DATE(YEAR(Invoer!$A$5),1,1)+INT((ROWS(B$2:B802)-1)/3),"jjjjmmdd")</f>
        <v>19430924</v>
      </c>
      <c r="C802" s="35" t="str">
        <f>INDEX(Data,2,2+MOD(ROWS(C$2:C802)-1,3))</f>
        <v>19.45</v>
      </c>
      <c r="D802" s="23" t="str">
        <f t="shared" ca="1" si="61"/>
        <v>—</v>
      </c>
      <c r="E802" s="40">
        <f t="shared" ca="1" si="62"/>
        <v>7</v>
      </c>
      <c r="F802" s="23" t="str">
        <f t="shared" ca="1" si="63"/>
        <v>—</v>
      </c>
      <c r="G802" s="40">
        <f t="shared" ca="1" si="64"/>
        <v>7</v>
      </c>
    </row>
    <row r="803" spans="1:7" x14ac:dyDescent="0.25">
      <c r="A803" s="17">
        <f t="shared" si="60"/>
        <v>81</v>
      </c>
      <c r="B803" t="str">
        <f ca="1">TEXT(DATE(YEAR(Invoer!$A$5),1,1)+INT((ROWS(B$2:B803)-1)/3),"jjjjmmdd")</f>
        <v>19430925</v>
      </c>
      <c r="C803" s="35" t="str">
        <f>INDEX(Data,2,2+MOD(ROWS(C$2:C803)-1,3))</f>
        <v>07.45</v>
      </c>
      <c r="D803" s="23" t="str">
        <f t="shared" ca="1" si="61"/>
        <v>—</v>
      </c>
      <c r="E803" s="40">
        <f t="shared" ca="1" si="62"/>
        <v>7</v>
      </c>
      <c r="F803" s="23" t="str">
        <f t="shared" ca="1" si="63"/>
        <v>—</v>
      </c>
      <c r="G803" s="40">
        <f t="shared" ca="1" si="64"/>
        <v>7</v>
      </c>
    </row>
    <row r="804" spans="1:7" x14ac:dyDescent="0.25">
      <c r="A804" s="17">
        <f t="shared" si="60"/>
        <v>81</v>
      </c>
      <c r="B804" t="str">
        <f ca="1">TEXT(DATE(YEAR(Invoer!$A$5),1,1)+INT((ROWS(B$2:B804)-1)/3),"jjjjmmdd")</f>
        <v>19430925</v>
      </c>
      <c r="C804" s="35" t="str">
        <f>INDEX(Data,2,2+MOD(ROWS(C$2:C804)-1,3))</f>
        <v>13.45</v>
      </c>
      <c r="D804" s="23" t="str">
        <f t="shared" ca="1" si="61"/>
        <v>—</v>
      </c>
      <c r="E804" s="40">
        <f t="shared" ca="1" si="62"/>
        <v>7</v>
      </c>
      <c r="F804" s="23" t="str">
        <f t="shared" ca="1" si="63"/>
        <v>—</v>
      </c>
      <c r="G804" s="40">
        <f t="shared" ca="1" si="64"/>
        <v>7</v>
      </c>
    </row>
    <row r="805" spans="1:7" x14ac:dyDescent="0.25">
      <c r="A805" s="17">
        <f t="shared" si="60"/>
        <v>81</v>
      </c>
      <c r="B805" t="str">
        <f ca="1">TEXT(DATE(YEAR(Invoer!$A$5),1,1)+INT((ROWS(B$2:B805)-1)/3),"jjjjmmdd")</f>
        <v>19430925</v>
      </c>
      <c r="C805" s="35" t="str">
        <f>INDEX(Data,2,2+MOD(ROWS(C$2:C805)-1,3))</f>
        <v>19.45</v>
      </c>
      <c r="D805" s="23" t="str">
        <f t="shared" ca="1" si="61"/>
        <v>—</v>
      </c>
      <c r="E805" s="40">
        <f t="shared" ca="1" si="62"/>
        <v>7</v>
      </c>
      <c r="F805" s="23" t="str">
        <f t="shared" ca="1" si="63"/>
        <v>—</v>
      </c>
      <c r="G805" s="40">
        <f t="shared" ca="1" si="64"/>
        <v>7</v>
      </c>
    </row>
    <row r="806" spans="1:7" x14ac:dyDescent="0.25">
      <c r="A806" s="17">
        <f t="shared" si="60"/>
        <v>81</v>
      </c>
      <c r="B806" t="str">
        <f ca="1">TEXT(DATE(YEAR(Invoer!$A$5),1,1)+INT((ROWS(B$2:B806)-1)/3),"jjjjmmdd")</f>
        <v>19430926</v>
      </c>
      <c r="C806" s="35" t="str">
        <f>INDEX(Data,2,2+MOD(ROWS(C$2:C806)-1,3))</f>
        <v>07.45</v>
      </c>
      <c r="D806" s="23" t="str">
        <f t="shared" ca="1" si="61"/>
        <v>—</v>
      </c>
      <c r="E806" s="40">
        <f t="shared" ca="1" si="62"/>
        <v>7</v>
      </c>
      <c r="F806" s="23" t="str">
        <f t="shared" ca="1" si="63"/>
        <v>—</v>
      </c>
      <c r="G806" s="40">
        <f t="shared" ca="1" si="64"/>
        <v>7</v>
      </c>
    </row>
    <row r="807" spans="1:7" x14ac:dyDescent="0.25">
      <c r="A807" s="17">
        <f t="shared" si="60"/>
        <v>81</v>
      </c>
      <c r="B807" t="str">
        <f ca="1">TEXT(DATE(YEAR(Invoer!$A$5),1,1)+INT((ROWS(B$2:B807)-1)/3),"jjjjmmdd")</f>
        <v>19430926</v>
      </c>
      <c r="C807" s="35" t="str">
        <f>INDEX(Data,2,2+MOD(ROWS(C$2:C807)-1,3))</f>
        <v>13.45</v>
      </c>
      <c r="D807" s="23" t="str">
        <f t="shared" ca="1" si="61"/>
        <v>—</v>
      </c>
      <c r="E807" s="40">
        <f t="shared" ca="1" si="62"/>
        <v>7</v>
      </c>
      <c r="F807" s="23" t="str">
        <f t="shared" ca="1" si="63"/>
        <v>—</v>
      </c>
      <c r="G807" s="40">
        <f t="shared" ca="1" si="64"/>
        <v>7</v>
      </c>
    </row>
    <row r="808" spans="1:7" x14ac:dyDescent="0.25">
      <c r="A808" s="17">
        <f t="shared" si="60"/>
        <v>81</v>
      </c>
      <c r="B808" t="str">
        <f ca="1">TEXT(DATE(YEAR(Invoer!$A$5),1,1)+INT((ROWS(B$2:B808)-1)/3),"jjjjmmdd")</f>
        <v>19430926</v>
      </c>
      <c r="C808" s="35" t="str">
        <f>INDEX(Data,2,2+MOD(ROWS(C$2:C808)-1,3))</f>
        <v>19.45</v>
      </c>
      <c r="D808" s="23" t="str">
        <f t="shared" ca="1" si="61"/>
        <v>—</v>
      </c>
      <c r="E808" s="40">
        <f t="shared" ca="1" si="62"/>
        <v>7</v>
      </c>
      <c r="F808" s="23" t="str">
        <f t="shared" ca="1" si="63"/>
        <v>—</v>
      </c>
      <c r="G808" s="40">
        <f t="shared" ca="1" si="64"/>
        <v>7</v>
      </c>
    </row>
    <row r="809" spans="1:7" x14ac:dyDescent="0.25">
      <c r="A809" s="17">
        <f t="shared" si="60"/>
        <v>81</v>
      </c>
      <c r="B809" t="str">
        <f ca="1">TEXT(DATE(YEAR(Invoer!$A$5),1,1)+INT((ROWS(B$2:B809)-1)/3),"jjjjmmdd")</f>
        <v>19430927</v>
      </c>
      <c r="C809" s="35" t="str">
        <f>INDEX(Data,2,2+MOD(ROWS(C$2:C809)-1,3))</f>
        <v>07.45</v>
      </c>
      <c r="D809" s="23" t="str">
        <f t="shared" ca="1" si="61"/>
        <v>—</v>
      </c>
      <c r="E809" s="40">
        <f t="shared" ca="1" si="62"/>
        <v>7</v>
      </c>
      <c r="F809" s="23" t="str">
        <f t="shared" ca="1" si="63"/>
        <v>—</v>
      </c>
      <c r="G809" s="40">
        <f t="shared" ca="1" si="64"/>
        <v>7</v>
      </c>
    </row>
    <row r="810" spans="1:7" x14ac:dyDescent="0.25">
      <c r="A810" s="17">
        <f t="shared" si="60"/>
        <v>81</v>
      </c>
      <c r="B810" t="str">
        <f ca="1">TEXT(DATE(YEAR(Invoer!$A$5),1,1)+INT((ROWS(B$2:B810)-1)/3),"jjjjmmdd")</f>
        <v>19430927</v>
      </c>
      <c r="C810" s="35" t="str">
        <f>INDEX(Data,2,2+MOD(ROWS(C$2:C810)-1,3))</f>
        <v>13.45</v>
      </c>
      <c r="D810" s="23" t="str">
        <f t="shared" ca="1" si="61"/>
        <v>—</v>
      </c>
      <c r="E810" s="40">
        <f t="shared" ca="1" si="62"/>
        <v>7</v>
      </c>
      <c r="F810" s="23" t="str">
        <f t="shared" ca="1" si="63"/>
        <v>—</v>
      </c>
      <c r="G810" s="40">
        <f t="shared" ca="1" si="64"/>
        <v>7</v>
      </c>
    </row>
    <row r="811" spans="1:7" x14ac:dyDescent="0.25">
      <c r="A811" s="17">
        <f t="shared" si="60"/>
        <v>81</v>
      </c>
      <c r="B811" t="str">
        <f ca="1">TEXT(DATE(YEAR(Invoer!$A$5),1,1)+INT((ROWS(B$2:B811)-1)/3),"jjjjmmdd")</f>
        <v>19430927</v>
      </c>
      <c r="C811" s="35" t="str">
        <f>INDEX(Data,2,2+MOD(ROWS(C$2:C811)-1,3))</f>
        <v>19.45</v>
      </c>
      <c r="D811" s="23" t="str">
        <f t="shared" ca="1" si="61"/>
        <v>—</v>
      </c>
      <c r="E811" s="40">
        <f t="shared" ca="1" si="62"/>
        <v>7</v>
      </c>
      <c r="F811" s="23" t="str">
        <f t="shared" ca="1" si="63"/>
        <v>—</v>
      </c>
      <c r="G811" s="40">
        <f t="shared" ca="1" si="64"/>
        <v>7</v>
      </c>
    </row>
    <row r="812" spans="1:7" x14ac:dyDescent="0.25">
      <c r="A812" s="17">
        <f t="shared" si="60"/>
        <v>81</v>
      </c>
      <c r="B812" t="str">
        <f ca="1">TEXT(DATE(YEAR(Invoer!$A$5),1,1)+INT((ROWS(B$2:B812)-1)/3),"jjjjmmdd")</f>
        <v>19430928</v>
      </c>
      <c r="C812" s="35" t="str">
        <f>INDEX(Data,2,2+MOD(ROWS(C$2:C812)-1,3))</f>
        <v>07.45</v>
      </c>
      <c r="D812" s="23" t="str">
        <f t="shared" ca="1" si="61"/>
        <v>—</v>
      </c>
      <c r="E812" s="40">
        <f t="shared" ca="1" si="62"/>
        <v>7</v>
      </c>
      <c r="F812" s="23" t="str">
        <f t="shared" ca="1" si="63"/>
        <v>—</v>
      </c>
      <c r="G812" s="40">
        <f t="shared" ca="1" si="64"/>
        <v>7</v>
      </c>
    </row>
    <row r="813" spans="1:7" x14ac:dyDescent="0.25">
      <c r="A813" s="17">
        <f t="shared" si="60"/>
        <v>81</v>
      </c>
      <c r="B813" t="str">
        <f ca="1">TEXT(DATE(YEAR(Invoer!$A$5),1,1)+INT((ROWS(B$2:B813)-1)/3),"jjjjmmdd")</f>
        <v>19430928</v>
      </c>
      <c r="C813" s="35" t="str">
        <f>INDEX(Data,2,2+MOD(ROWS(C$2:C813)-1,3))</f>
        <v>13.45</v>
      </c>
      <c r="D813" s="23" t="str">
        <f t="shared" ca="1" si="61"/>
        <v>—</v>
      </c>
      <c r="E813" s="40">
        <f t="shared" ca="1" si="62"/>
        <v>7</v>
      </c>
      <c r="F813" s="23" t="str">
        <f t="shared" ca="1" si="63"/>
        <v>—</v>
      </c>
      <c r="G813" s="40">
        <f t="shared" ca="1" si="64"/>
        <v>7</v>
      </c>
    </row>
    <row r="814" spans="1:7" x14ac:dyDescent="0.25">
      <c r="A814" s="17">
        <f t="shared" si="60"/>
        <v>81</v>
      </c>
      <c r="B814" t="str">
        <f ca="1">TEXT(DATE(YEAR(Invoer!$A$5),1,1)+INT((ROWS(B$2:B814)-1)/3),"jjjjmmdd")</f>
        <v>19430928</v>
      </c>
      <c r="C814" s="35" t="str">
        <f>INDEX(Data,2,2+MOD(ROWS(C$2:C814)-1,3))</f>
        <v>19.45</v>
      </c>
      <c r="D814" s="23" t="str">
        <f t="shared" ca="1" si="61"/>
        <v>—</v>
      </c>
      <c r="E814" s="40">
        <f t="shared" ca="1" si="62"/>
        <v>7</v>
      </c>
      <c r="F814" s="23" t="str">
        <f t="shared" ca="1" si="63"/>
        <v>—</v>
      </c>
      <c r="G814" s="40">
        <f t="shared" ca="1" si="64"/>
        <v>7</v>
      </c>
    </row>
    <row r="815" spans="1:7" x14ac:dyDescent="0.25">
      <c r="A815" s="17">
        <f t="shared" si="60"/>
        <v>81</v>
      </c>
      <c r="B815" t="str">
        <f ca="1">TEXT(DATE(YEAR(Invoer!$A$5),1,1)+INT((ROWS(B$2:B815)-1)/3),"jjjjmmdd")</f>
        <v>19430929</v>
      </c>
      <c r="C815" s="35" t="str">
        <f>INDEX(Data,2,2+MOD(ROWS(C$2:C815)-1,3))</f>
        <v>07.45</v>
      </c>
      <c r="D815" s="23" t="str">
        <f t="shared" ca="1" si="61"/>
        <v>—</v>
      </c>
      <c r="E815" s="40">
        <f t="shared" ca="1" si="62"/>
        <v>7</v>
      </c>
      <c r="F815" s="23" t="str">
        <f t="shared" ca="1" si="63"/>
        <v>—</v>
      </c>
      <c r="G815" s="40">
        <f t="shared" ca="1" si="64"/>
        <v>7</v>
      </c>
    </row>
    <row r="816" spans="1:7" x14ac:dyDescent="0.25">
      <c r="A816" s="17">
        <f t="shared" si="60"/>
        <v>81</v>
      </c>
      <c r="B816" t="str">
        <f ca="1">TEXT(DATE(YEAR(Invoer!$A$5),1,1)+INT((ROWS(B$2:B816)-1)/3),"jjjjmmdd")</f>
        <v>19430929</v>
      </c>
      <c r="C816" s="35" t="str">
        <f>INDEX(Data,2,2+MOD(ROWS(C$2:C816)-1,3))</f>
        <v>13.45</v>
      </c>
      <c r="D816" s="23" t="str">
        <f t="shared" ca="1" si="61"/>
        <v>—</v>
      </c>
      <c r="E816" s="40">
        <f t="shared" ca="1" si="62"/>
        <v>7</v>
      </c>
      <c r="F816" s="23" t="str">
        <f t="shared" ca="1" si="63"/>
        <v>—</v>
      </c>
      <c r="G816" s="40">
        <f t="shared" ca="1" si="64"/>
        <v>7</v>
      </c>
    </row>
    <row r="817" spans="1:7" x14ac:dyDescent="0.25">
      <c r="A817" s="17">
        <f t="shared" si="60"/>
        <v>81</v>
      </c>
      <c r="B817" t="str">
        <f ca="1">TEXT(DATE(YEAR(Invoer!$A$5),1,1)+INT((ROWS(B$2:B817)-1)/3),"jjjjmmdd")</f>
        <v>19430929</v>
      </c>
      <c r="C817" s="35" t="str">
        <f>INDEX(Data,2,2+MOD(ROWS(C$2:C817)-1,3))</f>
        <v>19.45</v>
      </c>
      <c r="D817" s="23" t="str">
        <f t="shared" ca="1" si="61"/>
        <v>—</v>
      </c>
      <c r="E817" s="40">
        <f t="shared" ca="1" si="62"/>
        <v>7</v>
      </c>
      <c r="F817" s="23" t="str">
        <f t="shared" ca="1" si="63"/>
        <v>—</v>
      </c>
      <c r="G817" s="40">
        <f t="shared" ca="1" si="64"/>
        <v>7</v>
      </c>
    </row>
    <row r="818" spans="1:7" x14ac:dyDescent="0.25">
      <c r="A818" s="17">
        <f t="shared" si="60"/>
        <v>81</v>
      </c>
      <c r="B818" t="str">
        <f ca="1">TEXT(DATE(YEAR(Invoer!$A$5),1,1)+INT((ROWS(B$2:B818)-1)/3),"jjjjmmdd")</f>
        <v>19430930</v>
      </c>
      <c r="C818" s="35" t="str">
        <f>INDEX(Data,2,2+MOD(ROWS(C$2:C818)-1,3))</f>
        <v>07.45</v>
      </c>
      <c r="D818" s="23" t="str">
        <f t="shared" ca="1" si="61"/>
        <v>—</v>
      </c>
      <c r="E818" s="40">
        <f t="shared" ca="1" si="62"/>
        <v>7</v>
      </c>
      <c r="F818" s="23" t="str">
        <f t="shared" ca="1" si="63"/>
        <v>—</v>
      </c>
      <c r="G818" s="40">
        <f t="shared" ca="1" si="64"/>
        <v>7</v>
      </c>
    </row>
    <row r="819" spans="1:7" x14ac:dyDescent="0.25">
      <c r="A819" s="17">
        <f t="shared" si="60"/>
        <v>81</v>
      </c>
      <c r="B819" t="str">
        <f ca="1">TEXT(DATE(YEAR(Invoer!$A$5),1,1)+INT((ROWS(B$2:B819)-1)/3),"jjjjmmdd")</f>
        <v>19430930</v>
      </c>
      <c r="C819" s="35" t="str">
        <f>INDEX(Data,2,2+MOD(ROWS(C$2:C819)-1,3))</f>
        <v>13.45</v>
      </c>
      <c r="D819" s="23" t="str">
        <f t="shared" ca="1" si="61"/>
        <v>—</v>
      </c>
      <c r="E819" s="40">
        <f t="shared" ca="1" si="62"/>
        <v>7</v>
      </c>
      <c r="F819" s="23" t="str">
        <f t="shared" ca="1" si="63"/>
        <v>—</v>
      </c>
      <c r="G819" s="40">
        <f t="shared" ca="1" si="64"/>
        <v>7</v>
      </c>
    </row>
    <row r="820" spans="1:7" x14ac:dyDescent="0.25">
      <c r="A820" s="17">
        <f t="shared" si="60"/>
        <v>81</v>
      </c>
      <c r="B820" t="str">
        <f ca="1">TEXT(DATE(YEAR(Invoer!$A$5),1,1)+INT((ROWS(B$2:B820)-1)/3),"jjjjmmdd")</f>
        <v>19430930</v>
      </c>
      <c r="C820" s="35" t="str">
        <f>INDEX(Data,2,2+MOD(ROWS(C$2:C820)-1,3))</f>
        <v>19.45</v>
      </c>
      <c r="D820" s="23" t="str">
        <f t="shared" ca="1" si="61"/>
        <v>—</v>
      </c>
      <c r="E820" s="40">
        <f t="shared" ca="1" si="62"/>
        <v>7</v>
      </c>
      <c r="F820" s="23" t="str">
        <f t="shared" ca="1" si="63"/>
        <v>—</v>
      </c>
      <c r="G820" s="40">
        <f t="shared" ca="1" si="64"/>
        <v>7</v>
      </c>
    </row>
    <row r="821" spans="1:7" x14ac:dyDescent="0.25">
      <c r="A821" s="17">
        <f t="shared" si="60"/>
        <v>81</v>
      </c>
      <c r="B821" t="str">
        <f ca="1">TEXT(DATE(YEAR(Invoer!$A$5),1,1)+INT((ROWS(B$2:B821)-1)/3),"jjjjmmdd")</f>
        <v>19431001</v>
      </c>
      <c r="C821" s="35" t="str">
        <f>INDEX(Data,2,2+MOD(ROWS(C$2:C821)-1,3))</f>
        <v>07.45</v>
      </c>
      <c r="D821" s="23" t="str">
        <f t="shared" ca="1" si="61"/>
        <v>—</v>
      </c>
      <c r="E821" s="40">
        <f t="shared" ca="1" si="62"/>
        <v>7</v>
      </c>
      <c r="F821" s="23" t="str">
        <f t="shared" ca="1" si="63"/>
        <v>—</v>
      </c>
      <c r="G821" s="40">
        <f t="shared" ca="1" si="64"/>
        <v>7</v>
      </c>
    </row>
    <row r="822" spans="1:7" x14ac:dyDescent="0.25">
      <c r="A822" s="17">
        <f t="shared" si="60"/>
        <v>81</v>
      </c>
      <c r="B822" t="str">
        <f ca="1">TEXT(DATE(YEAR(Invoer!$A$5),1,1)+INT((ROWS(B$2:B822)-1)/3),"jjjjmmdd")</f>
        <v>19431001</v>
      </c>
      <c r="C822" s="35" t="str">
        <f>INDEX(Data,2,2+MOD(ROWS(C$2:C822)-1,3))</f>
        <v>13.45</v>
      </c>
      <c r="D822" s="23" t="str">
        <f t="shared" ca="1" si="61"/>
        <v>—</v>
      </c>
      <c r="E822" s="40">
        <f t="shared" ca="1" si="62"/>
        <v>7</v>
      </c>
      <c r="F822" s="23" t="str">
        <f t="shared" ca="1" si="63"/>
        <v>—</v>
      </c>
      <c r="G822" s="40">
        <f t="shared" ca="1" si="64"/>
        <v>7</v>
      </c>
    </row>
    <row r="823" spans="1:7" x14ac:dyDescent="0.25">
      <c r="A823" s="17">
        <f t="shared" si="60"/>
        <v>81</v>
      </c>
      <c r="B823" t="str">
        <f ca="1">TEXT(DATE(YEAR(Invoer!$A$5),1,1)+INT((ROWS(B$2:B823)-1)/3),"jjjjmmdd")</f>
        <v>19431001</v>
      </c>
      <c r="C823" s="35" t="str">
        <f>INDEX(Data,2,2+MOD(ROWS(C$2:C823)-1,3))</f>
        <v>19.45</v>
      </c>
      <c r="D823" s="23" t="str">
        <f t="shared" ca="1" si="61"/>
        <v>—</v>
      </c>
      <c r="E823" s="40">
        <f t="shared" ca="1" si="62"/>
        <v>7</v>
      </c>
      <c r="F823" s="23" t="str">
        <f t="shared" ca="1" si="63"/>
        <v>—</v>
      </c>
      <c r="G823" s="40">
        <f t="shared" ca="1" si="64"/>
        <v>7</v>
      </c>
    </row>
    <row r="824" spans="1:7" x14ac:dyDescent="0.25">
      <c r="A824" s="17">
        <f t="shared" si="60"/>
        <v>81</v>
      </c>
      <c r="B824" t="str">
        <f ca="1">TEXT(DATE(YEAR(Invoer!$A$5),1,1)+INT((ROWS(B$2:B824)-1)/3),"jjjjmmdd")</f>
        <v>19431002</v>
      </c>
      <c r="C824" s="35" t="str">
        <f>INDEX(Data,2,2+MOD(ROWS(C$2:C824)-1,3))</f>
        <v>07.45</v>
      </c>
      <c r="D824" s="23" t="str">
        <f t="shared" ca="1" si="61"/>
        <v>—</v>
      </c>
      <c r="E824" s="40">
        <f t="shared" ca="1" si="62"/>
        <v>7</v>
      </c>
      <c r="F824" s="23" t="str">
        <f t="shared" ca="1" si="63"/>
        <v>—</v>
      </c>
      <c r="G824" s="40">
        <f t="shared" ca="1" si="64"/>
        <v>7</v>
      </c>
    </row>
    <row r="825" spans="1:7" x14ac:dyDescent="0.25">
      <c r="A825" s="17">
        <f t="shared" si="60"/>
        <v>81</v>
      </c>
      <c r="B825" t="str">
        <f ca="1">TEXT(DATE(YEAR(Invoer!$A$5),1,1)+INT((ROWS(B$2:B825)-1)/3),"jjjjmmdd")</f>
        <v>19431002</v>
      </c>
      <c r="C825" s="35" t="str">
        <f>INDEX(Data,2,2+MOD(ROWS(C$2:C825)-1,3))</f>
        <v>13.45</v>
      </c>
      <c r="D825" s="23" t="str">
        <f t="shared" ca="1" si="61"/>
        <v>—</v>
      </c>
      <c r="E825" s="40">
        <f t="shared" ca="1" si="62"/>
        <v>7</v>
      </c>
      <c r="F825" s="23" t="str">
        <f t="shared" ca="1" si="63"/>
        <v>—</v>
      </c>
      <c r="G825" s="40">
        <f t="shared" ca="1" si="64"/>
        <v>7</v>
      </c>
    </row>
    <row r="826" spans="1:7" x14ac:dyDescent="0.25">
      <c r="A826" s="17">
        <f t="shared" si="60"/>
        <v>81</v>
      </c>
      <c r="B826" t="str">
        <f ca="1">TEXT(DATE(YEAR(Invoer!$A$5),1,1)+INT((ROWS(B$2:B826)-1)/3),"jjjjmmdd")</f>
        <v>19431002</v>
      </c>
      <c r="C826" s="35" t="str">
        <f>INDEX(Data,2,2+MOD(ROWS(C$2:C826)-1,3))</f>
        <v>19.45</v>
      </c>
      <c r="D826" s="23" t="str">
        <f t="shared" ca="1" si="61"/>
        <v>—</v>
      </c>
      <c r="E826" s="40">
        <f t="shared" ca="1" si="62"/>
        <v>7</v>
      </c>
      <c r="F826" s="23" t="str">
        <f t="shared" ca="1" si="63"/>
        <v>—</v>
      </c>
      <c r="G826" s="40">
        <f t="shared" ca="1" si="64"/>
        <v>7</v>
      </c>
    </row>
    <row r="827" spans="1:7" x14ac:dyDescent="0.25">
      <c r="A827" s="17">
        <f t="shared" si="60"/>
        <v>81</v>
      </c>
      <c r="B827" t="str">
        <f ca="1">TEXT(DATE(YEAR(Invoer!$A$5),1,1)+INT((ROWS(B$2:B827)-1)/3),"jjjjmmdd")</f>
        <v>19431003</v>
      </c>
      <c r="C827" s="35" t="str">
        <f>INDEX(Data,2,2+MOD(ROWS(C$2:C827)-1,3))</f>
        <v>07.45</v>
      </c>
      <c r="D827" s="23" t="str">
        <f t="shared" ca="1" si="61"/>
        <v>—</v>
      </c>
      <c r="E827" s="40">
        <f t="shared" ca="1" si="62"/>
        <v>7</v>
      </c>
      <c r="F827" s="23" t="str">
        <f t="shared" ca="1" si="63"/>
        <v>—</v>
      </c>
      <c r="G827" s="40">
        <f t="shared" ca="1" si="64"/>
        <v>7</v>
      </c>
    </row>
    <row r="828" spans="1:7" x14ac:dyDescent="0.25">
      <c r="A828" s="17">
        <f t="shared" si="60"/>
        <v>81</v>
      </c>
      <c r="B828" t="str">
        <f ca="1">TEXT(DATE(YEAR(Invoer!$A$5),1,1)+INT((ROWS(B$2:B828)-1)/3),"jjjjmmdd")</f>
        <v>19431003</v>
      </c>
      <c r="C828" s="35" t="str">
        <f>INDEX(Data,2,2+MOD(ROWS(C$2:C828)-1,3))</f>
        <v>13.45</v>
      </c>
      <c r="D828" s="23" t="str">
        <f t="shared" ca="1" si="61"/>
        <v>—</v>
      </c>
      <c r="E828" s="40">
        <f t="shared" ca="1" si="62"/>
        <v>7</v>
      </c>
      <c r="F828" s="23" t="str">
        <f t="shared" ca="1" si="63"/>
        <v>—</v>
      </c>
      <c r="G828" s="40">
        <f t="shared" ca="1" si="64"/>
        <v>7</v>
      </c>
    </row>
    <row r="829" spans="1:7" x14ac:dyDescent="0.25">
      <c r="A829" s="17">
        <f t="shared" si="60"/>
        <v>81</v>
      </c>
      <c r="B829" t="str">
        <f ca="1">TEXT(DATE(YEAR(Invoer!$A$5),1,1)+INT((ROWS(B$2:B829)-1)/3),"jjjjmmdd")</f>
        <v>19431003</v>
      </c>
      <c r="C829" s="35" t="str">
        <f>INDEX(Data,2,2+MOD(ROWS(C$2:C829)-1,3))</f>
        <v>19.45</v>
      </c>
      <c r="D829" s="23" t="str">
        <f t="shared" ca="1" si="61"/>
        <v>—</v>
      </c>
      <c r="E829" s="40">
        <f t="shared" ca="1" si="62"/>
        <v>7</v>
      </c>
      <c r="F829" s="23" t="str">
        <f t="shared" ca="1" si="63"/>
        <v>—</v>
      </c>
      <c r="G829" s="40">
        <f t="shared" ca="1" si="64"/>
        <v>7</v>
      </c>
    </row>
    <row r="830" spans="1:7" x14ac:dyDescent="0.25">
      <c r="A830" s="17">
        <f t="shared" si="60"/>
        <v>81</v>
      </c>
      <c r="B830" t="str">
        <f ca="1">TEXT(DATE(YEAR(Invoer!$A$5),1,1)+INT((ROWS(B$2:B830)-1)/3),"jjjjmmdd")</f>
        <v>19431004</v>
      </c>
      <c r="C830" s="35" t="str">
        <f>INDEX(Data,2,2+MOD(ROWS(C$2:C830)-1,3))</f>
        <v>07.45</v>
      </c>
      <c r="D830" s="23" t="str">
        <f t="shared" ca="1" si="61"/>
        <v>—</v>
      </c>
      <c r="E830" s="40">
        <f t="shared" ca="1" si="62"/>
        <v>7</v>
      </c>
      <c r="F830" s="23" t="str">
        <f t="shared" ca="1" si="63"/>
        <v>—</v>
      </c>
      <c r="G830" s="40">
        <f t="shared" ca="1" si="64"/>
        <v>7</v>
      </c>
    </row>
    <row r="831" spans="1:7" x14ac:dyDescent="0.25">
      <c r="A831" s="17">
        <f t="shared" si="60"/>
        <v>81</v>
      </c>
      <c r="B831" t="str">
        <f ca="1">TEXT(DATE(YEAR(Invoer!$A$5),1,1)+INT((ROWS(B$2:B831)-1)/3),"jjjjmmdd")</f>
        <v>19431004</v>
      </c>
      <c r="C831" s="35" t="str">
        <f>INDEX(Data,2,2+MOD(ROWS(C$2:C831)-1,3))</f>
        <v>13.45</v>
      </c>
      <c r="D831" s="23" t="str">
        <f t="shared" ca="1" si="61"/>
        <v>—</v>
      </c>
      <c r="E831" s="40">
        <f t="shared" ca="1" si="62"/>
        <v>7</v>
      </c>
      <c r="F831" s="23" t="str">
        <f t="shared" ca="1" si="63"/>
        <v>—</v>
      </c>
      <c r="G831" s="40">
        <f t="shared" ca="1" si="64"/>
        <v>7</v>
      </c>
    </row>
    <row r="832" spans="1:7" x14ac:dyDescent="0.25">
      <c r="A832" s="17">
        <f t="shared" si="60"/>
        <v>81</v>
      </c>
      <c r="B832" t="str">
        <f ca="1">TEXT(DATE(YEAR(Invoer!$A$5),1,1)+INT((ROWS(B$2:B832)-1)/3),"jjjjmmdd")</f>
        <v>19431004</v>
      </c>
      <c r="C832" s="35" t="str">
        <f>INDEX(Data,2,2+MOD(ROWS(C$2:C832)-1,3))</f>
        <v>19.45</v>
      </c>
      <c r="D832" s="23" t="str">
        <f t="shared" ca="1" si="61"/>
        <v>—</v>
      </c>
      <c r="E832" s="40">
        <f t="shared" ca="1" si="62"/>
        <v>7</v>
      </c>
      <c r="F832" s="23" t="str">
        <f t="shared" ca="1" si="63"/>
        <v>—</v>
      </c>
      <c r="G832" s="40">
        <f t="shared" ca="1" si="64"/>
        <v>7</v>
      </c>
    </row>
    <row r="833" spans="1:7" x14ac:dyDescent="0.25">
      <c r="A833" s="17">
        <f t="shared" si="60"/>
        <v>81</v>
      </c>
      <c r="B833" t="str">
        <f ca="1">TEXT(DATE(YEAR(Invoer!$A$5),1,1)+INT((ROWS(B$2:B833)-1)/3),"jjjjmmdd")</f>
        <v>19431005</v>
      </c>
      <c r="C833" s="35" t="str">
        <f>INDEX(Data,2,2+MOD(ROWS(C$2:C833)-1,3))</f>
        <v>07.45</v>
      </c>
      <c r="D833" s="23" t="str">
        <f t="shared" ca="1" si="61"/>
        <v>—</v>
      </c>
      <c r="E833" s="40">
        <f t="shared" ca="1" si="62"/>
        <v>7</v>
      </c>
      <c r="F833" s="23" t="str">
        <f t="shared" ca="1" si="63"/>
        <v>—</v>
      </c>
      <c r="G833" s="40">
        <f t="shared" ca="1" si="64"/>
        <v>7</v>
      </c>
    </row>
    <row r="834" spans="1:7" x14ac:dyDescent="0.25">
      <c r="A834" s="17">
        <f t="shared" ref="A834:A897" si="65">INDEX(Stations,2,1)</f>
        <v>81</v>
      </c>
      <c r="B834" t="str">
        <f ca="1">TEXT(DATE(YEAR(Invoer!$A$5),1,1)+INT((ROWS(B$2:B834)-1)/3),"jjjjmmdd")</f>
        <v>19431005</v>
      </c>
      <c r="C834" s="35" t="str">
        <f>INDEX(Data,2,2+MOD(ROWS(C$2:C834)-1,3))</f>
        <v>13.45</v>
      </c>
      <c r="D834" s="23" t="str">
        <f t="shared" ref="D834:D897" ca="1" si="66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—</v>
      </c>
      <c r="E834" s="40">
        <f t="shared" ref="E834:E897" ca="1" si="67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7</v>
      </c>
      <c r="F834" s="23" t="str">
        <f t="shared" ref="F834:F897" ca="1" si="68">IF(OR(ISBLANK(VLOOKUP(DATEVALUE(LEFT($B834,4)&amp;"-"&amp;MID($B834,5,2)&amp;"-"&amp;RIGHT($B834,2)),Data,MATCH(LEFT(VLOOKUP(F$1,Parameters,2,FALSE()),4)&amp;"*",OFFSET(Data,0,0,1),0)+MATCH($C834,OFFSET(Data,1,0,1),0)-2,FALSE())),ISTEXT(VLOOKUP(DATEVALUE(LEFT($B834,4)&amp;"-"&amp;MID($B834,5,2)&amp;"-"&amp;RIGHT($B834,2)),Data,MATCH(LEFT(VLOOKUP(F$1,Parameters,2,FALSE()),4)&amp;"*",OFFSET(Data,0,0,1),0)+MATCH($C834,OFFSET(Data,1,0,1),0)-2,FALSE()))),"—",VLOOKUP(DATEVALUE(LEFT($B834,4)&amp;"-"&amp;MID($B834,5,2)&amp;"-"&amp;RIGHT($B834,2)),Data,MATCH(LEFT(VLOOKUP(F$1,Parameters,2,FALSE()),4)&amp;"*",OFFSET(Data,0,0,1),0)+MATCH($C834,OFFSET(Data,1,0,1),0)-2,FALSE()))</f>
        <v>—</v>
      </c>
      <c r="G834" s="40">
        <f t="shared" ref="G834:G897" ca="1" si="69">IF(OR(ISBLANK(VLOOKUP(DATEVALUE(LEFT($B834,4)&amp;"-"&amp;MID($B834,5,2)&amp;"-"&amp;RIGHT($B834,2)),Data,MATCH(LEFT(VLOOKUP(MID(G$1,2,LEN(G$1)-1),Parameters,2,FALSE()),4)&amp;"*",OFFSET(Data,0,0,1),0)+MATCH($C834,OFFSET(Data,1,0,1),0)-2,FALSE())),ISTEXT(VLOOKUP(DATEVALUE(LEFT($B834,4)&amp;"-"&amp;MID($B834,5,2)&amp;"-"&amp;RIGHT($B834,2)),Data,MATCH(LEFT(VLOOKUP(MID(G$1,2,LEN(G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G$1,2,LEN(G$1)-1),Parameters,2,FALSE()),4)&amp;"*",OFFSET(Catalogus,0,0,1),0)+MATCH($C834,OFFSET(Catalogus,1,0,1),0)-2,FALSE())))</f>
        <v>7</v>
      </c>
    </row>
    <row r="835" spans="1:7" x14ac:dyDescent="0.25">
      <c r="A835" s="17">
        <f t="shared" si="65"/>
        <v>81</v>
      </c>
      <c r="B835" t="str">
        <f ca="1">TEXT(DATE(YEAR(Invoer!$A$5),1,1)+INT((ROWS(B$2:B835)-1)/3),"jjjjmmdd")</f>
        <v>19431005</v>
      </c>
      <c r="C835" s="35" t="str">
        <f>INDEX(Data,2,2+MOD(ROWS(C$2:C835)-1,3))</f>
        <v>19.45</v>
      </c>
      <c r="D835" s="23" t="str">
        <f t="shared" ca="1" si="66"/>
        <v>—</v>
      </c>
      <c r="E835" s="40">
        <f t="shared" ca="1" si="67"/>
        <v>7</v>
      </c>
      <c r="F835" s="23" t="str">
        <f t="shared" ca="1" si="68"/>
        <v>—</v>
      </c>
      <c r="G835" s="40">
        <f t="shared" ca="1" si="69"/>
        <v>7</v>
      </c>
    </row>
    <row r="836" spans="1:7" x14ac:dyDescent="0.25">
      <c r="A836" s="17">
        <f t="shared" si="65"/>
        <v>81</v>
      </c>
      <c r="B836" t="str">
        <f ca="1">TEXT(DATE(YEAR(Invoer!$A$5),1,1)+INT((ROWS(B$2:B836)-1)/3),"jjjjmmdd")</f>
        <v>19431006</v>
      </c>
      <c r="C836" s="35" t="str">
        <f>INDEX(Data,2,2+MOD(ROWS(C$2:C836)-1,3))</f>
        <v>07.45</v>
      </c>
      <c r="D836" s="23" t="str">
        <f t="shared" ca="1" si="66"/>
        <v>—</v>
      </c>
      <c r="E836" s="40">
        <f t="shared" ca="1" si="67"/>
        <v>7</v>
      </c>
      <c r="F836" s="23" t="str">
        <f t="shared" ca="1" si="68"/>
        <v>—</v>
      </c>
      <c r="G836" s="40">
        <f t="shared" ca="1" si="69"/>
        <v>7</v>
      </c>
    </row>
    <row r="837" spans="1:7" x14ac:dyDescent="0.25">
      <c r="A837" s="17">
        <f t="shared" si="65"/>
        <v>81</v>
      </c>
      <c r="B837" t="str">
        <f ca="1">TEXT(DATE(YEAR(Invoer!$A$5),1,1)+INT((ROWS(B$2:B837)-1)/3),"jjjjmmdd")</f>
        <v>19431006</v>
      </c>
      <c r="C837" s="35" t="str">
        <f>INDEX(Data,2,2+MOD(ROWS(C$2:C837)-1,3))</f>
        <v>13.45</v>
      </c>
      <c r="D837" s="23" t="str">
        <f t="shared" ca="1" si="66"/>
        <v>—</v>
      </c>
      <c r="E837" s="40">
        <f t="shared" ca="1" si="67"/>
        <v>7</v>
      </c>
      <c r="F837" s="23" t="str">
        <f t="shared" ca="1" si="68"/>
        <v>—</v>
      </c>
      <c r="G837" s="40">
        <f t="shared" ca="1" si="69"/>
        <v>7</v>
      </c>
    </row>
    <row r="838" spans="1:7" x14ac:dyDescent="0.25">
      <c r="A838" s="17">
        <f t="shared" si="65"/>
        <v>81</v>
      </c>
      <c r="B838" t="str">
        <f ca="1">TEXT(DATE(YEAR(Invoer!$A$5),1,1)+INT((ROWS(B$2:B838)-1)/3),"jjjjmmdd")</f>
        <v>19431006</v>
      </c>
      <c r="C838" s="35" t="str">
        <f>INDEX(Data,2,2+MOD(ROWS(C$2:C838)-1,3))</f>
        <v>19.45</v>
      </c>
      <c r="D838" s="23" t="str">
        <f t="shared" ca="1" si="66"/>
        <v>—</v>
      </c>
      <c r="E838" s="40">
        <f t="shared" ca="1" si="67"/>
        <v>7</v>
      </c>
      <c r="F838" s="23" t="str">
        <f t="shared" ca="1" si="68"/>
        <v>—</v>
      </c>
      <c r="G838" s="40">
        <f t="shared" ca="1" si="69"/>
        <v>7</v>
      </c>
    </row>
    <row r="839" spans="1:7" x14ac:dyDescent="0.25">
      <c r="A839" s="17">
        <f t="shared" si="65"/>
        <v>81</v>
      </c>
      <c r="B839" t="str">
        <f ca="1">TEXT(DATE(YEAR(Invoer!$A$5),1,1)+INT((ROWS(B$2:B839)-1)/3),"jjjjmmdd")</f>
        <v>19431007</v>
      </c>
      <c r="C839" s="35" t="str">
        <f>INDEX(Data,2,2+MOD(ROWS(C$2:C839)-1,3))</f>
        <v>07.45</v>
      </c>
      <c r="D839" s="23" t="str">
        <f t="shared" ca="1" si="66"/>
        <v>—</v>
      </c>
      <c r="E839" s="40">
        <f t="shared" ca="1" si="67"/>
        <v>7</v>
      </c>
      <c r="F839" s="23" t="str">
        <f t="shared" ca="1" si="68"/>
        <v>—</v>
      </c>
      <c r="G839" s="40">
        <f t="shared" ca="1" si="69"/>
        <v>7</v>
      </c>
    </row>
    <row r="840" spans="1:7" x14ac:dyDescent="0.25">
      <c r="A840" s="17">
        <f t="shared" si="65"/>
        <v>81</v>
      </c>
      <c r="B840" t="str">
        <f ca="1">TEXT(DATE(YEAR(Invoer!$A$5),1,1)+INT((ROWS(B$2:B840)-1)/3),"jjjjmmdd")</f>
        <v>19431007</v>
      </c>
      <c r="C840" s="35" t="str">
        <f>INDEX(Data,2,2+MOD(ROWS(C$2:C840)-1,3))</f>
        <v>13.45</v>
      </c>
      <c r="D840" s="23" t="str">
        <f t="shared" ca="1" si="66"/>
        <v>—</v>
      </c>
      <c r="E840" s="40">
        <f t="shared" ca="1" si="67"/>
        <v>7</v>
      </c>
      <c r="F840" s="23" t="str">
        <f t="shared" ca="1" si="68"/>
        <v>—</v>
      </c>
      <c r="G840" s="40">
        <f t="shared" ca="1" si="69"/>
        <v>7</v>
      </c>
    </row>
    <row r="841" spans="1:7" x14ac:dyDescent="0.25">
      <c r="A841" s="17">
        <f t="shared" si="65"/>
        <v>81</v>
      </c>
      <c r="B841" t="str">
        <f ca="1">TEXT(DATE(YEAR(Invoer!$A$5),1,1)+INT((ROWS(B$2:B841)-1)/3),"jjjjmmdd")</f>
        <v>19431007</v>
      </c>
      <c r="C841" s="35" t="str">
        <f>INDEX(Data,2,2+MOD(ROWS(C$2:C841)-1,3))</f>
        <v>19.45</v>
      </c>
      <c r="D841" s="23" t="str">
        <f t="shared" ca="1" si="66"/>
        <v>—</v>
      </c>
      <c r="E841" s="40">
        <f t="shared" ca="1" si="67"/>
        <v>7</v>
      </c>
      <c r="F841" s="23" t="str">
        <f t="shared" ca="1" si="68"/>
        <v>—</v>
      </c>
      <c r="G841" s="40">
        <f t="shared" ca="1" si="69"/>
        <v>7</v>
      </c>
    </row>
    <row r="842" spans="1:7" x14ac:dyDescent="0.25">
      <c r="A842" s="17">
        <f t="shared" si="65"/>
        <v>81</v>
      </c>
      <c r="B842" t="str">
        <f ca="1">TEXT(DATE(YEAR(Invoer!$A$5),1,1)+INT((ROWS(B$2:B842)-1)/3),"jjjjmmdd")</f>
        <v>19431008</v>
      </c>
      <c r="C842" s="35" t="str">
        <f>INDEX(Data,2,2+MOD(ROWS(C$2:C842)-1,3))</f>
        <v>07.45</v>
      </c>
      <c r="D842" s="23" t="str">
        <f t="shared" ca="1" si="66"/>
        <v>—</v>
      </c>
      <c r="E842" s="40">
        <f t="shared" ca="1" si="67"/>
        <v>7</v>
      </c>
      <c r="F842" s="23" t="str">
        <f t="shared" ca="1" si="68"/>
        <v>—</v>
      </c>
      <c r="G842" s="40">
        <f t="shared" ca="1" si="69"/>
        <v>7</v>
      </c>
    </row>
    <row r="843" spans="1:7" x14ac:dyDescent="0.25">
      <c r="A843" s="17">
        <f t="shared" si="65"/>
        <v>81</v>
      </c>
      <c r="B843" t="str">
        <f ca="1">TEXT(DATE(YEAR(Invoer!$A$5),1,1)+INT((ROWS(B$2:B843)-1)/3),"jjjjmmdd")</f>
        <v>19431008</v>
      </c>
      <c r="C843" s="35" t="str">
        <f>INDEX(Data,2,2+MOD(ROWS(C$2:C843)-1,3))</f>
        <v>13.45</v>
      </c>
      <c r="D843" s="23" t="str">
        <f t="shared" ca="1" si="66"/>
        <v>—</v>
      </c>
      <c r="E843" s="40">
        <f t="shared" ca="1" si="67"/>
        <v>7</v>
      </c>
      <c r="F843" s="23" t="str">
        <f t="shared" ca="1" si="68"/>
        <v>—</v>
      </c>
      <c r="G843" s="40">
        <f t="shared" ca="1" si="69"/>
        <v>7</v>
      </c>
    </row>
    <row r="844" spans="1:7" x14ac:dyDescent="0.25">
      <c r="A844" s="17">
        <f t="shared" si="65"/>
        <v>81</v>
      </c>
      <c r="B844" t="str">
        <f ca="1">TEXT(DATE(YEAR(Invoer!$A$5),1,1)+INT((ROWS(B$2:B844)-1)/3),"jjjjmmdd")</f>
        <v>19431008</v>
      </c>
      <c r="C844" s="35" t="str">
        <f>INDEX(Data,2,2+MOD(ROWS(C$2:C844)-1,3))</f>
        <v>19.45</v>
      </c>
      <c r="D844" s="23" t="str">
        <f t="shared" ca="1" si="66"/>
        <v>—</v>
      </c>
      <c r="E844" s="40">
        <f t="shared" ca="1" si="67"/>
        <v>7</v>
      </c>
      <c r="F844" s="23" t="str">
        <f t="shared" ca="1" si="68"/>
        <v>—</v>
      </c>
      <c r="G844" s="40">
        <f t="shared" ca="1" si="69"/>
        <v>7</v>
      </c>
    </row>
    <row r="845" spans="1:7" x14ac:dyDescent="0.25">
      <c r="A845" s="17">
        <f t="shared" si="65"/>
        <v>81</v>
      </c>
      <c r="B845" t="str">
        <f ca="1">TEXT(DATE(YEAR(Invoer!$A$5),1,1)+INT((ROWS(B$2:B845)-1)/3),"jjjjmmdd")</f>
        <v>19431009</v>
      </c>
      <c r="C845" s="35" t="str">
        <f>INDEX(Data,2,2+MOD(ROWS(C$2:C845)-1,3))</f>
        <v>07.45</v>
      </c>
      <c r="D845" s="23" t="str">
        <f t="shared" ca="1" si="66"/>
        <v>—</v>
      </c>
      <c r="E845" s="40">
        <f t="shared" ca="1" si="67"/>
        <v>7</v>
      </c>
      <c r="F845" s="23" t="str">
        <f t="shared" ca="1" si="68"/>
        <v>—</v>
      </c>
      <c r="G845" s="40">
        <f t="shared" ca="1" si="69"/>
        <v>7</v>
      </c>
    </row>
    <row r="846" spans="1:7" x14ac:dyDescent="0.25">
      <c r="A846" s="17">
        <f t="shared" si="65"/>
        <v>81</v>
      </c>
      <c r="B846" t="str">
        <f ca="1">TEXT(DATE(YEAR(Invoer!$A$5),1,1)+INT((ROWS(B$2:B846)-1)/3),"jjjjmmdd")</f>
        <v>19431009</v>
      </c>
      <c r="C846" s="35" t="str">
        <f>INDEX(Data,2,2+MOD(ROWS(C$2:C846)-1,3))</f>
        <v>13.45</v>
      </c>
      <c r="D846" s="23" t="str">
        <f t="shared" ca="1" si="66"/>
        <v>—</v>
      </c>
      <c r="E846" s="40">
        <f t="shared" ca="1" si="67"/>
        <v>7</v>
      </c>
      <c r="F846" s="23" t="str">
        <f t="shared" ca="1" si="68"/>
        <v>—</v>
      </c>
      <c r="G846" s="40">
        <f t="shared" ca="1" si="69"/>
        <v>7</v>
      </c>
    </row>
    <row r="847" spans="1:7" x14ac:dyDescent="0.25">
      <c r="A847" s="17">
        <f t="shared" si="65"/>
        <v>81</v>
      </c>
      <c r="B847" t="str">
        <f ca="1">TEXT(DATE(YEAR(Invoer!$A$5),1,1)+INT((ROWS(B$2:B847)-1)/3),"jjjjmmdd")</f>
        <v>19431009</v>
      </c>
      <c r="C847" s="35" t="str">
        <f>INDEX(Data,2,2+MOD(ROWS(C$2:C847)-1,3))</f>
        <v>19.45</v>
      </c>
      <c r="D847" s="23" t="str">
        <f t="shared" ca="1" si="66"/>
        <v>—</v>
      </c>
      <c r="E847" s="40">
        <f t="shared" ca="1" si="67"/>
        <v>7</v>
      </c>
      <c r="F847" s="23" t="str">
        <f t="shared" ca="1" si="68"/>
        <v>—</v>
      </c>
      <c r="G847" s="40">
        <f t="shared" ca="1" si="69"/>
        <v>7</v>
      </c>
    </row>
    <row r="848" spans="1:7" x14ac:dyDescent="0.25">
      <c r="A848" s="17">
        <f t="shared" si="65"/>
        <v>81</v>
      </c>
      <c r="B848" t="str">
        <f ca="1">TEXT(DATE(YEAR(Invoer!$A$5),1,1)+INT((ROWS(B$2:B848)-1)/3),"jjjjmmdd")</f>
        <v>19431010</v>
      </c>
      <c r="C848" s="35" t="str">
        <f>INDEX(Data,2,2+MOD(ROWS(C$2:C848)-1,3))</f>
        <v>07.45</v>
      </c>
      <c r="D848" s="23" t="str">
        <f t="shared" ca="1" si="66"/>
        <v>—</v>
      </c>
      <c r="E848" s="40">
        <f t="shared" ca="1" si="67"/>
        <v>7</v>
      </c>
      <c r="F848" s="23" t="str">
        <f t="shared" ca="1" si="68"/>
        <v>—</v>
      </c>
      <c r="G848" s="40">
        <f t="shared" ca="1" si="69"/>
        <v>7</v>
      </c>
    </row>
    <row r="849" spans="1:7" x14ac:dyDescent="0.25">
      <c r="A849" s="17">
        <f t="shared" si="65"/>
        <v>81</v>
      </c>
      <c r="B849" t="str">
        <f ca="1">TEXT(DATE(YEAR(Invoer!$A$5),1,1)+INT((ROWS(B$2:B849)-1)/3),"jjjjmmdd")</f>
        <v>19431010</v>
      </c>
      <c r="C849" s="35" t="str">
        <f>INDEX(Data,2,2+MOD(ROWS(C$2:C849)-1,3))</f>
        <v>13.45</v>
      </c>
      <c r="D849" s="23" t="str">
        <f t="shared" ca="1" si="66"/>
        <v>—</v>
      </c>
      <c r="E849" s="40">
        <f t="shared" ca="1" si="67"/>
        <v>7</v>
      </c>
      <c r="F849" s="23" t="str">
        <f t="shared" ca="1" si="68"/>
        <v>—</v>
      </c>
      <c r="G849" s="40">
        <f t="shared" ca="1" si="69"/>
        <v>7</v>
      </c>
    </row>
    <row r="850" spans="1:7" x14ac:dyDescent="0.25">
      <c r="A850" s="17">
        <f t="shared" si="65"/>
        <v>81</v>
      </c>
      <c r="B850" t="str">
        <f ca="1">TEXT(DATE(YEAR(Invoer!$A$5),1,1)+INT((ROWS(B$2:B850)-1)/3),"jjjjmmdd")</f>
        <v>19431010</v>
      </c>
      <c r="C850" s="35" t="str">
        <f>INDEX(Data,2,2+MOD(ROWS(C$2:C850)-1,3))</f>
        <v>19.45</v>
      </c>
      <c r="D850" s="23" t="str">
        <f t="shared" ca="1" si="66"/>
        <v>—</v>
      </c>
      <c r="E850" s="40">
        <f t="shared" ca="1" si="67"/>
        <v>7</v>
      </c>
      <c r="F850" s="23" t="str">
        <f t="shared" ca="1" si="68"/>
        <v>—</v>
      </c>
      <c r="G850" s="40">
        <f t="shared" ca="1" si="69"/>
        <v>7</v>
      </c>
    </row>
    <row r="851" spans="1:7" x14ac:dyDescent="0.25">
      <c r="A851" s="17">
        <f t="shared" si="65"/>
        <v>81</v>
      </c>
      <c r="B851" t="str">
        <f ca="1">TEXT(DATE(YEAR(Invoer!$A$5),1,1)+INT((ROWS(B$2:B851)-1)/3),"jjjjmmdd")</f>
        <v>19431011</v>
      </c>
      <c r="C851" s="35" t="str">
        <f>INDEX(Data,2,2+MOD(ROWS(C$2:C851)-1,3))</f>
        <v>07.45</v>
      </c>
      <c r="D851" s="23" t="str">
        <f t="shared" ca="1" si="66"/>
        <v>—</v>
      </c>
      <c r="E851" s="40">
        <f t="shared" ca="1" si="67"/>
        <v>7</v>
      </c>
      <c r="F851" s="23" t="str">
        <f t="shared" ca="1" si="68"/>
        <v>—</v>
      </c>
      <c r="G851" s="40">
        <f t="shared" ca="1" si="69"/>
        <v>7</v>
      </c>
    </row>
    <row r="852" spans="1:7" x14ac:dyDescent="0.25">
      <c r="A852" s="17">
        <f t="shared" si="65"/>
        <v>81</v>
      </c>
      <c r="B852" t="str">
        <f ca="1">TEXT(DATE(YEAR(Invoer!$A$5),1,1)+INT((ROWS(B$2:B852)-1)/3),"jjjjmmdd")</f>
        <v>19431011</v>
      </c>
      <c r="C852" s="35" t="str">
        <f>INDEX(Data,2,2+MOD(ROWS(C$2:C852)-1,3))</f>
        <v>13.45</v>
      </c>
      <c r="D852" s="23" t="str">
        <f t="shared" ca="1" si="66"/>
        <v>—</v>
      </c>
      <c r="E852" s="40">
        <f t="shared" ca="1" si="67"/>
        <v>7</v>
      </c>
      <c r="F852" s="23" t="str">
        <f t="shared" ca="1" si="68"/>
        <v>—</v>
      </c>
      <c r="G852" s="40">
        <f t="shared" ca="1" si="69"/>
        <v>7</v>
      </c>
    </row>
    <row r="853" spans="1:7" x14ac:dyDescent="0.25">
      <c r="A853" s="17">
        <f t="shared" si="65"/>
        <v>81</v>
      </c>
      <c r="B853" t="str">
        <f ca="1">TEXT(DATE(YEAR(Invoer!$A$5),1,1)+INT((ROWS(B$2:B853)-1)/3),"jjjjmmdd")</f>
        <v>19431011</v>
      </c>
      <c r="C853" s="35" t="str">
        <f>INDEX(Data,2,2+MOD(ROWS(C$2:C853)-1,3))</f>
        <v>19.45</v>
      </c>
      <c r="D853" s="23" t="str">
        <f t="shared" ca="1" si="66"/>
        <v>—</v>
      </c>
      <c r="E853" s="40">
        <f t="shared" ca="1" si="67"/>
        <v>7</v>
      </c>
      <c r="F853" s="23" t="str">
        <f t="shared" ca="1" si="68"/>
        <v>—</v>
      </c>
      <c r="G853" s="40">
        <f t="shared" ca="1" si="69"/>
        <v>7</v>
      </c>
    </row>
    <row r="854" spans="1:7" x14ac:dyDescent="0.25">
      <c r="A854" s="17">
        <f t="shared" si="65"/>
        <v>81</v>
      </c>
      <c r="B854" t="str">
        <f ca="1">TEXT(DATE(YEAR(Invoer!$A$5),1,1)+INT((ROWS(B$2:B854)-1)/3),"jjjjmmdd")</f>
        <v>19431012</v>
      </c>
      <c r="C854" s="35" t="str">
        <f>INDEX(Data,2,2+MOD(ROWS(C$2:C854)-1,3))</f>
        <v>07.45</v>
      </c>
      <c r="D854" s="23" t="str">
        <f t="shared" ca="1" si="66"/>
        <v>—</v>
      </c>
      <c r="E854" s="40">
        <f t="shared" ca="1" si="67"/>
        <v>7</v>
      </c>
      <c r="F854" s="23" t="str">
        <f t="shared" ca="1" si="68"/>
        <v>—</v>
      </c>
      <c r="G854" s="40">
        <f t="shared" ca="1" si="69"/>
        <v>7</v>
      </c>
    </row>
    <row r="855" spans="1:7" x14ac:dyDescent="0.25">
      <c r="A855" s="17">
        <f t="shared" si="65"/>
        <v>81</v>
      </c>
      <c r="B855" t="str">
        <f ca="1">TEXT(DATE(YEAR(Invoer!$A$5),1,1)+INT((ROWS(B$2:B855)-1)/3),"jjjjmmdd")</f>
        <v>19431012</v>
      </c>
      <c r="C855" s="35" t="str">
        <f>INDEX(Data,2,2+MOD(ROWS(C$2:C855)-1,3))</f>
        <v>13.45</v>
      </c>
      <c r="D855" s="23" t="str">
        <f t="shared" ca="1" si="66"/>
        <v>—</v>
      </c>
      <c r="E855" s="40">
        <f t="shared" ca="1" si="67"/>
        <v>7</v>
      </c>
      <c r="F855" s="23" t="str">
        <f t="shared" ca="1" si="68"/>
        <v>—</v>
      </c>
      <c r="G855" s="40">
        <f t="shared" ca="1" si="69"/>
        <v>7</v>
      </c>
    </row>
    <row r="856" spans="1:7" x14ac:dyDescent="0.25">
      <c r="A856" s="17">
        <f t="shared" si="65"/>
        <v>81</v>
      </c>
      <c r="B856" t="str">
        <f ca="1">TEXT(DATE(YEAR(Invoer!$A$5),1,1)+INT((ROWS(B$2:B856)-1)/3),"jjjjmmdd")</f>
        <v>19431012</v>
      </c>
      <c r="C856" s="35" t="str">
        <f>INDEX(Data,2,2+MOD(ROWS(C$2:C856)-1,3))</f>
        <v>19.45</v>
      </c>
      <c r="D856" s="23" t="str">
        <f t="shared" ca="1" si="66"/>
        <v>—</v>
      </c>
      <c r="E856" s="40">
        <f t="shared" ca="1" si="67"/>
        <v>7</v>
      </c>
      <c r="F856" s="23" t="str">
        <f t="shared" ca="1" si="68"/>
        <v>—</v>
      </c>
      <c r="G856" s="40">
        <f t="shared" ca="1" si="69"/>
        <v>7</v>
      </c>
    </row>
    <row r="857" spans="1:7" x14ac:dyDescent="0.25">
      <c r="A857" s="17">
        <f t="shared" si="65"/>
        <v>81</v>
      </c>
      <c r="B857" t="str">
        <f ca="1">TEXT(DATE(YEAR(Invoer!$A$5),1,1)+INT((ROWS(B$2:B857)-1)/3),"jjjjmmdd")</f>
        <v>19431013</v>
      </c>
      <c r="C857" s="35" t="str">
        <f>INDEX(Data,2,2+MOD(ROWS(C$2:C857)-1,3))</f>
        <v>07.45</v>
      </c>
      <c r="D857" s="23" t="str">
        <f t="shared" ca="1" si="66"/>
        <v>—</v>
      </c>
      <c r="E857" s="40">
        <f t="shared" ca="1" si="67"/>
        <v>7</v>
      </c>
      <c r="F857" s="23" t="str">
        <f t="shared" ca="1" si="68"/>
        <v>—</v>
      </c>
      <c r="G857" s="40">
        <f t="shared" ca="1" si="69"/>
        <v>7</v>
      </c>
    </row>
    <row r="858" spans="1:7" x14ac:dyDescent="0.25">
      <c r="A858" s="17">
        <f t="shared" si="65"/>
        <v>81</v>
      </c>
      <c r="B858" t="str">
        <f ca="1">TEXT(DATE(YEAR(Invoer!$A$5),1,1)+INT((ROWS(B$2:B858)-1)/3),"jjjjmmdd")</f>
        <v>19431013</v>
      </c>
      <c r="C858" s="35" t="str">
        <f>INDEX(Data,2,2+MOD(ROWS(C$2:C858)-1,3))</f>
        <v>13.45</v>
      </c>
      <c r="D858" s="23" t="str">
        <f t="shared" ca="1" si="66"/>
        <v>—</v>
      </c>
      <c r="E858" s="40">
        <f t="shared" ca="1" si="67"/>
        <v>7</v>
      </c>
      <c r="F858" s="23" t="str">
        <f t="shared" ca="1" si="68"/>
        <v>—</v>
      </c>
      <c r="G858" s="40">
        <f t="shared" ca="1" si="69"/>
        <v>7</v>
      </c>
    </row>
    <row r="859" spans="1:7" x14ac:dyDescent="0.25">
      <c r="A859" s="17">
        <f t="shared" si="65"/>
        <v>81</v>
      </c>
      <c r="B859" t="str">
        <f ca="1">TEXT(DATE(YEAR(Invoer!$A$5),1,1)+INT((ROWS(B$2:B859)-1)/3),"jjjjmmdd")</f>
        <v>19431013</v>
      </c>
      <c r="C859" s="35" t="str">
        <f>INDEX(Data,2,2+MOD(ROWS(C$2:C859)-1,3))</f>
        <v>19.45</v>
      </c>
      <c r="D859" s="23" t="str">
        <f t="shared" ca="1" si="66"/>
        <v>—</v>
      </c>
      <c r="E859" s="40">
        <f t="shared" ca="1" si="67"/>
        <v>7</v>
      </c>
      <c r="F859" s="23" t="str">
        <f t="shared" ca="1" si="68"/>
        <v>—</v>
      </c>
      <c r="G859" s="40">
        <f t="shared" ca="1" si="69"/>
        <v>7</v>
      </c>
    </row>
    <row r="860" spans="1:7" x14ac:dyDescent="0.25">
      <c r="A860" s="17">
        <f t="shared" si="65"/>
        <v>81</v>
      </c>
      <c r="B860" t="str">
        <f ca="1">TEXT(DATE(YEAR(Invoer!$A$5),1,1)+INT((ROWS(B$2:B860)-1)/3),"jjjjmmdd")</f>
        <v>19431014</v>
      </c>
      <c r="C860" s="35" t="str">
        <f>INDEX(Data,2,2+MOD(ROWS(C$2:C860)-1,3))</f>
        <v>07.45</v>
      </c>
      <c r="D860" s="23" t="str">
        <f t="shared" ca="1" si="66"/>
        <v>—</v>
      </c>
      <c r="E860" s="40">
        <f t="shared" ca="1" si="67"/>
        <v>7</v>
      </c>
      <c r="F860" s="23" t="str">
        <f t="shared" ca="1" si="68"/>
        <v>—</v>
      </c>
      <c r="G860" s="40">
        <f t="shared" ca="1" si="69"/>
        <v>7</v>
      </c>
    </row>
    <row r="861" spans="1:7" x14ac:dyDescent="0.25">
      <c r="A861" s="17">
        <f t="shared" si="65"/>
        <v>81</v>
      </c>
      <c r="B861" t="str">
        <f ca="1">TEXT(DATE(YEAR(Invoer!$A$5),1,1)+INT((ROWS(B$2:B861)-1)/3),"jjjjmmdd")</f>
        <v>19431014</v>
      </c>
      <c r="C861" s="35" t="str">
        <f>INDEX(Data,2,2+MOD(ROWS(C$2:C861)-1,3))</f>
        <v>13.45</v>
      </c>
      <c r="D861" s="23" t="str">
        <f t="shared" ca="1" si="66"/>
        <v>—</v>
      </c>
      <c r="E861" s="40">
        <f t="shared" ca="1" si="67"/>
        <v>7</v>
      </c>
      <c r="F861" s="23" t="str">
        <f t="shared" ca="1" si="68"/>
        <v>—</v>
      </c>
      <c r="G861" s="40">
        <f t="shared" ca="1" si="69"/>
        <v>7</v>
      </c>
    </row>
    <row r="862" spans="1:7" x14ac:dyDescent="0.25">
      <c r="A862" s="17">
        <f t="shared" si="65"/>
        <v>81</v>
      </c>
      <c r="B862" t="str">
        <f ca="1">TEXT(DATE(YEAR(Invoer!$A$5),1,1)+INT((ROWS(B$2:B862)-1)/3),"jjjjmmdd")</f>
        <v>19431014</v>
      </c>
      <c r="C862" s="35" t="str">
        <f>INDEX(Data,2,2+MOD(ROWS(C$2:C862)-1,3))</f>
        <v>19.45</v>
      </c>
      <c r="D862" s="23" t="str">
        <f t="shared" ca="1" si="66"/>
        <v>—</v>
      </c>
      <c r="E862" s="40">
        <f t="shared" ca="1" si="67"/>
        <v>7</v>
      </c>
      <c r="F862" s="23" t="str">
        <f t="shared" ca="1" si="68"/>
        <v>—</v>
      </c>
      <c r="G862" s="40">
        <f t="shared" ca="1" si="69"/>
        <v>7</v>
      </c>
    </row>
    <row r="863" spans="1:7" x14ac:dyDescent="0.25">
      <c r="A863" s="17">
        <f t="shared" si="65"/>
        <v>81</v>
      </c>
      <c r="B863" t="str">
        <f ca="1">TEXT(DATE(YEAR(Invoer!$A$5),1,1)+INT((ROWS(B$2:B863)-1)/3),"jjjjmmdd")</f>
        <v>19431015</v>
      </c>
      <c r="C863" s="35" t="str">
        <f>INDEX(Data,2,2+MOD(ROWS(C$2:C863)-1,3))</f>
        <v>07.45</v>
      </c>
      <c r="D863" s="23" t="str">
        <f t="shared" ca="1" si="66"/>
        <v>—</v>
      </c>
      <c r="E863" s="40">
        <f t="shared" ca="1" si="67"/>
        <v>7</v>
      </c>
      <c r="F863" s="23" t="str">
        <f t="shared" ca="1" si="68"/>
        <v>—</v>
      </c>
      <c r="G863" s="40">
        <f t="shared" ca="1" si="69"/>
        <v>7</v>
      </c>
    </row>
    <row r="864" spans="1:7" x14ac:dyDescent="0.25">
      <c r="A864" s="17">
        <f t="shared" si="65"/>
        <v>81</v>
      </c>
      <c r="B864" t="str">
        <f ca="1">TEXT(DATE(YEAR(Invoer!$A$5),1,1)+INT((ROWS(B$2:B864)-1)/3),"jjjjmmdd")</f>
        <v>19431015</v>
      </c>
      <c r="C864" s="35" t="str">
        <f>INDEX(Data,2,2+MOD(ROWS(C$2:C864)-1,3))</f>
        <v>13.45</v>
      </c>
      <c r="D864" s="23" t="str">
        <f t="shared" ca="1" si="66"/>
        <v>—</v>
      </c>
      <c r="E864" s="40">
        <f t="shared" ca="1" si="67"/>
        <v>7</v>
      </c>
      <c r="F864" s="23" t="str">
        <f t="shared" ca="1" si="68"/>
        <v>—</v>
      </c>
      <c r="G864" s="40">
        <f t="shared" ca="1" si="69"/>
        <v>7</v>
      </c>
    </row>
    <row r="865" spans="1:7" x14ac:dyDescent="0.25">
      <c r="A865" s="17">
        <f t="shared" si="65"/>
        <v>81</v>
      </c>
      <c r="B865" t="str">
        <f ca="1">TEXT(DATE(YEAR(Invoer!$A$5),1,1)+INT((ROWS(B$2:B865)-1)/3),"jjjjmmdd")</f>
        <v>19431015</v>
      </c>
      <c r="C865" s="35" t="str">
        <f>INDEX(Data,2,2+MOD(ROWS(C$2:C865)-1,3))</f>
        <v>19.45</v>
      </c>
      <c r="D865" s="23" t="str">
        <f t="shared" ca="1" si="66"/>
        <v>—</v>
      </c>
      <c r="E865" s="40">
        <f t="shared" ca="1" si="67"/>
        <v>7</v>
      </c>
      <c r="F865" s="23" t="str">
        <f t="shared" ca="1" si="68"/>
        <v>—</v>
      </c>
      <c r="G865" s="40">
        <f t="shared" ca="1" si="69"/>
        <v>7</v>
      </c>
    </row>
    <row r="866" spans="1:7" x14ac:dyDescent="0.25">
      <c r="A866" s="17">
        <f t="shared" si="65"/>
        <v>81</v>
      </c>
      <c r="B866" t="str">
        <f ca="1">TEXT(DATE(YEAR(Invoer!$A$5),1,1)+INT((ROWS(B$2:B866)-1)/3),"jjjjmmdd")</f>
        <v>19431016</v>
      </c>
      <c r="C866" s="35" t="str">
        <f>INDEX(Data,2,2+MOD(ROWS(C$2:C866)-1,3))</f>
        <v>07.45</v>
      </c>
      <c r="D866" s="23" t="str">
        <f t="shared" ca="1" si="66"/>
        <v>—</v>
      </c>
      <c r="E866" s="40">
        <f t="shared" ca="1" si="67"/>
        <v>7</v>
      </c>
      <c r="F866" s="23" t="str">
        <f t="shared" ca="1" si="68"/>
        <v>—</v>
      </c>
      <c r="G866" s="40">
        <f t="shared" ca="1" si="69"/>
        <v>7</v>
      </c>
    </row>
    <row r="867" spans="1:7" x14ac:dyDescent="0.25">
      <c r="A867" s="17">
        <f t="shared" si="65"/>
        <v>81</v>
      </c>
      <c r="B867" t="str">
        <f ca="1">TEXT(DATE(YEAR(Invoer!$A$5),1,1)+INT((ROWS(B$2:B867)-1)/3),"jjjjmmdd")</f>
        <v>19431016</v>
      </c>
      <c r="C867" s="35" t="str">
        <f>INDEX(Data,2,2+MOD(ROWS(C$2:C867)-1,3))</f>
        <v>13.45</v>
      </c>
      <c r="D867" s="23" t="str">
        <f t="shared" ca="1" si="66"/>
        <v>—</v>
      </c>
      <c r="E867" s="40">
        <f t="shared" ca="1" si="67"/>
        <v>7</v>
      </c>
      <c r="F867" s="23" t="str">
        <f t="shared" ca="1" si="68"/>
        <v>—</v>
      </c>
      <c r="G867" s="40">
        <f t="shared" ca="1" si="69"/>
        <v>7</v>
      </c>
    </row>
    <row r="868" spans="1:7" x14ac:dyDescent="0.25">
      <c r="A868" s="17">
        <f t="shared" si="65"/>
        <v>81</v>
      </c>
      <c r="B868" t="str">
        <f ca="1">TEXT(DATE(YEAR(Invoer!$A$5),1,1)+INT((ROWS(B$2:B868)-1)/3),"jjjjmmdd")</f>
        <v>19431016</v>
      </c>
      <c r="C868" s="35" t="str">
        <f>INDEX(Data,2,2+MOD(ROWS(C$2:C868)-1,3))</f>
        <v>19.45</v>
      </c>
      <c r="D868" s="23" t="str">
        <f t="shared" ca="1" si="66"/>
        <v>—</v>
      </c>
      <c r="E868" s="40">
        <f t="shared" ca="1" si="67"/>
        <v>7</v>
      </c>
      <c r="F868" s="23" t="str">
        <f t="shared" ca="1" si="68"/>
        <v>—</v>
      </c>
      <c r="G868" s="40">
        <f t="shared" ca="1" si="69"/>
        <v>7</v>
      </c>
    </row>
    <row r="869" spans="1:7" x14ac:dyDescent="0.25">
      <c r="A869" s="17">
        <f t="shared" si="65"/>
        <v>81</v>
      </c>
      <c r="B869" t="str">
        <f ca="1">TEXT(DATE(YEAR(Invoer!$A$5),1,1)+INT((ROWS(B$2:B869)-1)/3),"jjjjmmdd")</f>
        <v>19431017</v>
      </c>
      <c r="C869" s="35" t="str">
        <f>INDEX(Data,2,2+MOD(ROWS(C$2:C869)-1,3))</f>
        <v>07.45</v>
      </c>
      <c r="D869" s="23" t="str">
        <f t="shared" ca="1" si="66"/>
        <v>—</v>
      </c>
      <c r="E869" s="40">
        <f t="shared" ca="1" si="67"/>
        <v>7</v>
      </c>
      <c r="F869" s="23" t="str">
        <f t="shared" ca="1" si="68"/>
        <v>—</v>
      </c>
      <c r="G869" s="40">
        <f t="shared" ca="1" si="69"/>
        <v>7</v>
      </c>
    </row>
    <row r="870" spans="1:7" x14ac:dyDescent="0.25">
      <c r="A870" s="17">
        <f t="shared" si="65"/>
        <v>81</v>
      </c>
      <c r="B870" t="str">
        <f ca="1">TEXT(DATE(YEAR(Invoer!$A$5),1,1)+INT((ROWS(B$2:B870)-1)/3),"jjjjmmdd")</f>
        <v>19431017</v>
      </c>
      <c r="C870" s="35" t="str">
        <f>INDEX(Data,2,2+MOD(ROWS(C$2:C870)-1,3))</f>
        <v>13.45</v>
      </c>
      <c r="D870" s="23" t="str">
        <f t="shared" ca="1" si="66"/>
        <v>—</v>
      </c>
      <c r="E870" s="40">
        <f t="shared" ca="1" si="67"/>
        <v>7</v>
      </c>
      <c r="F870" s="23" t="str">
        <f t="shared" ca="1" si="68"/>
        <v>—</v>
      </c>
      <c r="G870" s="40">
        <f t="shared" ca="1" si="69"/>
        <v>7</v>
      </c>
    </row>
    <row r="871" spans="1:7" x14ac:dyDescent="0.25">
      <c r="A871" s="17">
        <f t="shared" si="65"/>
        <v>81</v>
      </c>
      <c r="B871" t="str">
        <f ca="1">TEXT(DATE(YEAR(Invoer!$A$5),1,1)+INT((ROWS(B$2:B871)-1)/3),"jjjjmmdd")</f>
        <v>19431017</v>
      </c>
      <c r="C871" s="35" t="str">
        <f>INDEX(Data,2,2+MOD(ROWS(C$2:C871)-1,3))</f>
        <v>19.45</v>
      </c>
      <c r="D871" s="23" t="str">
        <f t="shared" ca="1" si="66"/>
        <v>—</v>
      </c>
      <c r="E871" s="40">
        <f t="shared" ca="1" si="67"/>
        <v>7</v>
      </c>
      <c r="F871" s="23" t="str">
        <f t="shared" ca="1" si="68"/>
        <v>—</v>
      </c>
      <c r="G871" s="40">
        <f t="shared" ca="1" si="69"/>
        <v>7</v>
      </c>
    </row>
    <row r="872" spans="1:7" x14ac:dyDescent="0.25">
      <c r="A872" s="17">
        <f t="shared" si="65"/>
        <v>81</v>
      </c>
      <c r="B872" t="str">
        <f ca="1">TEXT(DATE(YEAR(Invoer!$A$5),1,1)+INT((ROWS(B$2:B872)-1)/3),"jjjjmmdd")</f>
        <v>19431018</v>
      </c>
      <c r="C872" s="35" t="str">
        <f>INDEX(Data,2,2+MOD(ROWS(C$2:C872)-1,3))</f>
        <v>07.45</v>
      </c>
      <c r="D872" s="23" t="str">
        <f t="shared" ca="1" si="66"/>
        <v>—</v>
      </c>
      <c r="E872" s="40">
        <f t="shared" ca="1" si="67"/>
        <v>7</v>
      </c>
      <c r="F872" s="23" t="str">
        <f t="shared" ca="1" si="68"/>
        <v>—</v>
      </c>
      <c r="G872" s="40">
        <f t="shared" ca="1" si="69"/>
        <v>7</v>
      </c>
    </row>
    <row r="873" spans="1:7" x14ac:dyDescent="0.25">
      <c r="A873" s="17">
        <f t="shared" si="65"/>
        <v>81</v>
      </c>
      <c r="B873" t="str">
        <f ca="1">TEXT(DATE(YEAR(Invoer!$A$5),1,1)+INT((ROWS(B$2:B873)-1)/3),"jjjjmmdd")</f>
        <v>19431018</v>
      </c>
      <c r="C873" s="35" t="str">
        <f>INDEX(Data,2,2+MOD(ROWS(C$2:C873)-1,3))</f>
        <v>13.45</v>
      </c>
      <c r="D873" s="23" t="str">
        <f t="shared" ca="1" si="66"/>
        <v>—</v>
      </c>
      <c r="E873" s="40">
        <f t="shared" ca="1" si="67"/>
        <v>7</v>
      </c>
      <c r="F873" s="23" t="str">
        <f t="shared" ca="1" si="68"/>
        <v>—</v>
      </c>
      <c r="G873" s="40">
        <f t="shared" ca="1" si="69"/>
        <v>7</v>
      </c>
    </row>
    <row r="874" spans="1:7" x14ac:dyDescent="0.25">
      <c r="A874" s="17">
        <f t="shared" si="65"/>
        <v>81</v>
      </c>
      <c r="B874" t="str">
        <f ca="1">TEXT(DATE(YEAR(Invoer!$A$5),1,1)+INT((ROWS(B$2:B874)-1)/3),"jjjjmmdd")</f>
        <v>19431018</v>
      </c>
      <c r="C874" s="35" t="str">
        <f>INDEX(Data,2,2+MOD(ROWS(C$2:C874)-1,3))</f>
        <v>19.45</v>
      </c>
      <c r="D874" s="23" t="str">
        <f t="shared" ca="1" si="66"/>
        <v>—</v>
      </c>
      <c r="E874" s="40">
        <f t="shared" ca="1" si="67"/>
        <v>7</v>
      </c>
      <c r="F874" s="23" t="str">
        <f t="shared" ca="1" si="68"/>
        <v>—</v>
      </c>
      <c r="G874" s="40">
        <f t="shared" ca="1" si="69"/>
        <v>7</v>
      </c>
    </row>
    <row r="875" spans="1:7" x14ac:dyDescent="0.25">
      <c r="A875" s="17">
        <f t="shared" si="65"/>
        <v>81</v>
      </c>
      <c r="B875" t="str">
        <f ca="1">TEXT(DATE(YEAR(Invoer!$A$5),1,1)+INT((ROWS(B$2:B875)-1)/3),"jjjjmmdd")</f>
        <v>19431019</v>
      </c>
      <c r="C875" s="35" t="str">
        <f>INDEX(Data,2,2+MOD(ROWS(C$2:C875)-1,3))</f>
        <v>07.45</v>
      </c>
      <c r="D875" s="23" t="str">
        <f t="shared" ca="1" si="66"/>
        <v>—</v>
      </c>
      <c r="E875" s="40">
        <f t="shared" ca="1" si="67"/>
        <v>7</v>
      </c>
      <c r="F875" s="23" t="str">
        <f t="shared" ca="1" si="68"/>
        <v>—</v>
      </c>
      <c r="G875" s="40">
        <f t="shared" ca="1" si="69"/>
        <v>7</v>
      </c>
    </row>
    <row r="876" spans="1:7" x14ac:dyDescent="0.25">
      <c r="A876" s="17">
        <f t="shared" si="65"/>
        <v>81</v>
      </c>
      <c r="B876" t="str">
        <f ca="1">TEXT(DATE(YEAR(Invoer!$A$5),1,1)+INT((ROWS(B$2:B876)-1)/3),"jjjjmmdd")</f>
        <v>19431019</v>
      </c>
      <c r="C876" s="35" t="str">
        <f>INDEX(Data,2,2+MOD(ROWS(C$2:C876)-1,3))</f>
        <v>13.45</v>
      </c>
      <c r="D876" s="23" t="str">
        <f t="shared" ca="1" si="66"/>
        <v>—</v>
      </c>
      <c r="E876" s="40">
        <f t="shared" ca="1" si="67"/>
        <v>7</v>
      </c>
      <c r="F876" s="23" t="str">
        <f t="shared" ca="1" si="68"/>
        <v>—</v>
      </c>
      <c r="G876" s="40">
        <f t="shared" ca="1" si="69"/>
        <v>7</v>
      </c>
    </row>
    <row r="877" spans="1:7" x14ac:dyDescent="0.25">
      <c r="A877" s="17">
        <f t="shared" si="65"/>
        <v>81</v>
      </c>
      <c r="B877" t="str">
        <f ca="1">TEXT(DATE(YEAR(Invoer!$A$5),1,1)+INT((ROWS(B$2:B877)-1)/3),"jjjjmmdd")</f>
        <v>19431019</v>
      </c>
      <c r="C877" s="35" t="str">
        <f>INDEX(Data,2,2+MOD(ROWS(C$2:C877)-1,3))</f>
        <v>19.45</v>
      </c>
      <c r="D877" s="23" t="str">
        <f t="shared" ca="1" si="66"/>
        <v>—</v>
      </c>
      <c r="E877" s="40">
        <f t="shared" ca="1" si="67"/>
        <v>7</v>
      </c>
      <c r="F877" s="23" t="str">
        <f t="shared" ca="1" si="68"/>
        <v>—</v>
      </c>
      <c r="G877" s="40">
        <f t="shared" ca="1" si="69"/>
        <v>7</v>
      </c>
    </row>
    <row r="878" spans="1:7" x14ac:dyDescent="0.25">
      <c r="A878" s="17">
        <f t="shared" si="65"/>
        <v>81</v>
      </c>
      <c r="B878" t="str">
        <f ca="1">TEXT(DATE(YEAR(Invoer!$A$5),1,1)+INT((ROWS(B$2:B878)-1)/3),"jjjjmmdd")</f>
        <v>19431020</v>
      </c>
      <c r="C878" s="35" t="str">
        <f>INDEX(Data,2,2+MOD(ROWS(C$2:C878)-1,3))</f>
        <v>07.45</v>
      </c>
      <c r="D878" s="23" t="str">
        <f t="shared" ca="1" si="66"/>
        <v>—</v>
      </c>
      <c r="E878" s="40">
        <f t="shared" ca="1" si="67"/>
        <v>7</v>
      </c>
      <c r="F878" s="23" t="str">
        <f t="shared" ca="1" si="68"/>
        <v>—</v>
      </c>
      <c r="G878" s="40">
        <f t="shared" ca="1" si="69"/>
        <v>7</v>
      </c>
    </row>
    <row r="879" spans="1:7" x14ac:dyDescent="0.25">
      <c r="A879" s="17">
        <f t="shared" si="65"/>
        <v>81</v>
      </c>
      <c r="B879" t="str">
        <f ca="1">TEXT(DATE(YEAR(Invoer!$A$5),1,1)+INT((ROWS(B$2:B879)-1)/3),"jjjjmmdd")</f>
        <v>19431020</v>
      </c>
      <c r="C879" s="35" t="str">
        <f>INDEX(Data,2,2+MOD(ROWS(C$2:C879)-1,3))</f>
        <v>13.45</v>
      </c>
      <c r="D879" s="23" t="str">
        <f t="shared" ca="1" si="66"/>
        <v>—</v>
      </c>
      <c r="E879" s="40">
        <f t="shared" ca="1" si="67"/>
        <v>7</v>
      </c>
      <c r="F879" s="23" t="str">
        <f t="shared" ca="1" si="68"/>
        <v>—</v>
      </c>
      <c r="G879" s="40">
        <f t="shared" ca="1" si="69"/>
        <v>7</v>
      </c>
    </row>
    <row r="880" spans="1:7" x14ac:dyDescent="0.25">
      <c r="A880" s="17">
        <f t="shared" si="65"/>
        <v>81</v>
      </c>
      <c r="B880" t="str">
        <f ca="1">TEXT(DATE(YEAR(Invoer!$A$5),1,1)+INT((ROWS(B$2:B880)-1)/3),"jjjjmmdd")</f>
        <v>19431020</v>
      </c>
      <c r="C880" s="35" t="str">
        <f>INDEX(Data,2,2+MOD(ROWS(C$2:C880)-1,3))</f>
        <v>19.45</v>
      </c>
      <c r="D880" s="23" t="str">
        <f t="shared" ca="1" si="66"/>
        <v>—</v>
      </c>
      <c r="E880" s="40">
        <f t="shared" ca="1" si="67"/>
        <v>7</v>
      </c>
      <c r="F880" s="23" t="str">
        <f t="shared" ca="1" si="68"/>
        <v>—</v>
      </c>
      <c r="G880" s="40">
        <f t="shared" ca="1" si="69"/>
        <v>7</v>
      </c>
    </row>
    <row r="881" spans="1:7" x14ac:dyDescent="0.25">
      <c r="A881" s="17">
        <f t="shared" si="65"/>
        <v>81</v>
      </c>
      <c r="B881" t="str">
        <f ca="1">TEXT(DATE(YEAR(Invoer!$A$5),1,1)+INT((ROWS(B$2:B881)-1)/3),"jjjjmmdd")</f>
        <v>19431021</v>
      </c>
      <c r="C881" s="35" t="str">
        <f>INDEX(Data,2,2+MOD(ROWS(C$2:C881)-1,3))</f>
        <v>07.45</v>
      </c>
      <c r="D881" s="23" t="str">
        <f t="shared" ca="1" si="66"/>
        <v>—</v>
      </c>
      <c r="E881" s="40">
        <f t="shared" ca="1" si="67"/>
        <v>7</v>
      </c>
      <c r="F881" s="23" t="str">
        <f t="shared" ca="1" si="68"/>
        <v>—</v>
      </c>
      <c r="G881" s="40">
        <f t="shared" ca="1" si="69"/>
        <v>7</v>
      </c>
    </row>
    <row r="882" spans="1:7" x14ac:dyDescent="0.25">
      <c r="A882" s="17">
        <f t="shared" si="65"/>
        <v>81</v>
      </c>
      <c r="B882" t="str">
        <f ca="1">TEXT(DATE(YEAR(Invoer!$A$5),1,1)+INT((ROWS(B$2:B882)-1)/3),"jjjjmmdd")</f>
        <v>19431021</v>
      </c>
      <c r="C882" s="35" t="str">
        <f>INDEX(Data,2,2+MOD(ROWS(C$2:C882)-1,3))</f>
        <v>13.45</v>
      </c>
      <c r="D882" s="23" t="str">
        <f t="shared" ca="1" si="66"/>
        <v>—</v>
      </c>
      <c r="E882" s="40">
        <f t="shared" ca="1" si="67"/>
        <v>7</v>
      </c>
      <c r="F882" s="23" t="str">
        <f t="shared" ca="1" si="68"/>
        <v>—</v>
      </c>
      <c r="G882" s="40">
        <f t="shared" ca="1" si="69"/>
        <v>7</v>
      </c>
    </row>
    <row r="883" spans="1:7" x14ac:dyDescent="0.25">
      <c r="A883" s="17">
        <f t="shared" si="65"/>
        <v>81</v>
      </c>
      <c r="B883" t="str">
        <f ca="1">TEXT(DATE(YEAR(Invoer!$A$5),1,1)+INT((ROWS(B$2:B883)-1)/3),"jjjjmmdd")</f>
        <v>19431021</v>
      </c>
      <c r="C883" s="35" t="str">
        <f>INDEX(Data,2,2+MOD(ROWS(C$2:C883)-1,3))</f>
        <v>19.45</v>
      </c>
      <c r="D883" s="23" t="str">
        <f t="shared" ca="1" si="66"/>
        <v>—</v>
      </c>
      <c r="E883" s="40">
        <f t="shared" ca="1" si="67"/>
        <v>7</v>
      </c>
      <c r="F883" s="23" t="str">
        <f t="shared" ca="1" si="68"/>
        <v>—</v>
      </c>
      <c r="G883" s="40">
        <f t="shared" ca="1" si="69"/>
        <v>7</v>
      </c>
    </row>
    <row r="884" spans="1:7" x14ac:dyDescent="0.25">
      <c r="A884" s="17">
        <f t="shared" si="65"/>
        <v>81</v>
      </c>
      <c r="B884" t="str">
        <f ca="1">TEXT(DATE(YEAR(Invoer!$A$5),1,1)+INT((ROWS(B$2:B884)-1)/3),"jjjjmmdd")</f>
        <v>19431022</v>
      </c>
      <c r="C884" s="35" t="str">
        <f>INDEX(Data,2,2+MOD(ROWS(C$2:C884)-1,3))</f>
        <v>07.45</v>
      </c>
      <c r="D884" s="23" t="str">
        <f t="shared" ca="1" si="66"/>
        <v>—</v>
      </c>
      <c r="E884" s="40">
        <f t="shared" ca="1" si="67"/>
        <v>7</v>
      </c>
      <c r="F884" s="23" t="str">
        <f t="shared" ca="1" si="68"/>
        <v>—</v>
      </c>
      <c r="G884" s="40">
        <f t="shared" ca="1" si="69"/>
        <v>7</v>
      </c>
    </row>
    <row r="885" spans="1:7" x14ac:dyDescent="0.25">
      <c r="A885" s="17">
        <f t="shared" si="65"/>
        <v>81</v>
      </c>
      <c r="B885" t="str">
        <f ca="1">TEXT(DATE(YEAR(Invoer!$A$5),1,1)+INT((ROWS(B$2:B885)-1)/3),"jjjjmmdd")</f>
        <v>19431022</v>
      </c>
      <c r="C885" s="35" t="str">
        <f>INDEX(Data,2,2+MOD(ROWS(C$2:C885)-1,3))</f>
        <v>13.45</v>
      </c>
      <c r="D885" s="23" t="str">
        <f t="shared" ca="1" si="66"/>
        <v>—</v>
      </c>
      <c r="E885" s="40">
        <f t="shared" ca="1" si="67"/>
        <v>7</v>
      </c>
      <c r="F885" s="23" t="str">
        <f t="shared" ca="1" si="68"/>
        <v>—</v>
      </c>
      <c r="G885" s="40">
        <f t="shared" ca="1" si="69"/>
        <v>7</v>
      </c>
    </row>
    <row r="886" spans="1:7" x14ac:dyDescent="0.25">
      <c r="A886" s="17">
        <f t="shared" si="65"/>
        <v>81</v>
      </c>
      <c r="B886" t="str">
        <f ca="1">TEXT(DATE(YEAR(Invoer!$A$5),1,1)+INT((ROWS(B$2:B886)-1)/3),"jjjjmmdd")</f>
        <v>19431022</v>
      </c>
      <c r="C886" s="35" t="str">
        <f>INDEX(Data,2,2+MOD(ROWS(C$2:C886)-1,3))</f>
        <v>19.45</v>
      </c>
      <c r="D886" s="23" t="str">
        <f t="shared" ca="1" si="66"/>
        <v>—</v>
      </c>
      <c r="E886" s="40">
        <f t="shared" ca="1" si="67"/>
        <v>7</v>
      </c>
      <c r="F886" s="23" t="str">
        <f t="shared" ca="1" si="68"/>
        <v>—</v>
      </c>
      <c r="G886" s="40">
        <f t="shared" ca="1" si="69"/>
        <v>7</v>
      </c>
    </row>
    <row r="887" spans="1:7" x14ac:dyDescent="0.25">
      <c r="A887" s="17">
        <f t="shared" si="65"/>
        <v>81</v>
      </c>
      <c r="B887" t="str">
        <f ca="1">TEXT(DATE(YEAR(Invoer!$A$5),1,1)+INT((ROWS(B$2:B887)-1)/3),"jjjjmmdd")</f>
        <v>19431023</v>
      </c>
      <c r="C887" s="35" t="str">
        <f>INDEX(Data,2,2+MOD(ROWS(C$2:C887)-1,3))</f>
        <v>07.45</v>
      </c>
      <c r="D887" s="23" t="str">
        <f t="shared" ca="1" si="66"/>
        <v>—</v>
      </c>
      <c r="E887" s="40">
        <f t="shared" ca="1" si="67"/>
        <v>7</v>
      </c>
      <c r="F887" s="23" t="str">
        <f t="shared" ca="1" si="68"/>
        <v>—</v>
      </c>
      <c r="G887" s="40">
        <f t="shared" ca="1" si="69"/>
        <v>7</v>
      </c>
    </row>
    <row r="888" spans="1:7" x14ac:dyDescent="0.25">
      <c r="A888" s="17">
        <f t="shared" si="65"/>
        <v>81</v>
      </c>
      <c r="B888" t="str">
        <f ca="1">TEXT(DATE(YEAR(Invoer!$A$5),1,1)+INT((ROWS(B$2:B888)-1)/3),"jjjjmmdd")</f>
        <v>19431023</v>
      </c>
      <c r="C888" s="35" t="str">
        <f>INDEX(Data,2,2+MOD(ROWS(C$2:C888)-1,3))</f>
        <v>13.45</v>
      </c>
      <c r="D888" s="23" t="str">
        <f t="shared" ca="1" si="66"/>
        <v>—</v>
      </c>
      <c r="E888" s="40">
        <f t="shared" ca="1" si="67"/>
        <v>7</v>
      </c>
      <c r="F888" s="23" t="str">
        <f t="shared" ca="1" si="68"/>
        <v>—</v>
      </c>
      <c r="G888" s="40">
        <f t="shared" ca="1" si="69"/>
        <v>7</v>
      </c>
    </row>
    <row r="889" spans="1:7" x14ac:dyDescent="0.25">
      <c r="A889" s="17">
        <f t="shared" si="65"/>
        <v>81</v>
      </c>
      <c r="B889" t="str">
        <f ca="1">TEXT(DATE(YEAR(Invoer!$A$5),1,1)+INT((ROWS(B$2:B889)-1)/3),"jjjjmmdd")</f>
        <v>19431023</v>
      </c>
      <c r="C889" s="35" t="str">
        <f>INDEX(Data,2,2+MOD(ROWS(C$2:C889)-1,3))</f>
        <v>19.45</v>
      </c>
      <c r="D889" s="23" t="str">
        <f t="shared" ca="1" si="66"/>
        <v>—</v>
      </c>
      <c r="E889" s="40">
        <f t="shared" ca="1" si="67"/>
        <v>7</v>
      </c>
      <c r="F889" s="23" t="str">
        <f t="shared" ca="1" si="68"/>
        <v>—</v>
      </c>
      <c r="G889" s="40">
        <f t="shared" ca="1" si="69"/>
        <v>7</v>
      </c>
    </row>
    <row r="890" spans="1:7" x14ac:dyDescent="0.25">
      <c r="A890" s="17">
        <f t="shared" si="65"/>
        <v>81</v>
      </c>
      <c r="B890" t="str">
        <f ca="1">TEXT(DATE(YEAR(Invoer!$A$5),1,1)+INT((ROWS(B$2:B890)-1)/3),"jjjjmmdd")</f>
        <v>19431024</v>
      </c>
      <c r="C890" s="35" t="str">
        <f>INDEX(Data,2,2+MOD(ROWS(C$2:C890)-1,3))</f>
        <v>07.45</v>
      </c>
      <c r="D890" s="23" t="str">
        <f t="shared" ca="1" si="66"/>
        <v>—</v>
      </c>
      <c r="E890" s="40">
        <f t="shared" ca="1" si="67"/>
        <v>7</v>
      </c>
      <c r="F890" s="23" t="str">
        <f t="shared" ca="1" si="68"/>
        <v>—</v>
      </c>
      <c r="G890" s="40">
        <f t="shared" ca="1" si="69"/>
        <v>7</v>
      </c>
    </row>
    <row r="891" spans="1:7" x14ac:dyDescent="0.25">
      <c r="A891" s="17">
        <f t="shared" si="65"/>
        <v>81</v>
      </c>
      <c r="B891" t="str">
        <f ca="1">TEXT(DATE(YEAR(Invoer!$A$5),1,1)+INT((ROWS(B$2:B891)-1)/3),"jjjjmmdd")</f>
        <v>19431024</v>
      </c>
      <c r="C891" s="35" t="str">
        <f>INDEX(Data,2,2+MOD(ROWS(C$2:C891)-1,3))</f>
        <v>13.45</v>
      </c>
      <c r="D891" s="23" t="str">
        <f t="shared" ca="1" si="66"/>
        <v>—</v>
      </c>
      <c r="E891" s="40">
        <f t="shared" ca="1" si="67"/>
        <v>7</v>
      </c>
      <c r="F891" s="23" t="str">
        <f t="shared" ca="1" si="68"/>
        <v>—</v>
      </c>
      <c r="G891" s="40">
        <f t="shared" ca="1" si="69"/>
        <v>7</v>
      </c>
    </row>
    <row r="892" spans="1:7" x14ac:dyDescent="0.25">
      <c r="A892" s="17">
        <f t="shared" si="65"/>
        <v>81</v>
      </c>
      <c r="B892" t="str">
        <f ca="1">TEXT(DATE(YEAR(Invoer!$A$5),1,1)+INT((ROWS(B$2:B892)-1)/3),"jjjjmmdd")</f>
        <v>19431024</v>
      </c>
      <c r="C892" s="35" t="str">
        <f>INDEX(Data,2,2+MOD(ROWS(C$2:C892)-1,3))</f>
        <v>19.45</v>
      </c>
      <c r="D892" s="23" t="str">
        <f t="shared" ca="1" si="66"/>
        <v>—</v>
      </c>
      <c r="E892" s="40">
        <f t="shared" ca="1" si="67"/>
        <v>7</v>
      </c>
      <c r="F892" s="23" t="str">
        <f t="shared" ca="1" si="68"/>
        <v>—</v>
      </c>
      <c r="G892" s="40">
        <f t="shared" ca="1" si="69"/>
        <v>7</v>
      </c>
    </row>
    <row r="893" spans="1:7" x14ac:dyDescent="0.25">
      <c r="A893" s="17">
        <f t="shared" si="65"/>
        <v>81</v>
      </c>
      <c r="B893" t="str">
        <f ca="1">TEXT(DATE(YEAR(Invoer!$A$5),1,1)+INT((ROWS(B$2:B893)-1)/3),"jjjjmmdd")</f>
        <v>19431025</v>
      </c>
      <c r="C893" s="35" t="str">
        <f>INDEX(Data,2,2+MOD(ROWS(C$2:C893)-1,3))</f>
        <v>07.45</v>
      </c>
      <c r="D893" s="23" t="str">
        <f t="shared" ca="1" si="66"/>
        <v>—</v>
      </c>
      <c r="E893" s="40">
        <f t="shared" ca="1" si="67"/>
        <v>7</v>
      </c>
      <c r="F893" s="23" t="str">
        <f t="shared" ca="1" si="68"/>
        <v>—</v>
      </c>
      <c r="G893" s="40">
        <f t="shared" ca="1" si="69"/>
        <v>7</v>
      </c>
    </row>
    <row r="894" spans="1:7" x14ac:dyDescent="0.25">
      <c r="A894" s="17">
        <f t="shared" si="65"/>
        <v>81</v>
      </c>
      <c r="B894" t="str">
        <f ca="1">TEXT(DATE(YEAR(Invoer!$A$5),1,1)+INT((ROWS(B$2:B894)-1)/3),"jjjjmmdd")</f>
        <v>19431025</v>
      </c>
      <c r="C894" s="35" t="str">
        <f>INDEX(Data,2,2+MOD(ROWS(C$2:C894)-1,3))</f>
        <v>13.45</v>
      </c>
      <c r="D894" s="23" t="str">
        <f t="shared" ca="1" si="66"/>
        <v>—</v>
      </c>
      <c r="E894" s="40">
        <f t="shared" ca="1" si="67"/>
        <v>7</v>
      </c>
      <c r="F894" s="23" t="str">
        <f t="shared" ca="1" si="68"/>
        <v>—</v>
      </c>
      <c r="G894" s="40">
        <f t="shared" ca="1" si="69"/>
        <v>7</v>
      </c>
    </row>
    <row r="895" spans="1:7" x14ac:dyDescent="0.25">
      <c r="A895" s="17">
        <f t="shared" si="65"/>
        <v>81</v>
      </c>
      <c r="B895" t="str">
        <f ca="1">TEXT(DATE(YEAR(Invoer!$A$5),1,1)+INT((ROWS(B$2:B895)-1)/3),"jjjjmmdd")</f>
        <v>19431025</v>
      </c>
      <c r="C895" s="35" t="str">
        <f>INDEX(Data,2,2+MOD(ROWS(C$2:C895)-1,3))</f>
        <v>19.45</v>
      </c>
      <c r="D895" s="23" t="str">
        <f t="shared" ca="1" si="66"/>
        <v>—</v>
      </c>
      <c r="E895" s="40">
        <f t="shared" ca="1" si="67"/>
        <v>7</v>
      </c>
      <c r="F895" s="23" t="str">
        <f t="shared" ca="1" si="68"/>
        <v>—</v>
      </c>
      <c r="G895" s="40">
        <f t="shared" ca="1" si="69"/>
        <v>7</v>
      </c>
    </row>
    <row r="896" spans="1:7" x14ac:dyDescent="0.25">
      <c r="A896" s="17">
        <f t="shared" si="65"/>
        <v>81</v>
      </c>
      <c r="B896" t="str">
        <f ca="1">TEXT(DATE(YEAR(Invoer!$A$5),1,1)+INT((ROWS(B$2:B896)-1)/3),"jjjjmmdd")</f>
        <v>19431026</v>
      </c>
      <c r="C896" s="35" t="str">
        <f>INDEX(Data,2,2+MOD(ROWS(C$2:C896)-1,3))</f>
        <v>07.45</v>
      </c>
      <c r="D896" s="23" t="str">
        <f t="shared" ca="1" si="66"/>
        <v>—</v>
      </c>
      <c r="E896" s="40">
        <f t="shared" ca="1" si="67"/>
        <v>7</v>
      </c>
      <c r="F896" s="23" t="str">
        <f t="shared" ca="1" si="68"/>
        <v>—</v>
      </c>
      <c r="G896" s="40">
        <f t="shared" ca="1" si="69"/>
        <v>7</v>
      </c>
    </row>
    <row r="897" spans="1:7" x14ac:dyDescent="0.25">
      <c r="A897" s="17">
        <f t="shared" si="65"/>
        <v>81</v>
      </c>
      <c r="B897" t="str">
        <f ca="1">TEXT(DATE(YEAR(Invoer!$A$5),1,1)+INT((ROWS(B$2:B897)-1)/3),"jjjjmmdd")</f>
        <v>19431026</v>
      </c>
      <c r="C897" s="35" t="str">
        <f>INDEX(Data,2,2+MOD(ROWS(C$2:C897)-1,3))</f>
        <v>13.45</v>
      </c>
      <c r="D897" s="23" t="str">
        <f t="shared" ca="1" si="66"/>
        <v>—</v>
      </c>
      <c r="E897" s="40">
        <f t="shared" ca="1" si="67"/>
        <v>7</v>
      </c>
      <c r="F897" s="23" t="str">
        <f t="shared" ca="1" si="68"/>
        <v>—</v>
      </c>
      <c r="G897" s="40">
        <f t="shared" ca="1" si="69"/>
        <v>7</v>
      </c>
    </row>
    <row r="898" spans="1:7" x14ac:dyDescent="0.25">
      <c r="A898" s="17">
        <f t="shared" ref="A898:A961" si="70">INDEX(Stations,2,1)</f>
        <v>81</v>
      </c>
      <c r="B898" t="str">
        <f ca="1">TEXT(DATE(YEAR(Invoer!$A$5),1,1)+INT((ROWS(B$2:B898)-1)/3),"jjjjmmdd")</f>
        <v>19431026</v>
      </c>
      <c r="C898" s="35" t="str">
        <f>INDEX(Data,2,2+MOD(ROWS(C$2:C898)-1,3))</f>
        <v>19.45</v>
      </c>
      <c r="D898" s="23" t="str">
        <f t="shared" ref="D898:D961" ca="1" si="71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—</v>
      </c>
      <c r="E898" s="40">
        <f t="shared" ref="E898:E961" ca="1" si="72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  <c r="F898" s="23" t="str">
        <f t="shared" ref="F898:F961" ca="1" si="73">IF(OR(ISBLANK(VLOOKUP(DATEVALUE(LEFT($B898,4)&amp;"-"&amp;MID($B898,5,2)&amp;"-"&amp;RIGHT($B898,2)),Data,MATCH(LEFT(VLOOKUP(F$1,Parameters,2,FALSE()),4)&amp;"*",OFFSET(Data,0,0,1),0)+MATCH($C898,OFFSET(Data,1,0,1),0)-2,FALSE())),ISTEXT(VLOOKUP(DATEVALUE(LEFT($B898,4)&amp;"-"&amp;MID($B898,5,2)&amp;"-"&amp;RIGHT($B898,2)),Data,MATCH(LEFT(VLOOKUP(F$1,Parameters,2,FALSE()),4)&amp;"*",OFFSET(Data,0,0,1),0)+MATCH($C898,OFFSET(Data,1,0,1),0)-2,FALSE()))),"—",VLOOKUP(DATEVALUE(LEFT($B898,4)&amp;"-"&amp;MID($B898,5,2)&amp;"-"&amp;RIGHT($B898,2)),Data,MATCH(LEFT(VLOOKUP(F$1,Parameters,2,FALSE()),4)&amp;"*",OFFSET(Data,0,0,1),0)+MATCH($C898,OFFSET(Data,1,0,1),0)-2,FALSE()))</f>
        <v>—</v>
      </c>
      <c r="G898" s="40">
        <f t="shared" ref="G898:G961" ca="1" si="74">IF(OR(ISBLANK(VLOOKUP(DATEVALUE(LEFT($B898,4)&amp;"-"&amp;MID($B898,5,2)&amp;"-"&amp;RIGHT($B898,2)),Data,MATCH(LEFT(VLOOKUP(MID(G$1,2,LEN(G$1)-1),Parameters,2,FALSE()),4)&amp;"*",OFFSET(Data,0,0,1),0)+MATCH($C898,OFFSET(Data,1,0,1),0)-2,FALSE())),ISTEXT(VLOOKUP(DATEVALUE(LEFT($B898,4)&amp;"-"&amp;MID($B898,5,2)&amp;"-"&amp;RIGHT($B898,2)),Data,MATCH(LEFT(VLOOKUP(MID(G$1,2,LEN(G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G$1,2,LEN(G$1)-1),Parameters,2,FALSE()),4)&amp;"*",OFFSET(Catalogus,0,0,1),0)+MATCH($C898,OFFSET(Catalogus,1,0,1),0)-2,FALSE())))</f>
        <v>7</v>
      </c>
    </row>
    <row r="899" spans="1:7" x14ac:dyDescent="0.25">
      <c r="A899" s="17">
        <f t="shared" si="70"/>
        <v>81</v>
      </c>
      <c r="B899" t="str">
        <f ca="1">TEXT(DATE(YEAR(Invoer!$A$5),1,1)+INT((ROWS(B$2:B899)-1)/3),"jjjjmmdd")</f>
        <v>19431027</v>
      </c>
      <c r="C899" s="35" t="str">
        <f>INDEX(Data,2,2+MOD(ROWS(C$2:C899)-1,3))</f>
        <v>07.45</v>
      </c>
      <c r="D899" s="23" t="str">
        <f t="shared" ca="1" si="71"/>
        <v>—</v>
      </c>
      <c r="E899" s="40">
        <f t="shared" ca="1" si="72"/>
        <v>7</v>
      </c>
      <c r="F899" s="23" t="str">
        <f t="shared" ca="1" si="73"/>
        <v>—</v>
      </c>
      <c r="G899" s="40">
        <f t="shared" ca="1" si="74"/>
        <v>7</v>
      </c>
    </row>
    <row r="900" spans="1:7" x14ac:dyDescent="0.25">
      <c r="A900" s="17">
        <f t="shared" si="70"/>
        <v>81</v>
      </c>
      <c r="B900" t="str">
        <f ca="1">TEXT(DATE(YEAR(Invoer!$A$5),1,1)+INT((ROWS(B$2:B900)-1)/3),"jjjjmmdd")</f>
        <v>19431027</v>
      </c>
      <c r="C900" s="35" t="str">
        <f>INDEX(Data,2,2+MOD(ROWS(C$2:C900)-1,3))</f>
        <v>13.45</v>
      </c>
      <c r="D900" s="23" t="str">
        <f t="shared" ca="1" si="71"/>
        <v>—</v>
      </c>
      <c r="E900" s="40">
        <f t="shared" ca="1" si="72"/>
        <v>7</v>
      </c>
      <c r="F900" s="23" t="str">
        <f t="shared" ca="1" si="73"/>
        <v>—</v>
      </c>
      <c r="G900" s="40">
        <f t="shared" ca="1" si="74"/>
        <v>7</v>
      </c>
    </row>
    <row r="901" spans="1:7" x14ac:dyDescent="0.25">
      <c r="A901" s="17">
        <f t="shared" si="70"/>
        <v>81</v>
      </c>
      <c r="B901" t="str">
        <f ca="1">TEXT(DATE(YEAR(Invoer!$A$5),1,1)+INT((ROWS(B$2:B901)-1)/3),"jjjjmmdd")</f>
        <v>19431027</v>
      </c>
      <c r="C901" s="35" t="str">
        <f>INDEX(Data,2,2+MOD(ROWS(C$2:C901)-1,3))</f>
        <v>19.45</v>
      </c>
      <c r="D901" s="23" t="str">
        <f t="shared" ca="1" si="71"/>
        <v>—</v>
      </c>
      <c r="E901" s="40">
        <f t="shared" ca="1" si="72"/>
        <v>7</v>
      </c>
      <c r="F901" s="23" t="str">
        <f t="shared" ca="1" si="73"/>
        <v>—</v>
      </c>
      <c r="G901" s="40">
        <f t="shared" ca="1" si="74"/>
        <v>7</v>
      </c>
    </row>
    <row r="902" spans="1:7" x14ac:dyDescent="0.25">
      <c r="A902" s="17">
        <f t="shared" si="70"/>
        <v>81</v>
      </c>
      <c r="B902" t="str">
        <f ca="1">TEXT(DATE(YEAR(Invoer!$A$5),1,1)+INT((ROWS(B$2:B902)-1)/3),"jjjjmmdd")</f>
        <v>19431028</v>
      </c>
      <c r="C902" s="35" t="str">
        <f>INDEX(Data,2,2+MOD(ROWS(C$2:C902)-1,3))</f>
        <v>07.45</v>
      </c>
      <c r="D902" s="23" t="str">
        <f t="shared" ca="1" si="71"/>
        <v>—</v>
      </c>
      <c r="E902" s="40">
        <f t="shared" ca="1" si="72"/>
        <v>7</v>
      </c>
      <c r="F902" s="23" t="str">
        <f t="shared" ca="1" si="73"/>
        <v>—</v>
      </c>
      <c r="G902" s="40">
        <f t="shared" ca="1" si="74"/>
        <v>7</v>
      </c>
    </row>
    <row r="903" spans="1:7" x14ac:dyDescent="0.25">
      <c r="A903" s="17">
        <f t="shared" si="70"/>
        <v>81</v>
      </c>
      <c r="B903" t="str">
        <f ca="1">TEXT(DATE(YEAR(Invoer!$A$5),1,1)+INT((ROWS(B$2:B903)-1)/3),"jjjjmmdd")</f>
        <v>19431028</v>
      </c>
      <c r="C903" s="35" t="str">
        <f>INDEX(Data,2,2+MOD(ROWS(C$2:C903)-1,3))</f>
        <v>13.45</v>
      </c>
      <c r="D903" s="23" t="str">
        <f t="shared" ca="1" si="71"/>
        <v>—</v>
      </c>
      <c r="E903" s="40">
        <f t="shared" ca="1" si="72"/>
        <v>7</v>
      </c>
      <c r="F903" s="23" t="str">
        <f t="shared" ca="1" si="73"/>
        <v>—</v>
      </c>
      <c r="G903" s="40">
        <f t="shared" ca="1" si="74"/>
        <v>7</v>
      </c>
    </row>
    <row r="904" spans="1:7" x14ac:dyDescent="0.25">
      <c r="A904" s="17">
        <f t="shared" si="70"/>
        <v>81</v>
      </c>
      <c r="B904" t="str">
        <f ca="1">TEXT(DATE(YEAR(Invoer!$A$5),1,1)+INT((ROWS(B$2:B904)-1)/3),"jjjjmmdd")</f>
        <v>19431028</v>
      </c>
      <c r="C904" s="35" t="str">
        <f>INDEX(Data,2,2+MOD(ROWS(C$2:C904)-1,3))</f>
        <v>19.45</v>
      </c>
      <c r="D904" s="23" t="str">
        <f t="shared" ca="1" si="71"/>
        <v>—</v>
      </c>
      <c r="E904" s="40">
        <f t="shared" ca="1" si="72"/>
        <v>7</v>
      </c>
      <c r="F904" s="23" t="str">
        <f t="shared" ca="1" si="73"/>
        <v>—</v>
      </c>
      <c r="G904" s="40">
        <f t="shared" ca="1" si="74"/>
        <v>7</v>
      </c>
    </row>
    <row r="905" spans="1:7" x14ac:dyDescent="0.25">
      <c r="A905" s="17">
        <f t="shared" si="70"/>
        <v>81</v>
      </c>
      <c r="B905" t="str">
        <f ca="1">TEXT(DATE(YEAR(Invoer!$A$5),1,1)+INT((ROWS(B$2:B905)-1)/3),"jjjjmmdd")</f>
        <v>19431029</v>
      </c>
      <c r="C905" s="35" t="str">
        <f>INDEX(Data,2,2+MOD(ROWS(C$2:C905)-1,3))</f>
        <v>07.45</v>
      </c>
      <c r="D905" s="23" t="str">
        <f t="shared" ca="1" si="71"/>
        <v>—</v>
      </c>
      <c r="E905" s="40">
        <f t="shared" ca="1" si="72"/>
        <v>7</v>
      </c>
      <c r="F905" s="23" t="str">
        <f t="shared" ca="1" si="73"/>
        <v>—</v>
      </c>
      <c r="G905" s="40">
        <f t="shared" ca="1" si="74"/>
        <v>7</v>
      </c>
    </row>
    <row r="906" spans="1:7" x14ac:dyDescent="0.25">
      <c r="A906" s="17">
        <f t="shared" si="70"/>
        <v>81</v>
      </c>
      <c r="B906" t="str">
        <f ca="1">TEXT(DATE(YEAR(Invoer!$A$5),1,1)+INT((ROWS(B$2:B906)-1)/3),"jjjjmmdd")</f>
        <v>19431029</v>
      </c>
      <c r="C906" s="35" t="str">
        <f>INDEX(Data,2,2+MOD(ROWS(C$2:C906)-1,3))</f>
        <v>13.45</v>
      </c>
      <c r="D906" s="23" t="str">
        <f t="shared" ca="1" si="71"/>
        <v>—</v>
      </c>
      <c r="E906" s="40">
        <f t="shared" ca="1" si="72"/>
        <v>7</v>
      </c>
      <c r="F906" s="23" t="str">
        <f t="shared" ca="1" si="73"/>
        <v>—</v>
      </c>
      <c r="G906" s="40">
        <f t="shared" ca="1" si="74"/>
        <v>7</v>
      </c>
    </row>
    <row r="907" spans="1:7" x14ac:dyDescent="0.25">
      <c r="A907" s="17">
        <f t="shared" si="70"/>
        <v>81</v>
      </c>
      <c r="B907" t="str">
        <f ca="1">TEXT(DATE(YEAR(Invoer!$A$5),1,1)+INT((ROWS(B$2:B907)-1)/3),"jjjjmmdd")</f>
        <v>19431029</v>
      </c>
      <c r="C907" s="35" t="str">
        <f>INDEX(Data,2,2+MOD(ROWS(C$2:C907)-1,3))</f>
        <v>19.45</v>
      </c>
      <c r="D907" s="23" t="str">
        <f t="shared" ca="1" si="71"/>
        <v>—</v>
      </c>
      <c r="E907" s="40">
        <f t="shared" ca="1" si="72"/>
        <v>7</v>
      </c>
      <c r="F907" s="23" t="str">
        <f t="shared" ca="1" si="73"/>
        <v>—</v>
      </c>
      <c r="G907" s="40">
        <f t="shared" ca="1" si="74"/>
        <v>7</v>
      </c>
    </row>
    <row r="908" spans="1:7" x14ac:dyDescent="0.25">
      <c r="A908" s="17">
        <f t="shared" si="70"/>
        <v>81</v>
      </c>
      <c r="B908" t="str">
        <f ca="1">TEXT(DATE(YEAR(Invoer!$A$5),1,1)+INT((ROWS(B$2:B908)-1)/3),"jjjjmmdd")</f>
        <v>19431030</v>
      </c>
      <c r="C908" s="35" t="str">
        <f>INDEX(Data,2,2+MOD(ROWS(C$2:C908)-1,3))</f>
        <v>07.45</v>
      </c>
      <c r="D908" s="23" t="str">
        <f t="shared" ca="1" si="71"/>
        <v>—</v>
      </c>
      <c r="E908" s="40">
        <f t="shared" ca="1" si="72"/>
        <v>7</v>
      </c>
      <c r="F908" s="23" t="str">
        <f t="shared" ca="1" si="73"/>
        <v>—</v>
      </c>
      <c r="G908" s="40">
        <f t="shared" ca="1" si="74"/>
        <v>7</v>
      </c>
    </row>
    <row r="909" spans="1:7" x14ac:dyDescent="0.25">
      <c r="A909" s="17">
        <f t="shared" si="70"/>
        <v>81</v>
      </c>
      <c r="B909" t="str">
        <f ca="1">TEXT(DATE(YEAR(Invoer!$A$5),1,1)+INT((ROWS(B$2:B909)-1)/3),"jjjjmmdd")</f>
        <v>19431030</v>
      </c>
      <c r="C909" s="35" t="str">
        <f>INDEX(Data,2,2+MOD(ROWS(C$2:C909)-1,3))</f>
        <v>13.45</v>
      </c>
      <c r="D909" s="23" t="str">
        <f t="shared" ca="1" si="71"/>
        <v>—</v>
      </c>
      <c r="E909" s="40">
        <f t="shared" ca="1" si="72"/>
        <v>7</v>
      </c>
      <c r="F909" s="23" t="str">
        <f t="shared" ca="1" si="73"/>
        <v>—</v>
      </c>
      <c r="G909" s="40">
        <f t="shared" ca="1" si="74"/>
        <v>7</v>
      </c>
    </row>
    <row r="910" spans="1:7" x14ac:dyDescent="0.25">
      <c r="A910" s="17">
        <f t="shared" si="70"/>
        <v>81</v>
      </c>
      <c r="B910" t="str">
        <f ca="1">TEXT(DATE(YEAR(Invoer!$A$5),1,1)+INT((ROWS(B$2:B910)-1)/3),"jjjjmmdd")</f>
        <v>19431030</v>
      </c>
      <c r="C910" s="35" t="str">
        <f>INDEX(Data,2,2+MOD(ROWS(C$2:C910)-1,3))</f>
        <v>19.45</v>
      </c>
      <c r="D910" s="23" t="str">
        <f t="shared" ca="1" si="71"/>
        <v>—</v>
      </c>
      <c r="E910" s="40">
        <f t="shared" ca="1" si="72"/>
        <v>7</v>
      </c>
      <c r="F910" s="23" t="str">
        <f t="shared" ca="1" si="73"/>
        <v>—</v>
      </c>
      <c r="G910" s="40">
        <f t="shared" ca="1" si="74"/>
        <v>7</v>
      </c>
    </row>
    <row r="911" spans="1:7" x14ac:dyDescent="0.25">
      <c r="A911" s="17">
        <f t="shared" si="70"/>
        <v>81</v>
      </c>
      <c r="B911" t="str">
        <f ca="1">TEXT(DATE(YEAR(Invoer!$A$5),1,1)+INT((ROWS(B$2:B911)-1)/3),"jjjjmmdd")</f>
        <v>19431031</v>
      </c>
      <c r="C911" s="35" t="str">
        <f>INDEX(Data,2,2+MOD(ROWS(C$2:C911)-1,3))</f>
        <v>07.45</v>
      </c>
      <c r="D911" s="23" t="str">
        <f t="shared" ca="1" si="71"/>
        <v>—</v>
      </c>
      <c r="E911" s="40">
        <f t="shared" ca="1" si="72"/>
        <v>7</v>
      </c>
      <c r="F911" s="23" t="str">
        <f t="shared" ca="1" si="73"/>
        <v>—</v>
      </c>
      <c r="G911" s="40">
        <f t="shared" ca="1" si="74"/>
        <v>7</v>
      </c>
    </row>
    <row r="912" spans="1:7" x14ac:dyDescent="0.25">
      <c r="A912" s="17">
        <f t="shared" si="70"/>
        <v>81</v>
      </c>
      <c r="B912" t="str">
        <f ca="1">TEXT(DATE(YEAR(Invoer!$A$5),1,1)+INT((ROWS(B$2:B912)-1)/3),"jjjjmmdd")</f>
        <v>19431031</v>
      </c>
      <c r="C912" s="35" t="str">
        <f>INDEX(Data,2,2+MOD(ROWS(C$2:C912)-1,3))</f>
        <v>13.45</v>
      </c>
      <c r="D912" s="23" t="str">
        <f t="shared" ca="1" si="71"/>
        <v>—</v>
      </c>
      <c r="E912" s="40">
        <f t="shared" ca="1" si="72"/>
        <v>7</v>
      </c>
      <c r="F912" s="23" t="str">
        <f t="shared" ca="1" si="73"/>
        <v>—</v>
      </c>
      <c r="G912" s="40">
        <f t="shared" ca="1" si="74"/>
        <v>7</v>
      </c>
    </row>
    <row r="913" spans="1:7" x14ac:dyDescent="0.25">
      <c r="A913" s="17">
        <f t="shared" si="70"/>
        <v>81</v>
      </c>
      <c r="B913" t="str">
        <f ca="1">TEXT(DATE(YEAR(Invoer!$A$5),1,1)+INT((ROWS(B$2:B913)-1)/3),"jjjjmmdd")</f>
        <v>19431031</v>
      </c>
      <c r="C913" s="35" t="str">
        <f>INDEX(Data,2,2+MOD(ROWS(C$2:C913)-1,3))</f>
        <v>19.45</v>
      </c>
      <c r="D913" s="23" t="str">
        <f t="shared" ca="1" si="71"/>
        <v>—</v>
      </c>
      <c r="E913" s="40">
        <f t="shared" ca="1" si="72"/>
        <v>7</v>
      </c>
      <c r="F913" s="23" t="str">
        <f t="shared" ca="1" si="73"/>
        <v>—</v>
      </c>
      <c r="G913" s="40">
        <f t="shared" ca="1" si="74"/>
        <v>7</v>
      </c>
    </row>
    <row r="914" spans="1:7" x14ac:dyDescent="0.25">
      <c r="A914" s="17">
        <f t="shared" si="70"/>
        <v>81</v>
      </c>
      <c r="B914" t="str">
        <f ca="1">TEXT(DATE(YEAR(Invoer!$A$5),1,1)+INT((ROWS(B$2:B914)-1)/3),"jjjjmmdd")</f>
        <v>19431101</v>
      </c>
      <c r="C914" s="35" t="str">
        <f>INDEX(Data,2,2+MOD(ROWS(C$2:C914)-1,3))</f>
        <v>07.45</v>
      </c>
      <c r="D914" s="23" t="str">
        <f t="shared" ca="1" si="71"/>
        <v>—</v>
      </c>
      <c r="E914" s="40">
        <f t="shared" ca="1" si="72"/>
        <v>7</v>
      </c>
      <c r="F914" s="23" t="str">
        <f t="shared" ca="1" si="73"/>
        <v>—</v>
      </c>
      <c r="G914" s="40">
        <f t="shared" ca="1" si="74"/>
        <v>7</v>
      </c>
    </row>
    <row r="915" spans="1:7" x14ac:dyDescent="0.25">
      <c r="A915" s="17">
        <f t="shared" si="70"/>
        <v>81</v>
      </c>
      <c r="B915" t="str">
        <f ca="1">TEXT(DATE(YEAR(Invoer!$A$5),1,1)+INT((ROWS(B$2:B915)-1)/3),"jjjjmmdd")</f>
        <v>19431101</v>
      </c>
      <c r="C915" s="35" t="str">
        <f>INDEX(Data,2,2+MOD(ROWS(C$2:C915)-1,3))</f>
        <v>13.45</v>
      </c>
      <c r="D915" s="23" t="str">
        <f t="shared" ca="1" si="71"/>
        <v>—</v>
      </c>
      <c r="E915" s="40">
        <f t="shared" ca="1" si="72"/>
        <v>7</v>
      </c>
      <c r="F915" s="23" t="str">
        <f t="shared" ca="1" si="73"/>
        <v>—</v>
      </c>
      <c r="G915" s="40">
        <f t="shared" ca="1" si="74"/>
        <v>7</v>
      </c>
    </row>
    <row r="916" spans="1:7" x14ac:dyDescent="0.25">
      <c r="A916" s="17">
        <f t="shared" si="70"/>
        <v>81</v>
      </c>
      <c r="B916" t="str">
        <f ca="1">TEXT(DATE(YEAR(Invoer!$A$5),1,1)+INT((ROWS(B$2:B916)-1)/3),"jjjjmmdd")</f>
        <v>19431101</v>
      </c>
      <c r="C916" s="35" t="str">
        <f>INDEX(Data,2,2+MOD(ROWS(C$2:C916)-1,3))</f>
        <v>19.45</v>
      </c>
      <c r="D916" s="23" t="str">
        <f t="shared" ca="1" si="71"/>
        <v>—</v>
      </c>
      <c r="E916" s="40">
        <f t="shared" ca="1" si="72"/>
        <v>7</v>
      </c>
      <c r="F916" s="23" t="str">
        <f t="shared" ca="1" si="73"/>
        <v>—</v>
      </c>
      <c r="G916" s="40">
        <f t="shared" ca="1" si="74"/>
        <v>7</v>
      </c>
    </row>
    <row r="917" spans="1:7" x14ac:dyDescent="0.25">
      <c r="A917" s="17">
        <f t="shared" si="70"/>
        <v>81</v>
      </c>
      <c r="B917" t="str">
        <f ca="1">TEXT(DATE(YEAR(Invoer!$A$5),1,1)+INT((ROWS(B$2:B917)-1)/3),"jjjjmmdd")</f>
        <v>19431102</v>
      </c>
      <c r="C917" s="35" t="str">
        <f>INDEX(Data,2,2+MOD(ROWS(C$2:C917)-1,3))</f>
        <v>07.45</v>
      </c>
      <c r="D917" s="23" t="str">
        <f t="shared" ca="1" si="71"/>
        <v>—</v>
      </c>
      <c r="E917" s="40">
        <f t="shared" ca="1" si="72"/>
        <v>7</v>
      </c>
      <c r="F917" s="23" t="str">
        <f t="shared" ca="1" si="73"/>
        <v>—</v>
      </c>
      <c r="G917" s="40">
        <f t="shared" ca="1" si="74"/>
        <v>7</v>
      </c>
    </row>
    <row r="918" spans="1:7" x14ac:dyDescent="0.25">
      <c r="A918" s="17">
        <f t="shared" si="70"/>
        <v>81</v>
      </c>
      <c r="B918" t="str">
        <f ca="1">TEXT(DATE(YEAR(Invoer!$A$5),1,1)+INT((ROWS(B$2:B918)-1)/3),"jjjjmmdd")</f>
        <v>19431102</v>
      </c>
      <c r="C918" s="35" t="str">
        <f>INDEX(Data,2,2+MOD(ROWS(C$2:C918)-1,3))</f>
        <v>13.45</v>
      </c>
      <c r="D918" s="23" t="str">
        <f t="shared" ca="1" si="71"/>
        <v>—</v>
      </c>
      <c r="E918" s="40">
        <f t="shared" ca="1" si="72"/>
        <v>7</v>
      </c>
      <c r="F918" s="23" t="str">
        <f t="shared" ca="1" si="73"/>
        <v>—</v>
      </c>
      <c r="G918" s="40">
        <f t="shared" ca="1" si="74"/>
        <v>7</v>
      </c>
    </row>
    <row r="919" spans="1:7" x14ac:dyDescent="0.25">
      <c r="A919" s="17">
        <f t="shared" si="70"/>
        <v>81</v>
      </c>
      <c r="B919" t="str">
        <f ca="1">TEXT(DATE(YEAR(Invoer!$A$5),1,1)+INT((ROWS(B$2:B919)-1)/3),"jjjjmmdd")</f>
        <v>19431102</v>
      </c>
      <c r="C919" s="35" t="str">
        <f>INDEX(Data,2,2+MOD(ROWS(C$2:C919)-1,3))</f>
        <v>19.45</v>
      </c>
      <c r="D919" s="23" t="str">
        <f t="shared" ca="1" si="71"/>
        <v>—</v>
      </c>
      <c r="E919" s="40">
        <f t="shared" ca="1" si="72"/>
        <v>7</v>
      </c>
      <c r="F919" s="23" t="str">
        <f t="shared" ca="1" si="73"/>
        <v>—</v>
      </c>
      <c r="G919" s="40">
        <f t="shared" ca="1" si="74"/>
        <v>7</v>
      </c>
    </row>
    <row r="920" spans="1:7" x14ac:dyDescent="0.25">
      <c r="A920" s="17">
        <f t="shared" si="70"/>
        <v>81</v>
      </c>
      <c r="B920" t="str">
        <f ca="1">TEXT(DATE(YEAR(Invoer!$A$5),1,1)+INT((ROWS(B$2:B920)-1)/3),"jjjjmmdd")</f>
        <v>19431103</v>
      </c>
      <c r="C920" s="35" t="str">
        <f>INDEX(Data,2,2+MOD(ROWS(C$2:C920)-1,3))</f>
        <v>07.45</v>
      </c>
      <c r="D920" s="23" t="str">
        <f t="shared" ca="1" si="71"/>
        <v>—</v>
      </c>
      <c r="E920" s="40">
        <f t="shared" ca="1" si="72"/>
        <v>7</v>
      </c>
      <c r="F920" s="23" t="str">
        <f t="shared" ca="1" si="73"/>
        <v>—</v>
      </c>
      <c r="G920" s="40">
        <f t="shared" ca="1" si="74"/>
        <v>7</v>
      </c>
    </row>
    <row r="921" spans="1:7" x14ac:dyDescent="0.25">
      <c r="A921" s="17">
        <f t="shared" si="70"/>
        <v>81</v>
      </c>
      <c r="B921" t="str">
        <f ca="1">TEXT(DATE(YEAR(Invoer!$A$5),1,1)+INT((ROWS(B$2:B921)-1)/3),"jjjjmmdd")</f>
        <v>19431103</v>
      </c>
      <c r="C921" s="35" t="str">
        <f>INDEX(Data,2,2+MOD(ROWS(C$2:C921)-1,3))</f>
        <v>13.45</v>
      </c>
      <c r="D921" s="23" t="str">
        <f t="shared" ca="1" si="71"/>
        <v>—</v>
      </c>
      <c r="E921" s="40">
        <f t="shared" ca="1" si="72"/>
        <v>7</v>
      </c>
      <c r="F921" s="23" t="str">
        <f t="shared" ca="1" si="73"/>
        <v>—</v>
      </c>
      <c r="G921" s="40">
        <f t="shared" ca="1" si="74"/>
        <v>7</v>
      </c>
    </row>
    <row r="922" spans="1:7" x14ac:dyDescent="0.25">
      <c r="A922" s="17">
        <f t="shared" si="70"/>
        <v>81</v>
      </c>
      <c r="B922" t="str">
        <f ca="1">TEXT(DATE(YEAR(Invoer!$A$5),1,1)+INT((ROWS(B$2:B922)-1)/3),"jjjjmmdd")</f>
        <v>19431103</v>
      </c>
      <c r="C922" s="35" t="str">
        <f>INDEX(Data,2,2+MOD(ROWS(C$2:C922)-1,3))</f>
        <v>19.45</v>
      </c>
      <c r="D922" s="23" t="str">
        <f t="shared" ca="1" si="71"/>
        <v>—</v>
      </c>
      <c r="E922" s="40">
        <f t="shared" ca="1" si="72"/>
        <v>7</v>
      </c>
      <c r="F922" s="23" t="str">
        <f t="shared" ca="1" si="73"/>
        <v>—</v>
      </c>
      <c r="G922" s="40">
        <f t="shared" ca="1" si="74"/>
        <v>7</v>
      </c>
    </row>
    <row r="923" spans="1:7" x14ac:dyDescent="0.25">
      <c r="A923" s="17">
        <f t="shared" si="70"/>
        <v>81</v>
      </c>
      <c r="B923" t="str">
        <f ca="1">TEXT(DATE(YEAR(Invoer!$A$5),1,1)+INT((ROWS(B$2:B923)-1)/3),"jjjjmmdd")</f>
        <v>19431104</v>
      </c>
      <c r="C923" s="35" t="str">
        <f>INDEX(Data,2,2+MOD(ROWS(C$2:C923)-1,3))</f>
        <v>07.45</v>
      </c>
      <c r="D923" s="23" t="str">
        <f t="shared" ca="1" si="71"/>
        <v>—</v>
      </c>
      <c r="E923" s="40">
        <f t="shared" ca="1" si="72"/>
        <v>7</v>
      </c>
      <c r="F923" s="23" t="str">
        <f t="shared" ca="1" si="73"/>
        <v>—</v>
      </c>
      <c r="G923" s="40">
        <f t="shared" ca="1" si="74"/>
        <v>7</v>
      </c>
    </row>
    <row r="924" spans="1:7" x14ac:dyDescent="0.25">
      <c r="A924" s="17">
        <f t="shared" si="70"/>
        <v>81</v>
      </c>
      <c r="B924" t="str">
        <f ca="1">TEXT(DATE(YEAR(Invoer!$A$5),1,1)+INT((ROWS(B$2:B924)-1)/3),"jjjjmmdd")</f>
        <v>19431104</v>
      </c>
      <c r="C924" s="35" t="str">
        <f>INDEX(Data,2,2+MOD(ROWS(C$2:C924)-1,3))</f>
        <v>13.45</v>
      </c>
      <c r="D924" s="23" t="str">
        <f t="shared" ca="1" si="71"/>
        <v>—</v>
      </c>
      <c r="E924" s="40">
        <f t="shared" ca="1" si="72"/>
        <v>7</v>
      </c>
      <c r="F924" s="23" t="str">
        <f t="shared" ca="1" si="73"/>
        <v>—</v>
      </c>
      <c r="G924" s="40">
        <f t="shared" ca="1" si="74"/>
        <v>7</v>
      </c>
    </row>
    <row r="925" spans="1:7" x14ac:dyDescent="0.25">
      <c r="A925" s="17">
        <f t="shared" si="70"/>
        <v>81</v>
      </c>
      <c r="B925" t="str">
        <f ca="1">TEXT(DATE(YEAR(Invoer!$A$5),1,1)+INT((ROWS(B$2:B925)-1)/3),"jjjjmmdd")</f>
        <v>19431104</v>
      </c>
      <c r="C925" s="35" t="str">
        <f>INDEX(Data,2,2+MOD(ROWS(C$2:C925)-1,3))</f>
        <v>19.45</v>
      </c>
      <c r="D925" s="23" t="str">
        <f t="shared" ca="1" si="71"/>
        <v>—</v>
      </c>
      <c r="E925" s="40">
        <f t="shared" ca="1" si="72"/>
        <v>7</v>
      </c>
      <c r="F925" s="23" t="str">
        <f t="shared" ca="1" si="73"/>
        <v>—</v>
      </c>
      <c r="G925" s="40">
        <f t="shared" ca="1" si="74"/>
        <v>7</v>
      </c>
    </row>
    <row r="926" spans="1:7" x14ac:dyDescent="0.25">
      <c r="A926" s="17">
        <f t="shared" si="70"/>
        <v>81</v>
      </c>
      <c r="B926" t="str">
        <f ca="1">TEXT(DATE(YEAR(Invoer!$A$5),1,1)+INT((ROWS(B$2:B926)-1)/3),"jjjjmmdd")</f>
        <v>19431105</v>
      </c>
      <c r="C926" s="35" t="str">
        <f>INDEX(Data,2,2+MOD(ROWS(C$2:C926)-1,3))</f>
        <v>07.45</v>
      </c>
      <c r="D926" s="23" t="str">
        <f t="shared" ca="1" si="71"/>
        <v>—</v>
      </c>
      <c r="E926" s="40">
        <f t="shared" ca="1" si="72"/>
        <v>7</v>
      </c>
      <c r="F926" s="23" t="str">
        <f t="shared" ca="1" si="73"/>
        <v>—</v>
      </c>
      <c r="G926" s="40">
        <f t="shared" ca="1" si="74"/>
        <v>7</v>
      </c>
    </row>
    <row r="927" spans="1:7" x14ac:dyDescent="0.25">
      <c r="A927" s="17">
        <f t="shared" si="70"/>
        <v>81</v>
      </c>
      <c r="B927" t="str">
        <f ca="1">TEXT(DATE(YEAR(Invoer!$A$5),1,1)+INT((ROWS(B$2:B927)-1)/3),"jjjjmmdd")</f>
        <v>19431105</v>
      </c>
      <c r="C927" s="35" t="str">
        <f>INDEX(Data,2,2+MOD(ROWS(C$2:C927)-1,3))</f>
        <v>13.45</v>
      </c>
      <c r="D927" s="23" t="str">
        <f t="shared" ca="1" si="71"/>
        <v>—</v>
      </c>
      <c r="E927" s="40">
        <f t="shared" ca="1" si="72"/>
        <v>7</v>
      </c>
      <c r="F927" s="23" t="str">
        <f t="shared" ca="1" si="73"/>
        <v>—</v>
      </c>
      <c r="G927" s="40">
        <f t="shared" ca="1" si="74"/>
        <v>7</v>
      </c>
    </row>
    <row r="928" spans="1:7" x14ac:dyDescent="0.25">
      <c r="A928" s="17">
        <f t="shared" si="70"/>
        <v>81</v>
      </c>
      <c r="B928" t="str">
        <f ca="1">TEXT(DATE(YEAR(Invoer!$A$5),1,1)+INT((ROWS(B$2:B928)-1)/3),"jjjjmmdd")</f>
        <v>19431105</v>
      </c>
      <c r="C928" s="35" t="str">
        <f>INDEX(Data,2,2+MOD(ROWS(C$2:C928)-1,3))</f>
        <v>19.45</v>
      </c>
      <c r="D928" s="23" t="str">
        <f t="shared" ca="1" si="71"/>
        <v>—</v>
      </c>
      <c r="E928" s="40">
        <f t="shared" ca="1" si="72"/>
        <v>7</v>
      </c>
      <c r="F928" s="23" t="str">
        <f t="shared" ca="1" si="73"/>
        <v>—</v>
      </c>
      <c r="G928" s="40">
        <f t="shared" ca="1" si="74"/>
        <v>7</v>
      </c>
    </row>
    <row r="929" spans="1:7" x14ac:dyDescent="0.25">
      <c r="A929" s="17">
        <f t="shared" si="70"/>
        <v>81</v>
      </c>
      <c r="B929" t="str">
        <f ca="1">TEXT(DATE(YEAR(Invoer!$A$5),1,1)+INT((ROWS(B$2:B929)-1)/3),"jjjjmmdd")</f>
        <v>19431106</v>
      </c>
      <c r="C929" s="35" t="str">
        <f>INDEX(Data,2,2+MOD(ROWS(C$2:C929)-1,3))</f>
        <v>07.45</v>
      </c>
      <c r="D929" s="23" t="str">
        <f t="shared" ca="1" si="71"/>
        <v>—</v>
      </c>
      <c r="E929" s="40">
        <f t="shared" ca="1" si="72"/>
        <v>7</v>
      </c>
      <c r="F929" s="23" t="str">
        <f t="shared" ca="1" si="73"/>
        <v>—</v>
      </c>
      <c r="G929" s="40">
        <f t="shared" ca="1" si="74"/>
        <v>7</v>
      </c>
    </row>
    <row r="930" spans="1:7" x14ac:dyDescent="0.25">
      <c r="A930" s="17">
        <f t="shared" si="70"/>
        <v>81</v>
      </c>
      <c r="B930" t="str">
        <f ca="1">TEXT(DATE(YEAR(Invoer!$A$5),1,1)+INT((ROWS(B$2:B930)-1)/3),"jjjjmmdd")</f>
        <v>19431106</v>
      </c>
      <c r="C930" s="35" t="str">
        <f>INDEX(Data,2,2+MOD(ROWS(C$2:C930)-1,3))</f>
        <v>13.45</v>
      </c>
      <c r="D930" s="23" t="str">
        <f t="shared" ca="1" si="71"/>
        <v>—</v>
      </c>
      <c r="E930" s="40">
        <f t="shared" ca="1" si="72"/>
        <v>7</v>
      </c>
      <c r="F930" s="23" t="str">
        <f t="shared" ca="1" si="73"/>
        <v>—</v>
      </c>
      <c r="G930" s="40">
        <f t="shared" ca="1" si="74"/>
        <v>7</v>
      </c>
    </row>
    <row r="931" spans="1:7" x14ac:dyDescent="0.25">
      <c r="A931" s="17">
        <f t="shared" si="70"/>
        <v>81</v>
      </c>
      <c r="B931" t="str">
        <f ca="1">TEXT(DATE(YEAR(Invoer!$A$5),1,1)+INT((ROWS(B$2:B931)-1)/3),"jjjjmmdd")</f>
        <v>19431106</v>
      </c>
      <c r="C931" s="35" t="str">
        <f>INDEX(Data,2,2+MOD(ROWS(C$2:C931)-1,3))</f>
        <v>19.45</v>
      </c>
      <c r="D931" s="23" t="str">
        <f t="shared" ca="1" si="71"/>
        <v>—</v>
      </c>
      <c r="E931" s="40">
        <f t="shared" ca="1" si="72"/>
        <v>7</v>
      </c>
      <c r="F931" s="23" t="str">
        <f t="shared" ca="1" si="73"/>
        <v>—</v>
      </c>
      <c r="G931" s="40">
        <f t="shared" ca="1" si="74"/>
        <v>7</v>
      </c>
    </row>
    <row r="932" spans="1:7" x14ac:dyDescent="0.25">
      <c r="A932" s="17">
        <f t="shared" si="70"/>
        <v>81</v>
      </c>
      <c r="B932" t="str">
        <f ca="1">TEXT(DATE(YEAR(Invoer!$A$5),1,1)+INT((ROWS(B$2:B932)-1)/3),"jjjjmmdd")</f>
        <v>19431107</v>
      </c>
      <c r="C932" s="35" t="str">
        <f>INDEX(Data,2,2+MOD(ROWS(C$2:C932)-1,3))</f>
        <v>07.45</v>
      </c>
      <c r="D932" s="23" t="str">
        <f t="shared" ca="1" si="71"/>
        <v>—</v>
      </c>
      <c r="E932" s="40">
        <f t="shared" ca="1" si="72"/>
        <v>7</v>
      </c>
      <c r="F932" s="23" t="str">
        <f t="shared" ca="1" si="73"/>
        <v>—</v>
      </c>
      <c r="G932" s="40">
        <f t="shared" ca="1" si="74"/>
        <v>7</v>
      </c>
    </row>
    <row r="933" spans="1:7" x14ac:dyDescent="0.25">
      <c r="A933" s="17">
        <f t="shared" si="70"/>
        <v>81</v>
      </c>
      <c r="B933" t="str">
        <f ca="1">TEXT(DATE(YEAR(Invoer!$A$5),1,1)+INT((ROWS(B$2:B933)-1)/3),"jjjjmmdd")</f>
        <v>19431107</v>
      </c>
      <c r="C933" s="35" t="str">
        <f>INDEX(Data,2,2+MOD(ROWS(C$2:C933)-1,3))</f>
        <v>13.45</v>
      </c>
      <c r="D933" s="23" t="str">
        <f t="shared" ca="1" si="71"/>
        <v>—</v>
      </c>
      <c r="E933" s="40">
        <f t="shared" ca="1" si="72"/>
        <v>7</v>
      </c>
      <c r="F933" s="23" t="str">
        <f t="shared" ca="1" si="73"/>
        <v>—</v>
      </c>
      <c r="G933" s="40">
        <f t="shared" ca="1" si="74"/>
        <v>7</v>
      </c>
    </row>
    <row r="934" spans="1:7" x14ac:dyDescent="0.25">
      <c r="A934" s="17">
        <f t="shared" si="70"/>
        <v>81</v>
      </c>
      <c r="B934" t="str">
        <f ca="1">TEXT(DATE(YEAR(Invoer!$A$5),1,1)+INT((ROWS(B$2:B934)-1)/3),"jjjjmmdd")</f>
        <v>19431107</v>
      </c>
      <c r="C934" s="35" t="str">
        <f>INDEX(Data,2,2+MOD(ROWS(C$2:C934)-1,3))</f>
        <v>19.45</v>
      </c>
      <c r="D934" s="23" t="str">
        <f t="shared" ca="1" si="71"/>
        <v>—</v>
      </c>
      <c r="E934" s="40">
        <f t="shared" ca="1" si="72"/>
        <v>7</v>
      </c>
      <c r="F934" s="23" t="str">
        <f t="shared" ca="1" si="73"/>
        <v>—</v>
      </c>
      <c r="G934" s="40">
        <f t="shared" ca="1" si="74"/>
        <v>7</v>
      </c>
    </row>
    <row r="935" spans="1:7" x14ac:dyDescent="0.25">
      <c r="A935" s="17">
        <f t="shared" si="70"/>
        <v>81</v>
      </c>
      <c r="B935" t="str">
        <f ca="1">TEXT(DATE(YEAR(Invoer!$A$5),1,1)+INT((ROWS(B$2:B935)-1)/3),"jjjjmmdd")</f>
        <v>19431108</v>
      </c>
      <c r="C935" s="35" t="str">
        <f>INDEX(Data,2,2+MOD(ROWS(C$2:C935)-1,3))</f>
        <v>07.45</v>
      </c>
      <c r="D935" s="23" t="str">
        <f t="shared" ca="1" si="71"/>
        <v>—</v>
      </c>
      <c r="E935" s="40">
        <f t="shared" ca="1" si="72"/>
        <v>7</v>
      </c>
      <c r="F935" s="23" t="str">
        <f t="shared" ca="1" si="73"/>
        <v>—</v>
      </c>
      <c r="G935" s="40">
        <f t="shared" ca="1" si="74"/>
        <v>7</v>
      </c>
    </row>
    <row r="936" spans="1:7" x14ac:dyDescent="0.25">
      <c r="A936" s="17">
        <f t="shared" si="70"/>
        <v>81</v>
      </c>
      <c r="B936" t="str">
        <f ca="1">TEXT(DATE(YEAR(Invoer!$A$5),1,1)+INT((ROWS(B$2:B936)-1)/3),"jjjjmmdd")</f>
        <v>19431108</v>
      </c>
      <c r="C936" s="35" t="str">
        <f>INDEX(Data,2,2+MOD(ROWS(C$2:C936)-1,3))</f>
        <v>13.45</v>
      </c>
      <c r="D936" s="23" t="str">
        <f t="shared" ca="1" si="71"/>
        <v>—</v>
      </c>
      <c r="E936" s="40">
        <f t="shared" ca="1" si="72"/>
        <v>7</v>
      </c>
      <c r="F936" s="23" t="str">
        <f t="shared" ca="1" si="73"/>
        <v>—</v>
      </c>
      <c r="G936" s="40">
        <f t="shared" ca="1" si="74"/>
        <v>7</v>
      </c>
    </row>
    <row r="937" spans="1:7" x14ac:dyDescent="0.25">
      <c r="A937" s="17">
        <f t="shared" si="70"/>
        <v>81</v>
      </c>
      <c r="B937" t="str">
        <f ca="1">TEXT(DATE(YEAR(Invoer!$A$5),1,1)+INT((ROWS(B$2:B937)-1)/3),"jjjjmmdd")</f>
        <v>19431108</v>
      </c>
      <c r="C937" s="35" t="str">
        <f>INDEX(Data,2,2+MOD(ROWS(C$2:C937)-1,3))</f>
        <v>19.45</v>
      </c>
      <c r="D937" s="23" t="str">
        <f t="shared" ca="1" si="71"/>
        <v>—</v>
      </c>
      <c r="E937" s="40">
        <f t="shared" ca="1" si="72"/>
        <v>7</v>
      </c>
      <c r="F937" s="23" t="str">
        <f t="shared" ca="1" si="73"/>
        <v>—</v>
      </c>
      <c r="G937" s="40">
        <f t="shared" ca="1" si="74"/>
        <v>7</v>
      </c>
    </row>
    <row r="938" spans="1:7" x14ac:dyDescent="0.25">
      <c r="A938" s="17">
        <f t="shared" si="70"/>
        <v>81</v>
      </c>
      <c r="B938" t="str">
        <f ca="1">TEXT(DATE(YEAR(Invoer!$A$5),1,1)+INT((ROWS(B$2:B938)-1)/3),"jjjjmmdd")</f>
        <v>19431109</v>
      </c>
      <c r="C938" s="35" t="str">
        <f>INDEX(Data,2,2+MOD(ROWS(C$2:C938)-1,3))</f>
        <v>07.45</v>
      </c>
      <c r="D938" s="23" t="str">
        <f t="shared" ca="1" si="71"/>
        <v>—</v>
      </c>
      <c r="E938" s="40">
        <f t="shared" ca="1" si="72"/>
        <v>7</v>
      </c>
      <c r="F938" s="23" t="str">
        <f t="shared" ca="1" si="73"/>
        <v>—</v>
      </c>
      <c r="G938" s="40">
        <f t="shared" ca="1" si="74"/>
        <v>7</v>
      </c>
    </row>
    <row r="939" spans="1:7" x14ac:dyDescent="0.25">
      <c r="A939" s="17">
        <f t="shared" si="70"/>
        <v>81</v>
      </c>
      <c r="B939" t="str">
        <f ca="1">TEXT(DATE(YEAR(Invoer!$A$5),1,1)+INT((ROWS(B$2:B939)-1)/3),"jjjjmmdd")</f>
        <v>19431109</v>
      </c>
      <c r="C939" s="35" t="str">
        <f>INDEX(Data,2,2+MOD(ROWS(C$2:C939)-1,3))</f>
        <v>13.45</v>
      </c>
      <c r="D939" s="23" t="str">
        <f t="shared" ca="1" si="71"/>
        <v>—</v>
      </c>
      <c r="E939" s="40">
        <f t="shared" ca="1" si="72"/>
        <v>7</v>
      </c>
      <c r="F939" s="23" t="str">
        <f t="shared" ca="1" si="73"/>
        <v>—</v>
      </c>
      <c r="G939" s="40">
        <f t="shared" ca="1" si="74"/>
        <v>7</v>
      </c>
    </row>
    <row r="940" spans="1:7" x14ac:dyDescent="0.25">
      <c r="A940" s="17">
        <f t="shared" si="70"/>
        <v>81</v>
      </c>
      <c r="B940" t="str">
        <f ca="1">TEXT(DATE(YEAR(Invoer!$A$5),1,1)+INT((ROWS(B$2:B940)-1)/3),"jjjjmmdd")</f>
        <v>19431109</v>
      </c>
      <c r="C940" s="35" t="str">
        <f>INDEX(Data,2,2+MOD(ROWS(C$2:C940)-1,3))</f>
        <v>19.45</v>
      </c>
      <c r="D940" s="23" t="str">
        <f t="shared" ca="1" si="71"/>
        <v>—</v>
      </c>
      <c r="E940" s="40">
        <f t="shared" ca="1" si="72"/>
        <v>7</v>
      </c>
      <c r="F940" s="23" t="str">
        <f t="shared" ca="1" si="73"/>
        <v>—</v>
      </c>
      <c r="G940" s="40">
        <f t="shared" ca="1" si="74"/>
        <v>7</v>
      </c>
    </row>
    <row r="941" spans="1:7" x14ac:dyDescent="0.25">
      <c r="A941" s="17">
        <f t="shared" si="70"/>
        <v>81</v>
      </c>
      <c r="B941" t="str">
        <f ca="1">TEXT(DATE(YEAR(Invoer!$A$5),1,1)+INT((ROWS(B$2:B941)-1)/3),"jjjjmmdd")</f>
        <v>19431110</v>
      </c>
      <c r="C941" s="35" t="str">
        <f>INDEX(Data,2,2+MOD(ROWS(C$2:C941)-1,3))</f>
        <v>07.45</v>
      </c>
      <c r="D941" s="23" t="str">
        <f t="shared" ca="1" si="71"/>
        <v>—</v>
      </c>
      <c r="E941" s="40">
        <f t="shared" ca="1" si="72"/>
        <v>7</v>
      </c>
      <c r="F941" s="23" t="str">
        <f t="shared" ca="1" si="73"/>
        <v>—</v>
      </c>
      <c r="G941" s="40">
        <f t="shared" ca="1" si="74"/>
        <v>7</v>
      </c>
    </row>
    <row r="942" spans="1:7" x14ac:dyDescent="0.25">
      <c r="A942" s="17">
        <f t="shared" si="70"/>
        <v>81</v>
      </c>
      <c r="B942" t="str">
        <f ca="1">TEXT(DATE(YEAR(Invoer!$A$5),1,1)+INT((ROWS(B$2:B942)-1)/3),"jjjjmmdd")</f>
        <v>19431110</v>
      </c>
      <c r="C942" s="35" t="str">
        <f>INDEX(Data,2,2+MOD(ROWS(C$2:C942)-1,3))</f>
        <v>13.45</v>
      </c>
      <c r="D942" s="23" t="str">
        <f t="shared" ca="1" si="71"/>
        <v>—</v>
      </c>
      <c r="E942" s="40">
        <f t="shared" ca="1" si="72"/>
        <v>7</v>
      </c>
      <c r="F942" s="23" t="str">
        <f t="shared" ca="1" si="73"/>
        <v>—</v>
      </c>
      <c r="G942" s="40">
        <f t="shared" ca="1" si="74"/>
        <v>7</v>
      </c>
    </row>
    <row r="943" spans="1:7" x14ac:dyDescent="0.25">
      <c r="A943" s="17">
        <f t="shared" si="70"/>
        <v>81</v>
      </c>
      <c r="B943" t="str">
        <f ca="1">TEXT(DATE(YEAR(Invoer!$A$5),1,1)+INT((ROWS(B$2:B943)-1)/3),"jjjjmmdd")</f>
        <v>19431110</v>
      </c>
      <c r="C943" s="35" t="str">
        <f>INDEX(Data,2,2+MOD(ROWS(C$2:C943)-1,3))</f>
        <v>19.45</v>
      </c>
      <c r="D943" s="23" t="str">
        <f t="shared" ca="1" si="71"/>
        <v>—</v>
      </c>
      <c r="E943" s="40">
        <f t="shared" ca="1" si="72"/>
        <v>7</v>
      </c>
      <c r="F943" s="23" t="str">
        <f t="shared" ca="1" si="73"/>
        <v>—</v>
      </c>
      <c r="G943" s="40">
        <f t="shared" ca="1" si="74"/>
        <v>7</v>
      </c>
    </row>
    <row r="944" spans="1:7" x14ac:dyDescent="0.25">
      <c r="A944" s="17">
        <f t="shared" si="70"/>
        <v>81</v>
      </c>
      <c r="B944" t="str">
        <f ca="1">TEXT(DATE(YEAR(Invoer!$A$5),1,1)+INT((ROWS(B$2:B944)-1)/3),"jjjjmmdd")</f>
        <v>19431111</v>
      </c>
      <c r="C944" s="35" t="str">
        <f>INDEX(Data,2,2+MOD(ROWS(C$2:C944)-1,3))</f>
        <v>07.45</v>
      </c>
      <c r="D944" s="23" t="str">
        <f t="shared" ca="1" si="71"/>
        <v>—</v>
      </c>
      <c r="E944" s="40">
        <f t="shared" ca="1" si="72"/>
        <v>7</v>
      </c>
      <c r="F944" s="23" t="str">
        <f t="shared" ca="1" si="73"/>
        <v>—</v>
      </c>
      <c r="G944" s="40">
        <f t="shared" ca="1" si="74"/>
        <v>7</v>
      </c>
    </row>
    <row r="945" spans="1:7" x14ac:dyDescent="0.25">
      <c r="A945" s="17">
        <f t="shared" si="70"/>
        <v>81</v>
      </c>
      <c r="B945" t="str">
        <f ca="1">TEXT(DATE(YEAR(Invoer!$A$5),1,1)+INT((ROWS(B$2:B945)-1)/3),"jjjjmmdd")</f>
        <v>19431111</v>
      </c>
      <c r="C945" s="35" t="str">
        <f>INDEX(Data,2,2+MOD(ROWS(C$2:C945)-1,3))</f>
        <v>13.45</v>
      </c>
      <c r="D945" s="23" t="str">
        <f t="shared" ca="1" si="71"/>
        <v>—</v>
      </c>
      <c r="E945" s="40">
        <f t="shared" ca="1" si="72"/>
        <v>7</v>
      </c>
      <c r="F945" s="23" t="str">
        <f t="shared" ca="1" si="73"/>
        <v>—</v>
      </c>
      <c r="G945" s="40">
        <f t="shared" ca="1" si="74"/>
        <v>7</v>
      </c>
    </row>
    <row r="946" spans="1:7" x14ac:dyDescent="0.25">
      <c r="A946" s="17">
        <f t="shared" si="70"/>
        <v>81</v>
      </c>
      <c r="B946" t="str">
        <f ca="1">TEXT(DATE(YEAR(Invoer!$A$5),1,1)+INT((ROWS(B$2:B946)-1)/3),"jjjjmmdd")</f>
        <v>19431111</v>
      </c>
      <c r="C946" s="35" t="str">
        <f>INDEX(Data,2,2+MOD(ROWS(C$2:C946)-1,3))</f>
        <v>19.45</v>
      </c>
      <c r="D946" s="23" t="str">
        <f t="shared" ca="1" si="71"/>
        <v>—</v>
      </c>
      <c r="E946" s="40">
        <f t="shared" ca="1" si="72"/>
        <v>7</v>
      </c>
      <c r="F946" s="23" t="str">
        <f t="shared" ca="1" si="73"/>
        <v>—</v>
      </c>
      <c r="G946" s="40">
        <f t="shared" ca="1" si="74"/>
        <v>7</v>
      </c>
    </row>
    <row r="947" spans="1:7" x14ac:dyDescent="0.25">
      <c r="A947" s="17">
        <f t="shared" si="70"/>
        <v>81</v>
      </c>
      <c r="B947" t="str">
        <f ca="1">TEXT(DATE(YEAR(Invoer!$A$5),1,1)+INT((ROWS(B$2:B947)-1)/3),"jjjjmmdd")</f>
        <v>19431112</v>
      </c>
      <c r="C947" s="35" t="str">
        <f>INDEX(Data,2,2+MOD(ROWS(C$2:C947)-1,3))</f>
        <v>07.45</v>
      </c>
      <c r="D947" s="23" t="str">
        <f t="shared" ca="1" si="71"/>
        <v>—</v>
      </c>
      <c r="E947" s="40">
        <f t="shared" ca="1" si="72"/>
        <v>7</v>
      </c>
      <c r="F947" s="23" t="str">
        <f t="shared" ca="1" si="73"/>
        <v>—</v>
      </c>
      <c r="G947" s="40">
        <f t="shared" ca="1" si="74"/>
        <v>7</v>
      </c>
    </row>
    <row r="948" spans="1:7" x14ac:dyDescent="0.25">
      <c r="A948" s="17">
        <f t="shared" si="70"/>
        <v>81</v>
      </c>
      <c r="B948" t="str">
        <f ca="1">TEXT(DATE(YEAR(Invoer!$A$5),1,1)+INT((ROWS(B$2:B948)-1)/3),"jjjjmmdd")</f>
        <v>19431112</v>
      </c>
      <c r="C948" s="35" t="str">
        <f>INDEX(Data,2,2+MOD(ROWS(C$2:C948)-1,3))</f>
        <v>13.45</v>
      </c>
      <c r="D948" s="23" t="str">
        <f t="shared" ca="1" si="71"/>
        <v>—</v>
      </c>
      <c r="E948" s="40">
        <f t="shared" ca="1" si="72"/>
        <v>7</v>
      </c>
      <c r="F948" s="23" t="str">
        <f t="shared" ca="1" si="73"/>
        <v>—</v>
      </c>
      <c r="G948" s="40">
        <f t="shared" ca="1" si="74"/>
        <v>7</v>
      </c>
    </row>
    <row r="949" spans="1:7" x14ac:dyDescent="0.25">
      <c r="A949" s="17">
        <f t="shared" si="70"/>
        <v>81</v>
      </c>
      <c r="B949" t="str">
        <f ca="1">TEXT(DATE(YEAR(Invoer!$A$5),1,1)+INT((ROWS(B$2:B949)-1)/3),"jjjjmmdd")</f>
        <v>19431112</v>
      </c>
      <c r="C949" s="35" t="str">
        <f>INDEX(Data,2,2+MOD(ROWS(C$2:C949)-1,3))</f>
        <v>19.45</v>
      </c>
      <c r="D949" s="23" t="str">
        <f t="shared" ca="1" si="71"/>
        <v>—</v>
      </c>
      <c r="E949" s="40">
        <f t="shared" ca="1" si="72"/>
        <v>7</v>
      </c>
      <c r="F949" s="23" t="str">
        <f t="shared" ca="1" si="73"/>
        <v>—</v>
      </c>
      <c r="G949" s="40">
        <f t="shared" ca="1" si="74"/>
        <v>7</v>
      </c>
    </row>
    <row r="950" spans="1:7" x14ac:dyDescent="0.25">
      <c r="A950" s="17">
        <f t="shared" si="70"/>
        <v>81</v>
      </c>
      <c r="B950" t="str">
        <f ca="1">TEXT(DATE(YEAR(Invoer!$A$5),1,1)+INT((ROWS(B$2:B950)-1)/3),"jjjjmmdd")</f>
        <v>19431113</v>
      </c>
      <c r="C950" s="35" t="str">
        <f>INDEX(Data,2,2+MOD(ROWS(C$2:C950)-1,3))</f>
        <v>07.45</v>
      </c>
      <c r="D950" s="23" t="str">
        <f t="shared" ca="1" si="71"/>
        <v>—</v>
      </c>
      <c r="E950" s="40">
        <f t="shared" ca="1" si="72"/>
        <v>7</v>
      </c>
      <c r="F950" s="23" t="str">
        <f t="shared" ca="1" si="73"/>
        <v>—</v>
      </c>
      <c r="G950" s="40">
        <f t="shared" ca="1" si="74"/>
        <v>7</v>
      </c>
    </row>
    <row r="951" spans="1:7" x14ac:dyDescent="0.25">
      <c r="A951" s="17">
        <f t="shared" si="70"/>
        <v>81</v>
      </c>
      <c r="B951" t="str">
        <f ca="1">TEXT(DATE(YEAR(Invoer!$A$5),1,1)+INT((ROWS(B$2:B951)-1)/3),"jjjjmmdd")</f>
        <v>19431113</v>
      </c>
      <c r="C951" s="35" t="str">
        <f>INDEX(Data,2,2+MOD(ROWS(C$2:C951)-1,3))</f>
        <v>13.45</v>
      </c>
      <c r="D951" s="23" t="str">
        <f t="shared" ca="1" si="71"/>
        <v>—</v>
      </c>
      <c r="E951" s="40">
        <f t="shared" ca="1" si="72"/>
        <v>7</v>
      </c>
      <c r="F951" s="23" t="str">
        <f t="shared" ca="1" si="73"/>
        <v>—</v>
      </c>
      <c r="G951" s="40">
        <f t="shared" ca="1" si="74"/>
        <v>7</v>
      </c>
    </row>
    <row r="952" spans="1:7" x14ac:dyDescent="0.25">
      <c r="A952" s="17">
        <f t="shared" si="70"/>
        <v>81</v>
      </c>
      <c r="B952" t="str">
        <f ca="1">TEXT(DATE(YEAR(Invoer!$A$5),1,1)+INT((ROWS(B$2:B952)-1)/3),"jjjjmmdd")</f>
        <v>19431113</v>
      </c>
      <c r="C952" s="35" t="str">
        <f>INDEX(Data,2,2+MOD(ROWS(C$2:C952)-1,3))</f>
        <v>19.45</v>
      </c>
      <c r="D952" s="23" t="str">
        <f t="shared" ca="1" si="71"/>
        <v>—</v>
      </c>
      <c r="E952" s="40">
        <f t="shared" ca="1" si="72"/>
        <v>7</v>
      </c>
      <c r="F952" s="23" t="str">
        <f t="shared" ca="1" si="73"/>
        <v>—</v>
      </c>
      <c r="G952" s="40">
        <f t="shared" ca="1" si="74"/>
        <v>7</v>
      </c>
    </row>
    <row r="953" spans="1:7" x14ac:dyDescent="0.25">
      <c r="A953" s="17">
        <f t="shared" si="70"/>
        <v>81</v>
      </c>
      <c r="B953" t="str">
        <f ca="1">TEXT(DATE(YEAR(Invoer!$A$5),1,1)+INT((ROWS(B$2:B953)-1)/3),"jjjjmmdd")</f>
        <v>19431114</v>
      </c>
      <c r="C953" s="35" t="str">
        <f>INDEX(Data,2,2+MOD(ROWS(C$2:C953)-1,3))</f>
        <v>07.45</v>
      </c>
      <c r="D953" s="23" t="str">
        <f t="shared" ca="1" si="71"/>
        <v>—</v>
      </c>
      <c r="E953" s="40">
        <f t="shared" ca="1" si="72"/>
        <v>7</v>
      </c>
      <c r="F953" s="23" t="str">
        <f t="shared" ca="1" si="73"/>
        <v>—</v>
      </c>
      <c r="G953" s="40">
        <f t="shared" ca="1" si="74"/>
        <v>7</v>
      </c>
    </row>
    <row r="954" spans="1:7" x14ac:dyDescent="0.25">
      <c r="A954" s="17">
        <f t="shared" si="70"/>
        <v>81</v>
      </c>
      <c r="B954" t="str">
        <f ca="1">TEXT(DATE(YEAR(Invoer!$A$5),1,1)+INT((ROWS(B$2:B954)-1)/3),"jjjjmmdd")</f>
        <v>19431114</v>
      </c>
      <c r="C954" s="35" t="str">
        <f>INDEX(Data,2,2+MOD(ROWS(C$2:C954)-1,3))</f>
        <v>13.45</v>
      </c>
      <c r="D954" s="23" t="str">
        <f t="shared" ca="1" si="71"/>
        <v>—</v>
      </c>
      <c r="E954" s="40">
        <f t="shared" ca="1" si="72"/>
        <v>7</v>
      </c>
      <c r="F954" s="23" t="str">
        <f t="shared" ca="1" si="73"/>
        <v>—</v>
      </c>
      <c r="G954" s="40">
        <f t="shared" ca="1" si="74"/>
        <v>7</v>
      </c>
    </row>
    <row r="955" spans="1:7" x14ac:dyDescent="0.25">
      <c r="A955" s="17">
        <f t="shared" si="70"/>
        <v>81</v>
      </c>
      <c r="B955" t="str">
        <f ca="1">TEXT(DATE(YEAR(Invoer!$A$5),1,1)+INT((ROWS(B$2:B955)-1)/3),"jjjjmmdd")</f>
        <v>19431114</v>
      </c>
      <c r="C955" s="35" t="str">
        <f>INDEX(Data,2,2+MOD(ROWS(C$2:C955)-1,3))</f>
        <v>19.45</v>
      </c>
      <c r="D955" s="23" t="str">
        <f t="shared" ca="1" si="71"/>
        <v>—</v>
      </c>
      <c r="E955" s="40">
        <f t="shared" ca="1" si="72"/>
        <v>7</v>
      </c>
      <c r="F955" s="23" t="str">
        <f t="shared" ca="1" si="73"/>
        <v>—</v>
      </c>
      <c r="G955" s="40">
        <f t="shared" ca="1" si="74"/>
        <v>7</v>
      </c>
    </row>
    <row r="956" spans="1:7" x14ac:dyDescent="0.25">
      <c r="A956" s="17">
        <f t="shared" si="70"/>
        <v>81</v>
      </c>
      <c r="B956" t="str">
        <f ca="1">TEXT(DATE(YEAR(Invoer!$A$5),1,1)+INT((ROWS(B$2:B956)-1)/3),"jjjjmmdd")</f>
        <v>19431115</v>
      </c>
      <c r="C956" s="35" t="str">
        <f>INDEX(Data,2,2+MOD(ROWS(C$2:C956)-1,3))</f>
        <v>07.45</v>
      </c>
      <c r="D956" s="23" t="str">
        <f t="shared" ca="1" si="71"/>
        <v>—</v>
      </c>
      <c r="E956" s="40">
        <f t="shared" ca="1" si="72"/>
        <v>7</v>
      </c>
      <c r="F956" s="23" t="str">
        <f t="shared" ca="1" si="73"/>
        <v>—</v>
      </c>
      <c r="G956" s="40">
        <f t="shared" ca="1" si="74"/>
        <v>7</v>
      </c>
    </row>
    <row r="957" spans="1:7" x14ac:dyDescent="0.25">
      <c r="A957" s="17">
        <f t="shared" si="70"/>
        <v>81</v>
      </c>
      <c r="B957" t="str">
        <f ca="1">TEXT(DATE(YEAR(Invoer!$A$5),1,1)+INT((ROWS(B$2:B957)-1)/3),"jjjjmmdd")</f>
        <v>19431115</v>
      </c>
      <c r="C957" s="35" t="str">
        <f>INDEX(Data,2,2+MOD(ROWS(C$2:C957)-1,3))</f>
        <v>13.45</v>
      </c>
      <c r="D957" s="23" t="str">
        <f t="shared" ca="1" si="71"/>
        <v>—</v>
      </c>
      <c r="E957" s="40">
        <f t="shared" ca="1" si="72"/>
        <v>7</v>
      </c>
      <c r="F957" s="23" t="str">
        <f t="shared" ca="1" si="73"/>
        <v>—</v>
      </c>
      <c r="G957" s="40">
        <f t="shared" ca="1" si="74"/>
        <v>7</v>
      </c>
    </row>
    <row r="958" spans="1:7" x14ac:dyDescent="0.25">
      <c r="A958" s="17">
        <f t="shared" si="70"/>
        <v>81</v>
      </c>
      <c r="B958" t="str">
        <f ca="1">TEXT(DATE(YEAR(Invoer!$A$5),1,1)+INT((ROWS(B$2:B958)-1)/3),"jjjjmmdd")</f>
        <v>19431115</v>
      </c>
      <c r="C958" s="35" t="str">
        <f>INDEX(Data,2,2+MOD(ROWS(C$2:C958)-1,3))</f>
        <v>19.45</v>
      </c>
      <c r="D958" s="23" t="str">
        <f t="shared" ca="1" si="71"/>
        <v>—</v>
      </c>
      <c r="E958" s="40">
        <f t="shared" ca="1" si="72"/>
        <v>7</v>
      </c>
      <c r="F958" s="23" t="str">
        <f t="shared" ca="1" si="73"/>
        <v>—</v>
      </c>
      <c r="G958" s="40">
        <f t="shared" ca="1" si="74"/>
        <v>7</v>
      </c>
    </row>
    <row r="959" spans="1:7" x14ac:dyDescent="0.25">
      <c r="A959" s="17">
        <f t="shared" si="70"/>
        <v>81</v>
      </c>
      <c r="B959" t="str">
        <f ca="1">TEXT(DATE(YEAR(Invoer!$A$5),1,1)+INT((ROWS(B$2:B959)-1)/3),"jjjjmmdd")</f>
        <v>19431116</v>
      </c>
      <c r="C959" s="35" t="str">
        <f>INDEX(Data,2,2+MOD(ROWS(C$2:C959)-1,3))</f>
        <v>07.45</v>
      </c>
      <c r="D959" s="23" t="str">
        <f t="shared" ca="1" si="71"/>
        <v>—</v>
      </c>
      <c r="E959" s="40">
        <f t="shared" ca="1" si="72"/>
        <v>7</v>
      </c>
      <c r="F959" s="23" t="str">
        <f t="shared" ca="1" si="73"/>
        <v>—</v>
      </c>
      <c r="G959" s="40">
        <f t="shared" ca="1" si="74"/>
        <v>7</v>
      </c>
    </row>
    <row r="960" spans="1:7" x14ac:dyDescent="0.25">
      <c r="A960" s="17">
        <f t="shared" si="70"/>
        <v>81</v>
      </c>
      <c r="B960" t="str">
        <f ca="1">TEXT(DATE(YEAR(Invoer!$A$5),1,1)+INT((ROWS(B$2:B960)-1)/3),"jjjjmmdd")</f>
        <v>19431116</v>
      </c>
      <c r="C960" s="35" t="str">
        <f>INDEX(Data,2,2+MOD(ROWS(C$2:C960)-1,3))</f>
        <v>13.45</v>
      </c>
      <c r="D960" s="23" t="str">
        <f t="shared" ca="1" si="71"/>
        <v>—</v>
      </c>
      <c r="E960" s="40">
        <f t="shared" ca="1" si="72"/>
        <v>7</v>
      </c>
      <c r="F960" s="23" t="str">
        <f t="shared" ca="1" si="73"/>
        <v>—</v>
      </c>
      <c r="G960" s="40">
        <f t="shared" ca="1" si="74"/>
        <v>7</v>
      </c>
    </row>
    <row r="961" spans="1:7" x14ac:dyDescent="0.25">
      <c r="A961" s="17">
        <f t="shared" si="70"/>
        <v>81</v>
      </c>
      <c r="B961" t="str">
        <f ca="1">TEXT(DATE(YEAR(Invoer!$A$5),1,1)+INT((ROWS(B$2:B961)-1)/3),"jjjjmmdd")</f>
        <v>19431116</v>
      </c>
      <c r="C961" s="35" t="str">
        <f>INDEX(Data,2,2+MOD(ROWS(C$2:C961)-1,3))</f>
        <v>19.45</v>
      </c>
      <c r="D961" s="23" t="str">
        <f t="shared" ca="1" si="71"/>
        <v>—</v>
      </c>
      <c r="E961" s="40">
        <f t="shared" ca="1" si="72"/>
        <v>7</v>
      </c>
      <c r="F961" s="23" t="str">
        <f t="shared" ca="1" si="73"/>
        <v>—</v>
      </c>
      <c r="G961" s="40">
        <f t="shared" ca="1" si="74"/>
        <v>7</v>
      </c>
    </row>
    <row r="962" spans="1:7" x14ac:dyDescent="0.25">
      <c r="A962" s="17">
        <f t="shared" ref="A962:A1025" si="75">INDEX(Stations,2,1)</f>
        <v>81</v>
      </c>
      <c r="B962" t="str">
        <f ca="1">TEXT(DATE(YEAR(Invoer!$A$5),1,1)+INT((ROWS(B$2:B962)-1)/3),"jjjjmmdd")</f>
        <v>19431117</v>
      </c>
      <c r="C962" s="35" t="str">
        <f>INDEX(Data,2,2+MOD(ROWS(C$2:C962)-1,3))</f>
        <v>07.45</v>
      </c>
      <c r="D962" s="23" t="str">
        <f t="shared" ref="D962:D1025" ca="1" si="7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—</v>
      </c>
      <c r="E962" s="40">
        <f t="shared" ref="E962:E1025" ca="1" si="7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7</v>
      </c>
      <c r="F962" s="23" t="str">
        <f t="shared" ref="F962:F1025" ca="1" si="78">IF(OR(ISBLANK(VLOOKUP(DATEVALUE(LEFT($B962,4)&amp;"-"&amp;MID($B962,5,2)&amp;"-"&amp;RIGHT($B962,2)),Data,MATCH(LEFT(VLOOKUP(F$1,Parameters,2,FALSE()),4)&amp;"*",OFFSET(Data,0,0,1),0)+MATCH($C962,OFFSET(Data,1,0,1),0)-2,FALSE())),ISTEXT(VLOOKUP(DATEVALUE(LEFT($B962,4)&amp;"-"&amp;MID($B962,5,2)&amp;"-"&amp;RIGHT($B962,2)),Data,MATCH(LEFT(VLOOKUP(F$1,Parameters,2,FALSE()),4)&amp;"*",OFFSET(Data,0,0,1),0)+MATCH($C962,OFFSET(Data,1,0,1),0)-2,FALSE()))),"—",VLOOKUP(DATEVALUE(LEFT($B962,4)&amp;"-"&amp;MID($B962,5,2)&amp;"-"&amp;RIGHT($B962,2)),Data,MATCH(LEFT(VLOOKUP(F$1,Parameters,2,FALSE()),4)&amp;"*",OFFSET(Data,0,0,1),0)+MATCH($C962,OFFSET(Data,1,0,1),0)-2,FALSE()))</f>
        <v>—</v>
      </c>
      <c r="G962" s="40">
        <f t="shared" ref="G962:G1025" ca="1" si="79">IF(OR(ISBLANK(VLOOKUP(DATEVALUE(LEFT($B962,4)&amp;"-"&amp;MID($B962,5,2)&amp;"-"&amp;RIGHT($B962,2)),Data,MATCH(LEFT(VLOOKUP(MID(G$1,2,LEN(G$1)-1),Parameters,2,FALSE()),4)&amp;"*",OFFSET(Data,0,0,1),0)+MATCH($C962,OFFSET(Data,1,0,1),0)-2,FALSE())),ISTEXT(VLOOKUP(DATEVALUE(LEFT($B962,4)&amp;"-"&amp;MID($B962,5,2)&amp;"-"&amp;RIGHT($B962,2)),Data,MATCH(LEFT(VLOOKUP(MID(G$1,2,LEN(G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G$1,2,LEN(G$1)-1),Parameters,2,FALSE()),4)&amp;"*",OFFSET(Catalogus,0,0,1),0)+MATCH($C962,OFFSET(Catalogus,1,0,1),0)-2,FALSE())))</f>
        <v>7</v>
      </c>
    </row>
    <row r="963" spans="1:7" x14ac:dyDescent="0.25">
      <c r="A963" s="17">
        <f t="shared" si="75"/>
        <v>81</v>
      </c>
      <c r="B963" t="str">
        <f ca="1">TEXT(DATE(YEAR(Invoer!$A$5),1,1)+INT((ROWS(B$2:B963)-1)/3),"jjjjmmdd")</f>
        <v>19431117</v>
      </c>
      <c r="C963" s="35" t="str">
        <f>INDEX(Data,2,2+MOD(ROWS(C$2:C963)-1,3))</f>
        <v>13.45</v>
      </c>
      <c r="D963" s="23" t="str">
        <f t="shared" ca="1" si="76"/>
        <v>—</v>
      </c>
      <c r="E963" s="40">
        <f t="shared" ca="1" si="77"/>
        <v>7</v>
      </c>
      <c r="F963" s="23" t="str">
        <f t="shared" ca="1" si="78"/>
        <v>—</v>
      </c>
      <c r="G963" s="40">
        <f t="shared" ca="1" si="79"/>
        <v>7</v>
      </c>
    </row>
    <row r="964" spans="1:7" x14ac:dyDescent="0.25">
      <c r="A964" s="17">
        <f t="shared" si="75"/>
        <v>81</v>
      </c>
      <c r="B964" t="str">
        <f ca="1">TEXT(DATE(YEAR(Invoer!$A$5),1,1)+INT((ROWS(B$2:B964)-1)/3),"jjjjmmdd")</f>
        <v>19431117</v>
      </c>
      <c r="C964" s="35" t="str">
        <f>INDEX(Data,2,2+MOD(ROWS(C$2:C964)-1,3))</f>
        <v>19.45</v>
      </c>
      <c r="D964" s="23" t="str">
        <f t="shared" ca="1" si="76"/>
        <v>—</v>
      </c>
      <c r="E964" s="40">
        <f t="shared" ca="1" si="77"/>
        <v>7</v>
      </c>
      <c r="F964" s="23" t="str">
        <f t="shared" ca="1" si="78"/>
        <v>—</v>
      </c>
      <c r="G964" s="40">
        <f t="shared" ca="1" si="79"/>
        <v>7</v>
      </c>
    </row>
    <row r="965" spans="1:7" x14ac:dyDescent="0.25">
      <c r="A965" s="17">
        <f t="shared" si="75"/>
        <v>81</v>
      </c>
      <c r="B965" t="str">
        <f ca="1">TEXT(DATE(YEAR(Invoer!$A$5),1,1)+INT((ROWS(B$2:B965)-1)/3),"jjjjmmdd")</f>
        <v>19431118</v>
      </c>
      <c r="C965" s="35" t="str">
        <f>INDEX(Data,2,2+MOD(ROWS(C$2:C965)-1,3))</f>
        <v>07.45</v>
      </c>
      <c r="D965" s="23" t="str">
        <f t="shared" ca="1" si="76"/>
        <v>—</v>
      </c>
      <c r="E965" s="40">
        <f t="shared" ca="1" si="77"/>
        <v>7</v>
      </c>
      <c r="F965" s="23" t="str">
        <f t="shared" ca="1" si="78"/>
        <v>—</v>
      </c>
      <c r="G965" s="40">
        <f t="shared" ca="1" si="79"/>
        <v>7</v>
      </c>
    </row>
    <row r="966" spans="1:7" x14ac:dyDescent="0.25">
      <c r="A966" s="17">
        <f t="shared" si="75"/>
        <v>81</v>
      </c>
      <c r="B966" t="str">
        <f ca="1">TEXT(DATE(YEAR(Invoer!$A$5),1,1)+INT((ROWS(B$2:B966)-1)/3),"jjjjmmdd")</f>
        <v>19431118</v>
      </c>
      <c r="C966" s="35" t="str">
        <f>INDEX(Data,2,2+MOD(ROWS(C$2:C966)-1,3))</f>
        <v>13.45</v>
      </c>
      <c r="D966" s="23" t="str">
        <f t="shared" ca="1" si="76"/>
        <v>—</v>
      </c>
      <c r="E966" s="40">
        <f t="shared" ca="1" si="77"/>
        <v>7</v>
      </c>
      <c r="F966" s="23" t="str">
        <f t="shared" ca="1" si="78"/>
        <v>—</v>
      </c>
      <c r="G966" s="40">
        <f t="shared" ca="1" si="79"/>
        <v>7</v>
      </c>
    </row>
    <row r="967" spans="1:7" x14ac:dyDescent="0.25">
      <c r="A967" s="17">
        <f t="shared" si="75"/>
        <v>81</v>
      </c>
      <c r="B967" t="str">
        <f ca="1">TEXT(DATE(YEAR(Invoer!$A$5),1,1)+INT((ROWS(B$2:B967)-1)/3),"jjjjmmdd")</f>
        <v>19431118</v>
      </c>
      <c r="C967" s="35" t="str">
        <f>INDEX(Data,2,2+MOD(ROWS(C$2:C967)-1,3))</f>
        <v>19.45</v>
      </c>
      <c r="D967" s="23" t="str">
        <f t="shared" ca="1" si="76"/>
        <v>—</v>
      </c>
      <c r="E967" s="40">
        <f t="shared" ca="1" si="77"/>
        <v>7</v>
      </c>
      <c r="F967" s="23" t="str">
        <f t="shared" ca="1" si="78"/>
        <v>—</v>
      </c>
      <c r="G967" s="40">
        <f t="shared" ca="1" si="79"/>
        <v>7</v>
      </c>
    </row>
    <row r="968" spans="1:7" x14ac:dyDescent="0.25">
      <c r="A968" s="17">
        <f t="shared" si="75"/>
        <v>81</v>
      </c>
      <c r="B968" t="str">
        <f ca="1">TEXT(DATE(YEAR(Invoer!$A$5),1,1)+INT((ROWS(B$2:B968)-1)/3),"jjjjmmdd")</f>
        <v>19431119</v>
      </c>
      <c r="C968" s="35" t="str">
        <f>INDEX(Data,2,2+MOD(ROWS(C$2:C968)-1,3))</f>
        <v>07.45</v>
      </c>
      <c r="D968" s="23" t="str">
        <f t="shared" ca="1" si="76"/>
        <v>—</v>
      </c>
      <c r="E968" s="40">
        <f t="shared" ca="1" si="77"/>
        <v>7</v>
      </c>
      <c r="F968" s="23" t="str">
        <f t="shared" ca="1" si="78"/>
        <v>—</v>
      </c>
      <c r="G968" s="40">
        <f t="shared" ca="1" si="79"/>
        <v>7</v>
      </c>
    </row>
    <row r="969" spans="1:7" x14ac:dyDescent="0.25">
      <c r="A969" s="17">
        <f t="shared" si="75"/>
        <v>81</v>
      </c>
      <c r="B969" t="str">
        <f ca="1">TEXT(DATE(YEAR(Invoer!$A$5),1,1)+INT((ROWS(B$2:B969)-1)/3),"jjjjmmdd")</f>
        <v>19431119</v>
      </c>
      <c r="C969" s="35" t="str">
        <f>INDEX(Data,2,2+MOD(ROWS(C$2:C969)-1,3))</f>
        <v>13.45</v>
      </c>
      <c r="D969" s="23" t="str">
        <f t="shared" ca="1" si="76"/>
        <v>—</v>
      </c>
      <c r="E969" s="40">
        <f t="shared" ca="1" si="77"/>
        <v>7</v>
      </c>
      <c r="F969" s="23" t="str">
        <f t="shared" ca="1" si="78"/>
        <v>—</v>
      </c>
      <c r="G969" s="40">
        <f t="shared" ca="1" si="79"/>
        <v>7</v>
      </c>
    </row>
    <row r="970" spans="1:7" x14ac:dyDescent="0.25">
      <c r="A970" s="17">
        <f t="shared" si="75"/>
        <v>81</v>
      </c>
      <c r="B970" t="str">
        <f ca="1">TEXT(DATE(YEAR(Invoer!$A$5),1,1)+INT((ROWS(B$2:B970)-1)/3),"jjjjmmdd")</f>
        <v>19431119</v>
      </c>
      <c r="C970" s="35" t="str">
        <f>INDEX(Data,2,2+MOD(ROWS(C$2:C970)-1,3))</f>
        <v>19.45</v>
      </c>
      <c r="D970" s="23" t="str">
        <f t="shared" ca="1" si="76"/>
        <v>—</v>
      </c>
      <c r="E970" s="40">
        <f t="shared" ca="1" si="77"/>
        <v>7</v>
      </c>
      <c r="F970" s="23" t="str">
        <f t="shared" ca="1" si="78"/>
        <v>—</v>
      </c>
      <c r="G970" s="40">
        <f t="shared" ca="1" si="79"/>
        <v>7</v>
      </c>
    </row>
    <row r="971" spans="1:7" x14ac:dyDescent="0.25">
      <c r="A971" s="17">
        <f t="shared" si="75"/>
        <v>81</v>
      </c>
      <c r="B971" t="str">
        <f ca="1">TEXT(DATE(YEAR(Invoer!$A$5),1,1)+INT((ROWS(B$2:B971)-1)/3),"jjjjmmdd")</f>
        <v>19431120</v>
      </c>
      <c r="C971" s="35" t="str">
        <f>INDEX(Data,2,2+MOD(ROWS(C$2:C971)-1,3))</f>
        <v>07.45</v>
      </c>
      <c r="D971" s="23" t="str">
        <f t="shared" ca="1" si="76"/>
        <v>—</v>
      </c>
      <c r="E971" s="40">
        <f t="shared" ca="1" si="77"/>
        <v>7</v>
      </c>
      <c r="F971" s="23" t="str">
        <f t="shared" ca="1" si="78"/>
        <v>—</v>
      </c>
      <c r="G971" s="40">
        <f t="shared" ca="1" si="79"/>
        <v>7</v>
      </c>
    </row>
    <row r="972" spans="1:7" x14ac:dyDescent="0.25">
      <c r="A972" s="17">
        <f t="shared" si="75"/>
        <v>81</v>
      </c>
      <c r="B972" t="str">
        <f ca="1">TEXT(DATE(YEAR(Invoer!$A$5),1,1)+INT((ROWS(B$2:B972)-1)/3),"jjjjmmdd")</f>
        <v>19431120</v>
      </c>
      <c r="C972" s="35" t="str">
        <f>INDEX(Data,2,2+MOD(ROWS(C$2:C972)-1,3))</f>
        <v>13.45</v>
      </c>
      <c r="D972" s="23" t="str">
        <f t="shared" ca="1" si="76"/>
        <v>—</v>
      </c>
      <c r="E972" s="40">
        <f t="shared" ca="1" si="77"/>
        <v>7</v>
      </c>
      <c r="F972" s="23" t="str">
        <f t="shared" ca="1" si="78"/>
        <v>—</v>
      </c>
      <c r="G972" s="40">
        <f t="shared" ca="1" si="79"/>
        <v>7</v>
      </c>
    </row>
    <row r="973" spans="1:7" x14ac:dyDescent="0.25">
      <c r="A973" s="17">
        <f t="shared" si="75"/>
        <v>81</v>
      </c>
      <c r="B973" t="str">
        <f ca="1">TEXT(DATE(YEAR(Invoer!$A$5),1,1)+INT((ROWS(B$2:B973)-1)/3),"jjjjmmdd")</f>
        <v>19431120</v>
      </c>
      <c r="C973" s="35" t="str">
        <f>INDEX(Data,2,2+MOD(ROWS(C$2:C973)-1,3))</f>
        <v>19.45</v>
      </c>
      <c r="D973" s="23" t="str">
        <f t="shared" ca="1" si="76"/>
        <v>—</v>
      </c>
      <c r="E973" s="40">
        <f t="shared" ca="1" si="77"/>
        <v>7</v>
      </c>
      <c r="F973" s="23" t="str">
        <f t="shared" ca="1" si="78"/>
        <v>—</v>
      </c>
      <c r="G973" s="40">
        <f t="shared" ca="1" si="79"/>
        <v>7</v>
      </c>
    </row>
    <row r="974" spans="1:7" x14ac:dyDescent="0.25">
      <c r="A974" s="17">
        <f t="shared" si="75"/>
        <v>81</v>
      </c>
      <c r="B974" t="str">
        <f ca="1">TEXT(DATE(YEAR(Invoer!$A$5),1,1)+INT((ROWS(B$2:B974)-1)/3),"jjjjmmdd")</f>
        <v>19431121</v>
      </c>
      <c r="C974" s="35" t="str">
        <f>INDEX(Data,2,2+MOD(ROWS(C$2:C974)-1,3))</f>
        <v>07.45</v>
      </c>
      <c r="D974" s="23" t="str">
        <f t="shared" ca="1" si="76"/>
        <v>—</v>
      </c>
      <c r="E974" s="40">
        <f t="shared" ca="1" si="77"/>
        <v>7</v>
      </c>
      <c r="F974" s="23" t="str">
        <f t="shared" ca="1" si="78"/>
        <v>—</v>
      </c>
      <c r="G974" s="40">
        <f t="shared" ca="1" si="79"/>
        <v>7</v>
      </c>
    </row>
    <row r="975" spans="1:7" x14ac:dyDescent="0.25">
      <c r="A975" s="17">
        <f t="shared" si="75"/>
        <v>81</v>
      </c>
      <c r="B975" t="str">
        <f ca="1">TEXT(DATE(YEAR(Invoer!$A$5),1,1)+INT((ROWS(B$2:B975)-1)/3),"jjjjmmdd")</f>
        <v>19431121</v>
      </c>
      <c r="C975" s="35" t="str">
        <f>INDEX(Data,2,2+MOD(ROWS(C$2:C975)-1,3))</f>
        <v>13.45</v>
      </c>
      <c r="D975" s="23" t="str">
        <f t="shared" ca="1" si="76"/>
        <v>—</v>
      </c>
      <c r="E975" s="40">
        <f t="shared" ca="1" si="77"/>
        <v>7</v>
      </c>
      <c r="F975" s="23" t="str">
        <f t="shared" ca="1" si="78"/>
        <v>—</v>
      </c>
      <c r="G975" s="40">
        <f t="shared" ca="1" si="79"/>
        <v>7</v>
      </c>
    </row>
    <row r="976" spans="1:7" x14ac:dyDescent="0.25">
      <c r="A976" s="17">
        <f t="shared" si="75"/>
        <v>81</v>
      </c>
      <c r="B976" t="str">
        <f ca="1">TEXT(DATE(YEAR(Invoer!$A$5),1,1)+INT((ROWS(B$2:B976)-1)/3),"jjjjmmdd")</f>
        <v>19431121</v>
      </c>
      <c r="C976" s="35" t="str">
        <f>INDEX(Data,2,2+MOD(ROWS(C$2:C976)-1,3))</f>
        <v>19.45</v>
      </c>
      <c r="D976" s="23" t="str">
        <f t="shared" ca="1" si="76"/>
        <v>—</v>
      </c>
      <c r="E976" s="40">
        <f t="shared" ca="1" si="77"/>
        <v>7</v>
      </c>
      <c r="F976" s="23" t="str">
        <f t="shared" ca="1" si="78"/>
        <v>—</v>
      </c>
      <c r="G976" s="40">
        <f t="shared" ca="1" si="79"/>
        <v>7</v>
      </c>
    </row>
    <row r="977" spans="1:7" x14ac:dyDescent="0.25">
      <c r="A977" s="17">
        <f t="shared" si="75"/>
        <v>81</v>
      </c>
      <c r="B977" t="str">
        <f ca="1">TEXT(DATE(YEAR(Invoer!$A$5),1,1)+INT((ROWS(B$2:B977)-1)/3),"jjjjmmdd")</f>
        <v>19431122</v>
      </c>
      <c r="C977" s="35" t="str">
        <f>INDEX(Data,2,2+MOD(ROWS(C$2:C977)-1,3))</f>
        <v>07.45</v>
      </c>
      <c r="D977" s="23" t="str">
        <f t="shared" ca="1" si="76"/>
        <v>—</v>
      </c>
      <c r="E977" s="40">
        <f t="shared" ca="1" si="77"/>
        <v>7</v>
      </c>
      <c r="F977" s="23" t="str">
        <f t="shared" ca="1" si="78"/>
        <v>—</v>
      </c>
      <c r="G977" s="40">
        <f t="shared" ca="1" si="79"/>
        <v>7</v>
      </c>
    </row>
    <row r="978" spans="1:7" x14ac:dyDescent="0.25">
      <c r="A978" s="17">
        <f t="shared" si="75"/>
        <v>81</v>
      </c>
      <c r="B978" t="str">
        <f ca="1">TEXT(DATE(YEAR(Invoer!$A$5),1,1)+INT((ROWS(B$2:B978)-1)/3),"jjjjmmdd")</f>
        <v>19431122</v>
      </c>
      <c r="C978" s="35" t="str">
        <f>INDEX(Data,2,2+MOD(ROWS(C$2:C978)-1,3))</f>
        <v>13.45</v>
      </c>
      <c r="D978" s="23" t="str">
        <f t="shared" ca="1" si="76"/>
        <v>—</v>
      </c>
      <c r="E978" s="40">
        <f t="shared" ca="1" si="77"/>
        <v>7</v>
      </c>
      <c r="F978" s="23" t="str">
        <f t="shared" ca="1" si="78"/>
        <v>—</v>
      </c>
      <c r="G978" s="40">
        <f t="shared" ca="1" si="79"/>
        <v>7</v>
      </c>
    </row>
    <row r="979" spans="1:7" x14ac:dyDescent="0.25">
      <c r="A979" s="17">
        <f t="shared" si="75"/>
        <v>81</v>
      </c>
      <c r="B979" t="str">
        <f ca="1">TEXT(DATE(YEAR(Invoer!$A$5),1,1)+INT((ROWS(B$2:B979)-1)/3),"jjjjmmdd")</f>
        <v>19431122</v>
      </c>
      <c r="C979" s="35" t="str">
        <f>INDEX(Data,2,2+MOD(ROWS(C$2:C979)-1,3))</f>
        <v>19.45</v>
      </c>
      <c r="D979" s="23" t="str">
        <f t="shared" ca="1" si="76"/>
        <v>—</v>
      </c>
      <c r="E979" s="40">
        <f t="shared" ca="1" si="77"/>
        <v>7</v>
      </c>
      <c r="F979" s="23" t="str">
        <f t="shared" ca="1" si="78"/>
        <v>—</v>
      </c>
      <c r="G979" s="40">
        <f t="shared" ca="1" si="79"/>
        <v>7</v>
      </c>
    </row>
    <row r="980" spans="1:7" x14ac:dyDescent="0.25">
      <c r="A980" s="17">
        <f t="shared" si="75"/>
        <v>81</v>
      </c>
      <c r="B980" t="str">
        <f ca="1">TEXT(DATE(YEAR(Invoer!$A$5),1,1)+INT((ROWS(B$2:B980)-1)/3),"jjjjmmdd")</f>
        <v>19431123</v>
      </c>
      <c r="C980" s="35" t="str">
        <f>INDEX(Data,2,2+MOD(ROWS(C$2:C980)-1,3))</f>
        <v>07.45</v>
      </c>
      <c r="D980" s="23" t="str">
        <f t="shared" ca="1" si="76"/>
        <v>—</v>
      </c>
      <c r="E980" s="40">
        <f t="shared" ca="1" si="77"/>
        <v>7</v>
      </c>
      <c r="F980" s="23" t="str">
        <f t="shared" ca="1" si="78"/>
        <v>—</v>
      </c>
      <c r="G980" s="40">
        <f t="shared" ca="1" si="79"/>
        <v>7</v>
      </c>
    </row>
    <row r="981" spans="1:7" x14ac:dyDescent="0.25">
      <c r="A981" s="17">
        <f t="shared" si="75"/>
        <v>81</v>
      </c>
      <c r="B981" t="str">
        <f ca="1">TEXT(DATE(YEAR(Invoer!$A$5),1,1)+INT((ROWS(B$2:B981)-1)/3),"jjjjmmdd")</f>
        <v>19431123</v>
      </c>
      <c r="C981" s="35" t="str">
        <f>INDEX(Data,2,2+MOD(ROWS(C$2:C981)-1,3))</f>
        <v>13.45</v>
      </c>
      <c r="D981" s="23" t="str">
        <f t="shared" ca="1" si="76"/>
        <v>—</v>
      </c>
      <c r="E981" s="40">
        <f t="shared" ca="1" si="77"/>
        <v>7</v>
      </c>
      <c r="F981" s="23" t="str">
        <f t="shared" ca="1" si="78"/>
        <v>—</v>
      </c>
      <c r="G981" s="40">
        <f t="shared" ca="1" si="79"/>
        <v>7</v>
      </c>
    </row>
    <row r="982" spans="1:7" x14ac:dyDescent="0.25">
      <c r="A982" s="17">
        <f t="shared" si="75"/>
        <v>81</v>
      </c>
      <c r="B982" t="str">
        <f ca="1">TEXT(DATE(YEAR(Invoer!$A$5),1,1)+INT((ROWS(B$2:B982)-1)/3),"jjjjmmdd")</f>
        <v>19431123</v>
      </c>
      <c r="C982" s="35" t="str">
        <f>INDEX(Data,2,2+MOD(ROWS(C$2:C982)-1,3))</f>
        <v>19.45</v>
      </c>
      <c r="D982" s="23" t="str">
        <f t="shared" ca="1" si="76"/>
        <v>—</v>
      </c>
      <c r="E982" s="40">
        <f t="shared" ca="1" si="77"/>
        <v>7</v>
      </c>
      <c r="F982" s="23" t="str">
        <f t="shared" ca="1" si="78"/>
        <v>—</v>
      </c>
      <c r="G982" s="40">
        <f t="shared" ca="1" si="79"/>
        <v>7</v>
      </c>
    </row>
    <row r="983" spans="1:7" x14ac:dyDescent="0.25">
      <c r="A983" s="17">
        <f t="shared" si="75"/>
        <v>81</v>
      </c>
      <c r="B983" t="str">
        <f ca="1">TEXT(DATE(YEAR(Invoer!$A$5),1,1)+INT((ROWS(B$2:B983)-1)/3),"jjjjmmdd")</f>
        <v>19431124</v>
      </c>
      <c r="C983" s="35" t="str">
        <f>INDEX(Data,2,2+MOD(ROWS(C$2:C983)-1,3))</f>
        <v>07.45</v>
      </c>
      <c r="D983" s="23" t="str">
        <f t="shared" ca="1" si="76"/>
        <v>—</v>
      </c>
      <c r="E983" s="40">
        <f t="shared" ca="1" si="77"/>
        <v>7</v>
      </c>
      <c r="F983" s="23" t="str">
        <f t="shared" ca="1" si="78"/>
        <v>—</v>
      </c>
      <c r="G983" s="40">
        <f t="shared" ca="1" si="79"/>
        <v>7</v>
      </c>
    </row>
    <row r="984" spans="1:7" x14ac:dyDescent="0.25">
      <c r="A984" s="17">
        <f t="shared" si="75"/>
        <v>81</v>
      </c>
      <c r="B984" t="str">
        <f ca="1">TEXT(DATE(YEAR(Invoer!$A$5),1,1)+INT((ROWS(B$2:B984)-1)/3),"jjjjmmdd")</f>
        <v>19431124</v>
      </c>
      <c r="C984" s="35" t="str">
        <f>INDEX(Data,2,2+MOD(ROWS(C$2:C984)-1,3))</f>
        <v>13.45</v>
      </c>
      <c r="D984" s="23" t="str">
        <f t="shared" ca="1" si="76"/>
        <v>—</v>
      </c>
      <c r="E984" s="40">
        <f t="shared" ca="1" si="77"/>
        <v>7</v>
      </c>
      <c r="F984" s="23" t="str">
        <f t="shared" ca="1" si="78"/>
        <v>—</v>
      </c>
      <c r="G984" s="40">
        <f t="shared" ca="1" si="79"/>
        <v>7</v>
      </c>
    </row>
    <row r="985" spans="1:7" x14ac:dyDescent="0.25">
      <c r="A985" s="17">
        <f t="shared" si="75"/>
        <v>81</v>
      </c>
      <c r="B985" t="str">
        <f ca="1">TEXT(DATE(YEAR(Invoer!$A$5),1,1)+INT((ROWS(B$2:B985)-1)/3),"jjjjmmdd")</f>
        <v>19431124</v>
      </c>
      <c r="C985" s="35" t="str">
        <f>INDEX(Data,2,2+MOD(ROWS(C$2:C985)-1,3))</f>
        <v>19.45</v>
      </c>
      <c r="D985" s="23" t="str">
        <f t="shared" ca="1" si="76"/>
        <v>—</v>
      </c>
      <c r="E985" s="40">
        <f t="shared" ca="1" si="77"/>
        <v>7</v>
      </c>
      <c r="F985" s="23" t="str">
        <f t="shared" ca="1" si="78"/>
        <v>—</v>
      </c>
      <c r="G985" s="40">
        <f t="shared" ca="1" si="79"/>
        <v>7</v>
      </c>
    </row>
    <row r="986" spans="1:7" x14ac:dyDescent="0.25">
      <c r="A986" s="17">
        <f t="shared" si="75"/>
        <v>81</v>
      </c>
      <c r="B986" t="str">
        <f ca="1">TEXT(DATE(YEAR(Invoer!$A$5),1,1)+INT((ROWS(B$2:B986)-1)/3),"jjjjmmdd")</f>
        <v>19431125</v>
      </c>
      <c r="C986" s="35" t="str">
        <f>INDEX(Data,2,2+MOD(ROWS(C$2:C986)-1,3))</f>
        <v>07.45</v>
      </c>
      <c r="D986" s="23" t="str">
        <f t="shared" ca="1" si="76"/>
        <v>—</v>
      </c>
      <c r="E986" s="40">
        <f t="shared" ca="1" si="77"/>
        <v>7</v>
      </c>
      <c r="F986" s="23" t="str">
        <f t="shared" ca="1" si="78"/>
        <v>—</v>
      </c>
      <c r="G986" s="40">
        <f t="shared" ca="1" si="79"/>
        <v>7</v>
      </c>
    </row>
    <row r="987" spans="1:7" x14ac:dyDescent="0.25">
      <c r="A987" s="17">
        <f t="shared" si="75"/>
        <v>81</v>
      </c>
      <c r="B987" t="str">
        <f ca="1">TEXT(DATE(YEAR(Invoer!$A$5),1,1)+INT((ROWS(B$2:B987)-1)/3),"jjjjmmdd")</f>
        <v>19431125</v>
      </c>
      <c r="C987" s="35" t="str">
        <f>INDEX(Data,2,2+MOD(ROWS(C$2:C987)-1,3))</f>
        <v>13.45</v>
      </c>
      <c r="D987" s="23" t="str">
        <f t="shared" ca="1" si="76"/>
        <v>—</v>
      </c>
      <c r="E987" s="40">
        <f t="shared" ca="1" si="77"/>
        <v>7</v>
      </c>
      <c r="F987" s="23" t="str">
        <f t="shared" ca="1" si="78"/>
        <v>—</v>
      </c>
      <c r="G987" s="40">
        <f t="shared" ca="1" si="79"/>
        <v>7</v>
      </c>
    </row>
    <row r="988" spans="1:7" x14ac:dyDescent="0.25">
      <c r="A988" s="17">
        <f t="shared" si="75"/>
        <v>81</v>
      </c>
      <c r="B988" t="str">
        <f ca="1">TEXT(DATE(YEAR(Invoer!$A$5),1,1)+INT((ROWS(B$2:B988)-1)/3),"jjjjmmdd")</f>
        <v>19431125</v>
      </c>
      <c r="C988" s="35" t="str">
        <f>INDEX(Data,2,2+MOD(ROWS(C$2:C988)-1,3))</f>
        <v>19.45</v>
      </c>
      <c r="D988" s="23" t="str">
        <f t="shared" ca="1" si="76"/>
        <v>—</v>
      </c>
      <c r="E988" s="40">
        <f t="shared" ca="1" si="77"/>
        <v>7</v>
      </c>
      <c r="F988" s="23" t="str">
        <f t="shared" ca="1" si="78"/>
        <v>—</v>
      </c>
      <c r="G988" s="40">
        <f t="shared" ca="1" si="79"/>
        <v>7</v>
      </c>
    </row>
    <row r="989" spans="1:7" x14ac:dyDescent="0.25">
      <c r="A989" s="17">
        <f t="shared" si="75"/>
        <v>81</v>
      </c>
      <c r="B989" t="str">
        <f ca="1">TEXT(DATE(YEAR(Invoer!$A$5),1,1)+INT((ROWS(B$2:B989)-1)/3),"jjjjmmdd")</f>
        <v>19431126</v>
      </c>
      <c r="C989" s="35" t="str">
        <f>INDEX(Data,2,2+MOD(ROWS(C$2:C989)-1,3))</f>
        <v>07.45</v>
      </c>
      <c r="D989" s="23" t="str">
        <f t="shared" ca="1" si="76"/>
        <v>—</v>
      </c>
      <c r="E989" s="40">
        <f t="shared" ca="1" si="77"/>
        <v>7</v>
      </c>
      <c r="F989" s="23" t="str">
        <f t="shared" ca="1" si="78"/>
        <v>—</v>
      </c>
      <c r="G989" s="40">
        <f t="shared" ca="1" si="79"/>
        <v>7</v>
      </c>
    </row>
    <row r="990" spans="1:7" x14ac:dyDescent="0.25">
      <c r="A990" s="17">
        <f t="shared" si="75"/>
        <v>81</v>
      </c>
      <c r="B990" t="str">
        <f ca="1">TEXT(DATE(YEAR(Invoer!$A$5),1,1)+INT((ROWS(B$2:B990)-1)/3),"jjjjmmdd")</f>
        <v>19431126</v>
      </c>
      <c r="C990" s="35" t="str">
        <f>INDEX(Data,2,2+MOD(ROWS(C$2:C990)-1,3))</f>
        <v>13.45</v>
      </c>
      <c r="D990" s="23" t="str">
        <f t="shared" ca="1" si="76"/>
        <v>—</v>
      </c>
      <c r="E990" s="40">
        <f t="shared" ca="1" si="77"/>
        <v>7</v>
      </c>
      <c r="F990" s="23" t="str">
        <f t="shared" ca="1" si="78"/>
        <v>—</v>
      </c>
      <c r="G990" s="40">
        <f t="shared" ca="1" si="79"/>
        <v>7</v>
      </c>
    </row>
    <row r="991" spans="1:7" x14ac:dyDescent="0.25">
      <c r="A991" s="17">
        <f t="shared" si="75"/>
        <v>81</v>
      </c>
      <c r="B991" t="str">
        <f ca="1">TEXT(DATE(YEAR(Invoer!$A$5),1,1)+INT((ROWS(B$2:B991)-1)/3),"jjjjmmdd")</f>
        <v>19431126</v>
      </c>
      <c r="C991" s="35" t="str">
        <f>INDEX(Data,2,2+MOD(ROWS(C$2:C991)-1,3))</f>
        <v>19.45</v>
      </c>
      <c r="D991" s="23" t="str">
        <f t="shared" ca="1" si="76"/>
        <v>—</v>
      </c>
      <c r="E991" s="40">
        <f t="shared" ca="1" si="77"/>
        <v>7</v>
      </c>
      <c r="F991" s="23" t="str">
        <f t="shared" ca="1" si="78"/>
        <v>—</v>
      </c>
      <c r="G991" s="40">
        <f t="shared" ca="1" si="79"/>
        <v>7</v>
      </c>
    </row>
    <row r="992" spans="1:7" x14ac:dyDescent="0.25">
      <c r="A992" s="17">
        <f t="shared" si="75"/>
        <v>81</v>
      </c>
      <c r="B992" t="str">
        <f ca="1">TEXT(DATE(YEAR(Invoer!$A$5),1,1)+INT((ROWS(B$2:B992)-1)/3),"jjjjmmdd")</f>
        <v>19431127</v>
      </c>
      <c r="C992" s="35" t="str">
        <f>INDEX(Data,2,2+MOD(ROWS(C$2:C992)-1,3))</f>
        <v>07.45</v>
      </c>
      <c r="D992" s="23" t="str">
        <f t="shared" ca="1" si="76"/>
        <v>—</v>
      </c>
      <c r="E992" s="40">
        <f t="shared" ca="1" si="77"/>
        <v>7</v>
      </c>
      <c r="F992" s="23" t="str">
        <f t="shared" ca="1" si="78"/>
        <v>—</v>
      </c>
      <c r="G992" s="40">
        <f t="shared" ca="1" si="79"/>
        <v>7</v>
      </c>
    </row>
    <row r="993" spans="1:7" x14ac:dyDescent="0.25">
      <c r="A993" s="17">
        <f t="shared" si="75"/>
        <v>81</v>
      </c>
      <c r="B993" t="str">
        <f ca="1">TEXT(DATE(YEAR(Invoer!$A$5),1,1)+INT((ROWS(B$2:B993)-1)/3),"jjjjmmdd")</f>
        <v>19431127</v>
      </c>
      <c r="C993" s="35" t="str">
        <f>INDEX(Data,2,2+MOD(ROWS(C$2:C993)-1,3))</f>
        <v>13.45</v>
      </c>
      <c r="D993" s="23" t="str">
        <f t="shared" ca="1" si="76"/>
        <v>—</v>
      </c>
      <c r="E993" s="40">
        <f t="shared" ca="1" si="77"/>
        <v>7</v>
      </c>
      <c r="F993" s="23" t="str">
        <f t="shared" ca="1" si="78"/>
        <v>—</v>
      </c>
      <c r="G993" s="40">
        <f t="shared" ca="1" si="79"/>
        <v>7</v>
      </c>
    </row>
    <row r="994" spans="1:7" x14ac:dyDescent="0.25">
      <c r="A994" s="17">
        <f t="shared" si="75"/>
        <v>81</v>
      </c>
      <c r="B994" t="str">
        <f ca="1">TEXT(DATE(YEAR(Invoer!$A$5),1,1)+INT((ROWS(B$2:B994)-1)/3),"jjjjmmdd")</f>
        <v>19431127</v>
      </c>
      <c r="C994" s="35" t="str">
        <f>INDEX(Data,2,2+MOD(ROWS(C$2:C994)-1,3))</f>
        <v>19.45</v>
      </c>
      <c r="D994" s="23" t="str">
        <f t="shared" ca="1" si="76"/>
        <v>—</v>
      </c>
      <c r="E994" s="40">
        <f t="shared" ca="1" si="77"/>
        <v>7</v>
      </c>
      <c r="F994" s="23" t="str">
        <f t="shared" ca="1" si="78"/>
        <v>—</v>
      </c>
      <c r="G994" s="40">
        <f t="shared" ca="1" si="79"/>
        <v>7</v>
      </c>
    </row>
    <row r="995" spans="1:7" x14ac:dyDescent="0.25">
      <c r="A995" s="17">
        <f t="shared" si="75"/>
        <v>81</v>
      </c>
      <c r="B995" t="str">
        <f ca="1">TEXT(DATE(YEAR(Invoer!$A$5),1,1)+INT((ROWS(B$2:B995)-1)/3),"jjjjmmdd")</f>
        <v>19431128</v>
      </c>
      <c r="C995" s="35" t="str">
        <f>INDEX(Data,2,2+MOD(ROWS(C$2:C995)-1,3))</f>
        <v>07.45</v>
      </c>
      <c r="D995" s="23" t="str">
        <f t="shared" ca="1" si="76"/>
        <v>—</v>
      </c>
      <c r="E995" s="40">
        <f t="shared" ca="1" si="77"/>
        <v>7</v>
      </c>
      <c r="F995" s="23" t="str">
        <f t="shared" ca="1" si="78"/>
        <v>—</v>
      </c>
      <c r="G995" s="40">
        <f t="shared" ca="1" si="79"/>
        <v>7</v>
      </c>
    </row>
    <row r="996" spans="1:7" x14ac:dyDescent="0.25">
      <c r="A996" s="17">
        <f t="shared" si="75"/>
        <v>81</v>
      </c>
      <c r="B996" t="str">
        <f ca="1">TEXT(DATE(YEAR(Invoer!$A$5),1,1)+INT((ROWS(B$2:B996)-1)/3),"jjjjmmdd")</f>
        <v>19431128</v>
      </c>
      <c r="C996" s="35" t="str">
        <f>INDEX(Data,2,2+MOD(ROWS(C$2:C996)-1,3))</f>
        <v>13.45</v>
      </c>
      <c r="D996" s="23" t="str">
        <f t="shared" ca="1" si="76"/>
        <v>—</v>
      </c>
      <c r="E996" s="40">
        <f t="shared" ca="1" si="77"/>
        <v>7</v>
      </c>
      <c r="F996" s="23" t="str">
        <f t="shared" ca="1" si="78"/>
        <v>—</v>
      </c>
      <c r="G996" s="40">
        <f t="shared" ca="1" si="79"/>
        <v>7</v>
      </c>
    </row>
    <row r="997" spans="1:7" x14ac:dyDescent="0.25">
      <c r="A997" s="17">
        <f t="shared" si="75"/>
        <v>81</v>
      </c>
      <c r="B997" t="str">
        <f ca="1">TEXT(DATE(YEAR(Invoer!$A$5),1,1)+INT((ROWS(B$2:B997)-1)/3),"jjjjmmdd")</f>
        <v>19431128</v>
      </c>
      <c r="C997" s="35" t="str">
        <f>INDEX(Data,2,2+MOD(ROWS(C$2:C997)-1,3))</f>
        <v>19.45</v>
      </c>
      <c r="D997" s="23" t="str">
        <f t="shared" ca="1" si="76"/>
        <v>—</v>
      </c>
      <c r="E997" s="40">
        <f t="shared" ca="1" si="77"/>
        <v>7</v>
      </c>
      <c r="F997" s="23" t="str">
        <f t="shared" ca="1" si="78"/>
        <v>—</v>
      </c>
      <c r="G997" s="40">
        <f t="shared" ca="1" si="79"/>
        <v>7</v>
      </c>
    </row>
    <row r="998" spans="1:7" x14ac:dyDescent="0.25">
      <c r="A998" s="17">
        <f t="shared" si="75"/>
        <v>81</v>
      </c>
      <c r="B998" t="str">
        <f ca="1">TEXT(DATE(YEAR(Invoer!$A$5),1,1)+INT((ROWS(B$2:B998)-1)/3),"jjjjmmdd")</f>
        <v>19431129</v>
      </c>
      <c r="C998" s="35" t="str">
        <f>INDEX(Data,2,2+MOD(ROWS(C$2:C998)-1,3))</f>
        <v>07.45</v>
      </c>
      <c r="D998" s="23" t="str">
        <f t="shared" ca="1" si="76"/>
        <v>—</v>
      </c>
      <c r="E998" s="40">
        <f t="shared" ca="1" si="77"/>
        <v>7</v>
      </c>
      <c r="F998" s="23" t="str">
        <f t="shared" ca="1" si="78"/>
        <v>—</v>
      </c>
      <c r="G998" s="40">
        <f t="shared" ca="1" si="79"/>
        <v>7</v>
      </c>
    </row>
    <row r="999" spans="1:7" x14ac:dyDescent="0.25">
      <c r="A999" s="17">
        <f t="shared" si="75"/>
        <v>81</v>
      </c>
      <c r="B999" t="str">
        <f ca="1">TEXT(DATE(YEAR(Invoer!$A$5),1,1)+INT((ROWS(B$2:B999)-1)/3),"jjjjmmdd")</f>
        <v>19431129</v>
      </c>
      <c r="C999" s="35" t="str">
        <f>INDEX(Data,2,2+MOD(ROWS(C$2:C999)-1,3))</f>
        <v>13.45</v>
      </c>
      <c r="D999" s="23" t="str">
        <f t="shared" ca="1" si="76"/>
        <v>—</v>
      </c>
      <c r="E999" s="40">
        <f t="shared" ca="1" si="77"/>
        <v>7</v>
      </c>
      <c r="F999" s="23" t="str">
        <f t="shared" ca="1" si="78"/>
        <v>—</v>
      </c>
      <c r="G999" s="40">
        <f t="shared" ca="1" si="79"/>
        <v>7</v>
      </c>
    </row>
    <row r="1000" spans="1:7" x14ac:dyDescent="0.25">
      <c r="A1000" s="17">
        <f t="shared" si="75"/>
        <v>81</v>
      </c>
      <c r="B1000" t="str">
        <f ca="1">TEXT(DATE(YEAR(Invoer!$A$5),1,1)+INT((ROWS(B$2:B1000)-1)/3),"jjjjmmdd")</f>
        <v>19431129</v>
      </c>
      <c r="C1000" s="35" t="str">
        <f>INDEX(Data,2,2+MOD(ROWS(C$2:C1000)-1,3))</f>
        <v>19.45</v>
      </c>
      <c r="D1000" s="23" t="str">
        <f t="shared" ca="1" si="76"/>
        <v>—</v>
      </c>
      <c r="E1000" s="40">
        <f t="shared" ca="1" si="77"/>
        <v>7</v>
      </c>
      <c r="F1000" s="23" t="str">
        <f t="shared" ca="1" si="78"/>
        <v>—</v>
      </c>
      <c r="G1000" s="40">
        <f t="shared" ca="1" si="79"/>
        <v>7</v>
      </c>
    </row>
    <row r="1001" spans="1:7" x14ac:dyDescent="0.25">
      <c r="A1001" s="17">
        <f t="shared" si="75"/>
        <v>81</v>
      </c>
      <c r="B1001" t="str">
        <f ca="1">TEXT(DATE(YEAR(Invoer!$A$5),1,1)+INT((ROWS(B$2:B1001)-1)/3),"jjjjmmdd")</f>
        <v>19431130</v>
      </c>
      <c r="C1001" s="35" t="str">
        <f>INDEX(Data,2,2+MOD(ROWS(C$2:C1001)-1,3))</f>
        <v>07.45</v>
      </c>
      <c r="D1001" s="23" t="str">
        <f t="shared" ca="1" si="76"/>
        <v>—</v>
      </c>
      <c r="E1001" s="40">
        <f t="shared" ca="1" si="77"/>
        <v>7</v>
      </c>
      <c r="F1001" s="23" t="str">
        <f t="shared" ca="1" si="78"/>
        <v>—</v>
      </c>
      <c r="G1001" s="40">
        <f t="shared" ca="1" si="79"/>
        <v>7</v>
      </c>
    </row>
    <row r="1002" spans="1:7" x14ac:dyDescent="0.25">
      <c r="A1002" s="17">
        <f t="shared" si="75"/>
        <v>81</v>
      </c>
      <c r="B1002" t="str">
        <f ca="1">TEXT(DATE(YEAR(Invoer!$A$5),1,1)+INT((ROWS(B$2:B1002)-1)/3),"jjjjmmdd")</f>
        <v>19431130</v>
      </c>
      <c r="C1002" s="35" t="str">
        <f>INDEX(Data,2,2+MOD(ROWS(C$2:C1002)-1,3))</f>
        <v>13.45</v>
      </c>
      <c r="D1002" s="23" t="str">
        <f t="shared" ca="1" si="76"/>
        <v>—</v>
      </c>
      <c r="E1002" s="40">
        <f t="shared" ca="1" si="77"/>
        <v>7</v>
      </c>
      <c r="F1002" s="23" t="str">
        <f t="shared" ca="1" si="78"/>
        <v>—</v>
      </c>
      <c r="G1002" s="40">
        <f t="shared" ca="1" si="79"/>
        <v>7</v>
      </c>
    </row>
    <row r="1003" spans="1:7" x14ac:dyDescent="0.25">
      <c r="A1003" s="17">
        <f t="shared" si="75"/>
        <v>81</v>
      </c>
      <c r="B1003" t="str">
        <f ca="1">TEXT(DATE(YEAR(Invoer!$A$5),1,1)+INT((ROWS(B$2:B1003)-1)/3),"jjjjmmdd")</f>
        <v>19431130</v>
      </c>
      <c r="C1003" s="35" t="str">
        <f>INDEX(Data,2,2+MOD(ROWS(C$2:C1003)-1,3))</f>
        <v>19.45</v>
      </c>
      <c r="D1003" s="23" t="str">
        <f t="shared" ca="1" si="76"/>
        <v>—</v>
      </c>
      <c r="E1003" s="40">
        <f t="shared" ca="1" si="77"/>
        <v>7</v>
      </c>
      <c r="F1003" s="23" t="str">
        <f t="shared" ca="1" si="78"/>
        <v>—</v>
      </c>
      <c r="G1003" s="40">
        <f t="shared" ca="1" si="79"/>
        <v>7</v>
      </c>
    </row>
    <row r="1004" spans="1:7" x14ac:dyDescent="0.25">
      <c r="A1004" s="17">
        <f t="shared" si="75"/>
        <v>81</v>
      </c>
      <c r="B1004" t="str">
        <f ca="1">TEXT(DATE(YEAR(Invoer!$A$5),1,1)+INT((ROWS(B$2:B1004)-1)/3),"jjjjmmdd")</f>
        <v>19431201</v>
      </c>
      <c r="C1004" s="35" t="str">
        <f>INDEX(Data,2,2+MOD(ROWS(C$2:C1004)-1,3))</f>
        <v>07.45</v>
      </c>
      <c r="D1004" s="23" t="str">
        <f t="shared" ca="1" si="76"/>
        <v>—</v>
      </c>
      <c r="E1004" s="40">
        <f t="shared" ca="1" si="77"/>
        <v>7</v>
      </c>
      <c r="F1004" s="23" t="str">
        <f t="shared" ca="1" si="78"/>
        <v>—</v>
      </c>
      <c r="G1004" s="40">
        <f t="shared" ca="1" si="79"/>
        <v>7</v>
      </c>
    </row>
    <row r="1005" spans="1:7" x14ac:dyDescent="0.25">
      <c r="A1005" s="17">
        <f t="shared" si="75"/>
        <v>81</v>
      </c>
      <c r="B1005" t="str">
        <f ca="1">TEXT(DATE(YEAR(Invoer!$A$5),1,1)+INT((ROWS(B$2:B1005)-1)/3),"jjjjmmdd")</f>
        <v>19431201</v>
      </c>
      <c r="C1005" s="35" t="str">
        <f>INDEX(Data,2,2+MOD(ROWS(C$2:C1005)-1,3))</f>
        <v>13.45</v>
      </c>
      <c r="D1005" s="23" t="str">
        <f t="shared" ca="1" si="76"/>
        <v>—</v>
      </c>
      <c r="E1005" s="40">
        <f t="shared" ca="1" si="77"/>
        <v>7</v>
      </c>
      <c r="F1005" s="23" t="str">
        <f t="shared" ca="1" si="78"/>
        <v>—</v>
      </c>
      <c r="G1005" s="40">
        <f t="shared" ca="1" si="79"/>
        <v>7</v>
      </c>
    </row>
    <row r="1006" spans="1:7" x14ac:dyDescent="0.25">
      <c r="A1006" s="17">
        <f t="shared" si="75"/>
        <v>81</v>
      </c>
      <c r="B1006" t="str">
        <f ca="1">TEXT(DATE(YEAR(Invoer!$A$5),1,1)+INT((ROWS(B$2:B1006)-1)/3),"jjjjmmdd")</f>
        <v>19431201</v>
      </c>
      <c r="C1006" s="35" t="str">
        <f>INDEX(Data,2,2+MOD(ROWS(C$2:C1006)-1,3))</f>
        <v>19.45</v>
      </c>
      <c r="D1006" s="23" t="str">
        <f t="shared" ca="1" si="76"/>
        <v>—</v>
      </c>
      <c r="E1006" s="40">
        <f t="shared" ca="1" si="77"/>
        <v>7</v>
      </c>
      <c r="F1006" s="23" t="str">
        <f t="shared" ca="1" si="78"/>
        <v>—</v>
      </c>
      <c r="G1006" s="40">
        <f t="shared" ca="1" si="79"/>
        <v>7</v>
      </c>
    </row>
    <row r="1007" spans="1:7" x14ac:dyDescent="0.25">
      <c r="A1007" s="17">
        <f t="shared" si="75"/>
        <v>81</v>
      </c>
      <c r="B1007" t="str">
        <f ca="1">TEXT(DATE(YEAR(Invoer!$A$5),1,1)+INT((ROWS(B$2:B1007)-1)/3),"jjjjmmdd")</f>
        <v>19431202</v>
      </c>
      <c r="C1007" s="35" t="str">
        <f>INDEX(Data,2,2+MOD(ROWS(C$2:C1007)-1,3))</f>
        <v>07.45</v>
      </c>
      <c r="D1007" s="23" t="str">
        <f t="shared" ca="1" si="76"/>
        <v>—</v>
      </c>
      <c r="E1007" s="40">
        <f t="shared" ca="1" si="77"/>
        <v>7</v>
      </c>
      <c r="F1007" s="23" t="str">
        <f t="shared" ca="1" si="78"/>
        <v>—</v>
      </c>
      <c r="G1007" s="40">
        <f t="shared" ca="1" si="79"/>
        <v>7</v>
      </c>
    </row>
    <row r="1008" spans="1:7" x14ac:dyDescent="0.25">
      <c r="A1008" s="17">
        <f t="shared" si="75"/>
        <v>81</v>
      </c>
      <c r="B1008" t="str">
        <f ca="1">TEXT(DATE(YEAR(Invoer!$A$5),1,1)+INT((ROWS(B$2:B1008)-1)/3),"jjjjmmdd")</f>
        <v>19431202</v>
      </c>
      <c r="C1008" s="35" t="str">
        <f>INDEX(Data,2,2+MOD(ROWS(C$2:C1008)-1,3))</f>
        <v>13.45</v>
      </c>
      <c r="D1008" s="23" t="str">
        <f t="shared" ca="1" si="76"/>
        <v>—</v>
      </c>
      <c r="E1008" s="40">
        <f t="shared" ca="1" si="77"/>
        <v>7</v>
      </c>
      <c r="F1008" s="23" t="str">
        <f t="shared" ca="1" si="78"/>
        <v>—</v>
      </c>
      <c r="G1008" s="40">
        <f t="shared" ca="1" si="79"/>
        <v>7</v>
      </c>
    </row>
    <row r="1009" spans="1:7" x14ac:dyDescent="0.25">
      <c r="A1009" s="17">
        <f t="shared" si="75"/>
        <v>81</v>
      </c>
      <c r="B1009" t="str">
        <f ca="1">TEXT(DATE(YEAR(Invoer!$A$5),1,1)+INT((ROWS(B$2:B1009)-1)/3),"jjjjmmdd")</f>
        <v>19431202</v>
      </c>
      <c r="C1009" s="35" t="str">
        <f>INDEX(Data,2,2+MOD(ROWS(C$2:C1009)-1,3))</f>
        <v>19.45</v>
      </c>
      <c r="D1009" s="23" t="str">
        <f t="shared" ca="1" si="76"/>
        <v>—</v>
      </c>
      <c r="E1009" s="40">
        <f t="shared" ca="1" si="77"/>
        <v>7</v>
      </c>
      <c r="F1009" s="23" t="str">
        <f t="shared" ca="1" si="78"/>
        <v>—</v>
      </c>
      <c r="G1009" s="40">
        <f t="shared" ca="1" si="79"/>
        <v>7</v>
      </c>
    </row>
    <row r="1010" spans="1:7" x14ac:dyDescent="0.25">
      <c r="A1010" s="17">
        <f t="shared" si="75"/>
        <v>81</v>
      </c>
      <c r="B1010" t="str">
        <f ca="1">TEXT(DATE(YEAR(Invoer!$A$5),1,1)+INT((ROWS(B$2:B1010)-1)/3),"jjjjmmdd")</f>
        <v>19431203</v>
      </c>
      <c r="C1010" s="35" t="str">
        <f>INDEX(Data,2,2+MOD(ROWS(C$2:C1010)-1,3))</f>
        <v>07.45</v>
      </c>
      <c r="D1010" s="23" t="str">
        <f t="shared" ca="1" si="76"/>
        <v>—</v>
      </c>
      <c r="E1010" s="40">
        <f t="shared" ca="1" si="77"/>
        <v>7</v>
      </c>
      <c r="F1010" s="23" t="str">
        <f t="shared" ca="1" si="78"/>
        <v>—</v>
      </c>
      <c r="G1010" s="40">
        <f t="shared" ca="1" si="79"/>
        <v>7</v>
      </c>
    </row>
    <row r="1011" spans="1:7" x14ac:dyDescent="0.25">
      <c r="A1011" s="17">
        <f t="shared" si="75"/>
        <v>81</v>
      </c>
      <c r="B1011" t="str">
        <f ca="1">TEXT(DATE(YEAR(Invoer!$A$5),1,1)+INT((ROWS(B$2:B1011)-1)/3),"jjjjmmdd")</f>
        <v>19431203</v>
      </c>
      <c r="C1011" s="35" t="str">
        <f>INDEX(Data,2,2+MOD(ROWS(C$2:C1011)-1,3))</f>
        <v>13.45</v>
      </c>
      <c r="D1011" s="23" t="str">
        <f t="shared" ca="1" si="76"/>
        <v>—</v>
      </c>
      <c r="E1011" s="40">
        <f t="shared" ca="1" si="77"/>
        <v>7</v>
      </c>
      <c r="F1011" s="23" t="str">
        <f t="shared" ca="1" si="78"/>
        <v>—</v>
      </c>
      <c r="G1011" s="40">
        <f t="shared" ca="1" si="79"/>
        <v>7</v>
      </c>
    </row>
    <row r="1012" spans="1:7" x14ac:dyDescent="0.25">
      <c r="A1012" s="17">
        <f t="shared" si="75"/>
        <v>81</v>
      </c>
      <c r="B1012" t="str">
        <f ca="1">TEXT(DATE(YEAR(Invoer!$A$5),1,1)+INT((ROWS(B$2:B1012)-1)/3),"jjjjmmdd")</f>
        <v>19431203</v>
      </c>
      <c r="C1012" s="35" t="str">
        <f>INDEX(Data,2,2+MOD(ROWS(C$2:C1012)-1,3))</f>
        <v>19.45</v>
      </c>
      <c r="D1012" s="23" t="str">
        <f t="shared" ca="1" si="76"/>
        <v>—</v>
      </c>
      <c r="E1012" s="40">
        <f t="shared" ca="1" si="77"/>
        <v>7</v>
      </c>
      <c r="F1012" s="23" t="str">
        <f t="shared" ca="1" si="78"/>
        <v>—</v>
      </c>
      <c r="G1012" s="40">
        <f t="shared" ca="1" si="79"/>
        <v>7</v>
      </c>
    </row>
    <row r="1013" spans="1:7" x14ac:dyDescent="0.25">
      <c r="A1013" s="17">
        <f t="shared" si="75"/>
        <v>81</v>
      </c>
      <c r="B1013" t="str">
        <f ca="1">TEXT(DATE(YEAR(Invoer!$A$5),1,1)+INT((ROWS(B$2:B1013)-1)/3),"jjjjmmdd")</f>
        <v>19431204</v>
      </c>
      <c r="C1013" s="35" t="str">
        <f>INDEX(Data,2,2+MOD(ROWS(C$2:C1013)-1,3))</f>
        <v>07.45</v>
      </c>
      <c r="D1013" s="23" t="str">
        <f t="shared" ca="1" si="76"/>
        <v>—</v>
      </c>
      <c r="E1013" s="40">
        <f t="shared" ca="1" si="77"/>
        <v>7</v>
      </c>
      <c r="F1013" s="23" t="str">
        <f t="shared" ca="1" si="78"/>
        <v>—</v>
      </c>
      <c r="G1013" s="40">
        <f t="shared" ca="1" si="79"/>
        <v>7</v>
      </c>
    </row>
    <row r="1014" spans="1:7" x14ac:dyDescent="0.25">
      <c r="A1014" s="17">
        <f t="shared" si="75"/>
        <v>81</v>
      </c>
      <c r="B1014" t="str">
        <f ca="1">TEXT(DATE(YEAR(Invoer!$A$5),1,1)+INT((ROWS(B$2:B1014)-1)/3),"jjjjmmdd")</f>
        <v>19431204</v>
      </c>
      <c r="C1014" s="35" t="str">
        <f>INDEX(Data,2,2+MOD(ROWS(C$2:C1014)-1,3))</f>
        <v>13.45</v>
      </c>
      <c r="D1014" s="23" t="str">
        <f t="shared" ca="1" si="76"/>
        <v>—</v>
      </c>
      <c r="E1014" s="40">
        <f t="shared" ca="1" si="77"/>
        <v>7</v>
      </c>
      <c r="F1014" s="23" t="str">
        <f t="shared" ca="1" si="78"/>
        <v>—</v>
      </c>
      <c r="G1014" s="40">
        <f t="shared" ca="1" si="79"/>
        <v>7</v>
      </c>
    </row>
    <row r="1015" spans="1:7" x14ac:dyDescent="0.25">
      <c r="A1015" s="17">
        <f t="shared" si="75"/>
        <v>81</v>
      </c>
      <c r="B1015" t="str">
        <f ca="1">TEXT(DATE(YEAR(Invoer!$A$5),1,1)+INT((ROWS(B$2:B1015)-1)/3),"jjjjmmdd")</f>
        <v>19431204</v>
      </c>
      <c r="C1015" s="35" t="str">
        <f>INDEX(Data,2,2+MOD(ROWS(C$2:C1015)-1,3))</f>
        <v>19.45</v>
      </c>
      <c r="D1015" s="23" t="str">
        <f t="shared" ca="1" si="76"/>
        <v>—</v>
      </c>
      <c r="E1015" s="40">
        <f t="shared" ca="1" si="77"/>
        <v>7</v>
      </c>
      <c r="F1015" s="23" t="str">
        <f t="shared" ca="1" si="78"/>
        <v>—</v>
      </c>
      <c r="G1015" s="40">
        <f t="shared" ca="1" si="79"/>
        <v>7</v>
      </c>
    </row>
    <row r="1016" spans="1:7" x14ac:dyDescent="0.25">
      <c r="A1016" s="17">
        <f t="shared" si="75"/>
        <v>81</v>
      </c>
      <c r="B1016" t="str">
        <f ca="1">TEXT(DATE(YEAR(Invoer!$A$5),1,1)+INT((ROWS(B$2:B1016)-1)/3),"jjjjmmdd")</f>
        <v>19431205</v>
      </c>
      <c r="C1016" s="35" t="str">
        <f>INDEX(Data,2,2+MOD(ROWS(C$2:C1016)-1,3))</f>
        <v>07.45</v>
      </c>
      <c r="D1016" s="23" t="str">
        <f t="shared" ca="1" si="76"/>
        <v>—</v>
      </c>
      <c r="E1016" s="40">
        <f t="shared" ca="1" si="77"/>
        <v>7</v>
      </c>
      <c r="F1016" s="23" t="str">
        <f t="shared" ca="1" si="78"/>
        <v>—</v>
      </c>
      <c r="G1016" s="40">
        <f t="shared" ca="1" si="79"/>
        <v>7</v>
      </c>
    </row>
    <row r="1017" spans="1:7" x14ac:dyDescent="0.25">
      <c r="A1017" s="17">
        <f t="shared" si="75"/>
        <v>81</v>
      </c>
      <c r="B1017" t="str">
        <f ca="1">TEXT(DATE(YEAR(Invoer!$A$5),1,1)+INT((ROWS(B$2:B1017)-1)/3),"jjjjmmdd")</f>
        <v>19431205</v>
      </c>
      <c r="C1017" s="35" t="str">
        <f>INDEX(Data,2,2+MOD(ROWS(C$2:C1017)-1,3))</f>
        <v>13.45</v>
      </c>
      <c r="D1017" s="23" t="str">
        <f t="shared" ca="1" si="76"/>
        <v>—</v>
      </c>
      <c r="E1017" s="40">
        <f t="shared" ca="1" si="77"/>
        <v>7</v>
      </c>
      <c r="F1017" s="23" t="str">
        <f t="shared" ca="1" si="78"/>
        <v>—</v>
      </c>
      <c r="G1017" s="40">
        <f t="shared" ca="1" si="79"/>
        <v>7</v>
      </c>
    </row>
    <row r="1018" spans="1:7" x14ac:dyDescent="0.25">
      <c r="A1018" s="17">
        <f t="shared" si="75"/>
        <v>81</v>
      </c>
      <c r="B1018" t="str">
        <f ca="1">TEXT(DATE(YEAR(Invoer!$A$5),1,1)+INT((ROWS(B$2:B1018)-1)/3),"jjjjmmdd")</f>
        <v>19431205</v>
      </c>
      <c r="C1018" s="35" t="str">
        <f>INDEX(Data,2,2+MOD(ROWS(C$2:C1018)-1,3))</f>
        <v>19.45</v>
      </c>
      <c r="D1018" s="23" t="str">
        <f t="shared" ca="1" si="76"/>
        <v>—</v>
      </c>
      <c r="E1018" s="40">
        <f t="shared" ca="1" si="77"/>
        <v>7</v>
      </c>
      <c r="F1018" s="23" t="str">
        <f t="shared" ca="1" si="78"/>
        <v>—</v>
      </c>
      <c r="G1018" s="40">
        <f t="shared" ca="1" si="79"/>
        <v>7</v>
      </c>
    </row>
    <row r="1019" spans="1:7" x14ac:dyDescent="0.25">
      <c r="A1019" s="17">
        <f t="shared" si="75"/>
        <v>81</v>
      </c>
      <c r="B1019" t="str">
        <f ca="1">TEXT(DATE(YEAR(Invoer!$A$5),1,1)+INT((ROWS(B$2:B1019)-1)/3),"jjjjmmdd")</f>
        <v>19431206</v>
      </c>
      <c r="C1019" s="35" t="str">
        <f>INDEX(Data,2,2+MOD(ROWS(C$2:C1019)-1,3))</f>
        <v>07.45</v>
      </c>
      <c r="D1019" s="23" t="str">
        <f t="shared" ca="1" si="76"/>
        <v>—</v>
      </c>
      <c r="E1019" s="40">
        <f t="shared" ca="1" si="77"/>
        <v>7</v>
      </c>
      <c r="F1019" s="23" t="str">
        <f t="shared" ca="1" si="78"/>
        <v>—</v>
      </c>
      <c r="G1019" s="40">
        <f t="shared" ca="1" si="79"/>
        <v>7</v>
      </c>
    </row>
    <row r="1020" spans="1:7" x14ac:dyDescent="0.25">
      <c r="A1020" s="17">
        <f t="shared" si="75"/>
        <v>81</v>
      </c>
      <c r="B1020" t="str">
        <f ca="1">TEXT(DATE(YEAR(Invoer!$A$5),1,1)+INT((ROWS(B$2:B1020)-1)/3),"jjjjmmdd")</f>
        <v>19431206</v>
      </c>
      <c r="C1020" s="35" t="str">
        <f>INDEX(Data,2,2+MOD(ROWS(C$2:C1020)-1,3))</f>
        <v>13.45</v>
      </c>
      <c r="D1020" s="23" t="str">
        <f t="shared" ca="1" si="76"/>
        <v>—</v>
      </c>
      <c r="E1020" s="40">
        <f t="shared" ca="1" si="77"/>
        <v>7</v>
      </c>
      <c r="F1020" s="23" t="str">
        <f t="shared" ca="1" si="78"/>
        <v>—</v>
      </c>
      <c r="G1020" s="40">
        <f t="shared" ca="1" si="79"/>
        <v>7</v>
      </c>
    </row>
    <row r="1021" spans="1:7" x14ac:dyDescent="0.25">
      <c r="A1021" s="17">
        <f t="shared" si="75"/>
        <v>81</v>
      </c>
      <c r="B1021" t="str">
        <f ca="1">TEXT(DATE(YEAR(Invoer!$A$5),1,1)+INT((ROWS(B$2:B1021)-1)/3),"jjjjmmdd")</f>
        <v>19431206</v>
      </c>
      <c r="C1021" s="35" t="str">
        <f>INDEX(Data,2,2+MOD(ROWS(C$2:C1021)-1,3))</f>
        <v>19.45</v>
      </c>
      <c r="D1021" s="23" t="str">
        <f t="shared" ca="1" si="76"/>
        <v>—</v>
      </c>
      <c r="E1021" s="40">
        <f t="shared" ca="1" si="77"/>
        <v>7</v>
      </c>
      <c r="F1021" s="23" t="str">
        <f t="shared" ca="1" si="78"/>
        <v>—</v>
      </c>
      <c r="G1021" s="40">
        <f t="shared" ca="1" si="79"/>
        <v>7</v>
      </c>
    </row>
    <row r="1022" spans="1:7" x14ac:dyDescent="0.25">
      <c r="A1022" s="17">
        <f t="shared" si="75"/>
        <v>81</v>
      </c>
      <c r="B1022" t="str">
        <f ca="1">TEXT(DATE(YEAR(Invoer!$A$5),1,1)+INT((ROWS(B$2:B1022)-1)/3),"jjjjmmdd")</f>
        <v>19431207</v>
      </c>
      <c r="C1022" s="35" t="str">
        <f>INDEX(Data,2,2+MOD(ROWS(C$2:C1022)-1,3))</f>
        <v>07.45</v>
      </c>
      <c r="D1022" s="23" t="str">
        <f t="shared" ca="1" si="76"/>
        <v>—</v>
      </c>
      <c r="E1022" s="40">
        <f t="shared" ca="1" si="77"/>
        <v>7</v>
      </c>
      <c r="F1022" s="23" t="str">
        <f t="shared" ca="1" si="78"/>
        <v>—</v>
      </c>
      <c r="G1022" s="40">
        <f t="shared" ca="1" si="79"/>
        <v>7</v>
      </c>
    </row>
    <row r="1023" spans="1:7" x14ac:dyDescent="0.25">
      <c r="A1023" s="17">
        <f t="shared" si="75"/>
        <v>81</v>
      </c>
      <c r="B1023" t="str">
        <f ca="1">TEXT(DATE(YEAR(Invoer!$A$5),1,1)+INT((ROWS(B$2:B1023)-1)/3),"jjjjmmdd")</f>
        <v>19431207</v>
      </c>
      <c r="C1023" s="35" t="str">
        <f>INDEX(Data,2,2+MOD(ROWS(C$2:C1023)-1,3))</f>
        <v>13.45</v>
      </c>
      <c r="D1023" s="23" t="str">
        <f t="shared" ca="1" si="76"/>
        <v>—</v>
      </c>
      <c r="E1023" s="40">
        <f t="shared" ca="1" si="77"/>
        <v>7</v>
      </c>
      <c r="F1023" s="23" t="str">
        <f t="shared" ca="1" si="78"/>
        <v>—</v>
      </c>
      <c r="G1023" s="40">
        <f t="shared" ca="1" si="79"/>
        <v>7</v>
      </c>
    </row>
    <row r="1024" spans="1:7" x14ac:dyDescent="0.25">
      <c r="A1024" s="17">
        <f t="shared" si="75"/>
        <v>81</v>
      </c>
      <c r="B1024" t="str">
        <f ca="1">TEXT(DATE(YEAR(Invoer!$A$5),1,1)+INT((ROWS(B$2:B1024)-1)/3),"jjjjmmdd")</f>
        <v>19431207</v>
      </c>
      <c r="C1024" s="35" t="str">
        <f>INDEX(Data,2,2+MOD(ROWS(C$2:C1024)-1,3))</f>
        <v>19.45</v>
      </c>
      <c r="D1024" s="23" t="str">
        <f t="shared" ca="1" si="76"/>
        <v>—</v>
      </c>
      <c r="E1024" s="40">
        <f t="shared" ca="1" si="77"/>
        <v>7</v>
      </c>
      <c r="F1024" s="23" t="str">
        <f t="shared" ca="1" si="78"/>
        <v>—</v>
      </c>
      <c r="G1024" s="40">
        <f t="shared" ca="1" si="79"/>
        <v>7</v>
      </c>
    </row>
    <row r="1025" spans="1:7" x14ac:dyDescent="0.25">
      <c r="A1025" s="17">
        <f t="shared" si="75"/>
        <v>81</v>
      </c>
      <c r="B1025" t="str">
        <f ca="1">TEXT(DATE(YEAR(Invoer!$A$5),1,1)+INT((ROWS(B$2:B1025)-1)/3),"jjjjmmdd")</f>
        <v>19431208</v>
      </c>
      <c r="C1025" s="35" t="str">
        <f>INDEX(Data,2,2+MOD(ROWS(C$2:C1025)-1,3))</f>
        <v>07.45</v>
      </c>
      <c r="D1025" s="23" t="str">
        <f t="shared" ca="1" si="76"/>
        <v>—</v>
      </c>
      <c r="E1025" s="40">
        <f t="shared" ca="1" si="77"/>
        <v>7</v>
      </c>
      <c r="F1025" s="23" t="str">
        <f t="shared" ca="1" si="78"/>
        <v>—</v>
      </c>
      <c r="G1025" s="40">
        <f t="shared" ca="1" si="79"/>
        <v>7</v>
      </c>
    </row>
    <row r="1026" spans="1:7" x14ac:dyDescent="0.25">
      <c r="A1026" s="17">
        <f t="shared" ref="A1026:A1089" si="80">INDEX(Stations,2,1)</f>
        <v>81</v>
      </c>
      <c r="B1026" t="str">
        <f ca="1">TEXT(DATE(YEAR(Invoer!$A$5),1,1)+INT((ROWS(B$2:B1026)-1)/3),"jjjjmmdd")</f>
        <v>19431208</v>
      </c>
      <c r="C1026" s="35" t="str">
        <f>INDEX(Data,2,2+MOD(ROWS(C$2:C1026)-1,3))</f>
        <v>13.45</v>
      </c>
      <c r="D1026" s="23" t="str">
        <f t="shared" ref="D1026:D1089" ca="1" si="81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—</v>
      </c>
      <c r="E1026" s="40">
        <f t="shared" ref="E1026:E1089" ca="1" si="82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7</v>
      </c>
      <c r="F1026" s="23" t="str">
        <f t="shared" ref="F1026:F1089" ca="1" si="83">IF(OR(ISBLANK(VLOOKUP(DATEVALUE(LEFT($B1026,4)&amp;"-"&amp;MID($B1026,5,2)&amp;"-"&amp;RIGHT($B1026,2)),Data,MATCH(LEFT(VLOOKUP(F$1,Parameters,2,FALSE()),4)&amp;"*",OFFSET(Data,0,0,1),0)+MATCH($C1026,OFFSET(Data,1,0,1),0)-2,FALSE())),ISTEXT(VLOOKUP(DATEVALUE(LEFT($B1026,4)&amp;"-"&amp;MID($B1026,5,2)&amp;"-"&amp;RIGHT($B1026,2)),Data,MATCH(LEFT(VLOOKUP(F$1,Parameters,2,FALSE()),4)&amp;"*",OFFSET(Data,0,0,1),0)+MATCH($C1026,OFFSET(Data,1,0,1),0)-2,FALSE()))),"—",VLOOKUP(DATEVALUE(LEFT($B1026,4)&amp;"-"&amp;MID($B1026,5,2)&amp;"-"&amp;RIGHT($B1026,2)),Data,MATCH(LEFT(VLOOKUP(F$1,Parameters,2,FALSE()),4)&amp;"*",OFFSET(Data,0,0,1),0)+MATCH($C1026,OFFSET(Data,1,0,1),0)-2,FALSE()))</f>
        <v>—</v>
      </c>
      <c r="G1026" s="40">
        <f t="shared" ref="G1026:G1089" ca="1" si="84">IF(OR(ISBLANK(VLOOKUP(DATEVALUE(LEFT($B1026,4)&amp;"-"&amp;MID($B1026,5,2)&amp;"-"&amp;RIGHT($B1026,2)),Data,MATCH(LEFT(VLOOKUP(MID(G$1,2,LEN(G$1)-1),Parameters,2,FALSE()),4)&amp;"*",OFFSET(Data,0,0,1),0)+MATCH($C1026,OFFSET(Data,1,0,1),0)-2,FALSE())),ISTEXT(VLOOKUP(DATEVALUE(LEFT($B1026,4)&amp;"-"&amp;MID($B1026,5,2)&amp;"-"&amp;RIGHT($B1026,2)),Data,MATCH(LEFT(VLOOKUP(MID(G$1,2,LEN(G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G$1,2,LEN(G$1)-1),Parameters,2,FALSE()),4)&amp;"*",OFFSET(Catalogus,0,0,1),0)+MATCH($C1026,OFFSET(Catalogus,1,0,1),0)-2,FALSE())))</f>
        <v>7</v>
      </c>
    </row>
    <row r="1027" spans="1:7" x14ac:dyDescent="0.25">
      <c r="A1027" s="17">
        <f t="shared" si="80"/>
        <v>81</v>
      </c>
      <c r="B1027" t="str">
        <f ca="1">TEXT(DATE(YEAR(Invoer!$A$5),1,1)+INT((ROWS(B$2:B1027)-1)/3),"jjjjmmdd")</f>
        <v>19431208</v>
      </c>
      <c r="C1027" s="35" t="str">
        <f>INDEX(Data,2,2+MOD(ROWS(C$2:C1027)-1,3))</f>
        <v>19.45</v>
      </c>
      <c r="D1027" s="23" t="str">
        <f t="shared" ca="1" si="81"/>
        <v>—</v>
      </c>
      <c r="E1027" s="40">
        <f t="shared" ca="1" si="82"/>
        <v>7</v>
      </c>
      <c r="F1027" s="23" t="str">
        <f t="shared" ca="1" si="83"/>
        <v>—</v>
      </c>
      <c r="G1027" s="40">
        <f t="shared" ca="1" si="84"/>
        <v>7</v>
      </c>
    </row>
    <row r="1028" spans="1:7" x14ac:dyDescent="0.25">
      <c r="A1028" s="17">
        <f t="shared" si="80"/>
        <v>81</v>
      </c>
      <c r="B1028" t="str">
        <f ca="1">TEXT(DATE(YEAR(Invoer!$A$5),1,1)+INT((ROWS(B$2:B1028)-1)/3),"jjjjmmdd")</f>
        <v>19431209</v>
      </c>
      <c r="C1028" s="35" t="str">
        <f>INDEX(Data,2,2+MOD(ROWS(C$2:C1028)-1,3))</f>
        <v>07.45</v>
      </c>
      <c r="D1028" s="23" t="str">
        <f t="shared" ca="1" si="81"/>
        <v>—</v>
      </c>
      <c r="E1028" s="40">
        <f t="shared" ca="1" si="82"/>
        <v>7</v>
      </c>
      <c r="F1028" s="23" t="str">
        <f t="shared" ca="1" si="83"/>
        <v>—</v>
      </c>
      <c r="G1028" s="40">
        <f t="shared" ca="1" si="84"/>
        <v>7</v>
      </c>
    </row>
    <row r="1029" spans="1:7" x14ac:dyDescent="0.25">
      <c r="A1029" s="17">
        <f t="shared" si="80"/>
        <v>81</v>
      </c>
      <c r="B1029" t="str">
        <f ca="1">TEXT(DATE(YEAR(Invoer!$A$5),1,1)+INT((ROWS(B$2:B1029)-1)/3),"jjjjmmdd")</f>
        <v>19431209</v>
      </c>
      <c r="C1029" s="35" t="str">
        <f>INDEX(Data,2,2+MOD(ROWS(C$2:C1029)-1,3))</f>
        <v>13.45</v>
      </c>
      <c r="D1029" s="23" t="str">
        <f t="shared" ca="1" si="81"/>
        <v>—</v>
      </c>
      <c r="E1029" s="40">
        <f t="shared" ca="1" si="82"/>
        <v>7</v>
      </c>
      <c r="F1029" s="23" t="str">
        <f t="shared" ca="1" si="83"/>
        <v>—</v>
      </c>
      <c r="G1029" s="40">
        <f t="shared" ca="1" si="84"/>
        <v>7</v>
      </c>
    </row>
    <row r="1030" spans="1:7" x14ac:dyDescent="0.25">
      <c r="A1030" s="17">
        <f t="shared" si="80"/>
        <v>81</v>
      </c>
      <c r="B1030" t="str">
        <f ca="1">TEXT(DATE(YEAR(Invoer!$A$5),1,1)+INT((ROWS(B$2:B1030)-1)/3),"jjjjmmdd")</f>
        <v>19431209</v>
      </c>
      <c r="C1030" s="35" t="str">
        <f>INDEX(Data,2,2+MOD(ROWS(C$2:C1030)-1,3))</f>
        <v>19.45</v>
      </c>
      <c r="D1030" s="23" t="str">
        <f t="shared" ca="1" si="81"/>
        <v>—</v>
      </c>
      <c r="E1030" s="40">
        <f t="shared" ca="1" si="82"/>
        <v>7</v>
      </c>
      <c r="F1030" s="23" t="str">
        <f t="shared" ca="1" si="83"/>
        <v>—</v>
      </c>
      <c r="G1030" s="40">
        <f t="shared" ca="1" si="84"/>
        <v>7</v>
      </c>
    </row>
    <row r="1031" spans="1:7" x14ac:dyDescent="0.25">
      <c r="A1031" s="17">
        <f t="shared" si="80"/>
        <v>81</v>
      </c>
      <c r="B1031" t="str">
        <f ca="1">TEXT(DATE(YEAR(Invoer!$A$5),1,1)+INT((ROWS(B$2:B1031)-1)/3),"jjjjmmdd")</f>
        <v>19431210</v>
      </c>
      <c r="C1031" s="35" t="str">
        <f>INDEX(Data,2,2+MOD(ROWS(C$2:C1031)-1,3))</f>
        <v>07.45</v>
      </c>
      <c r="D1031" s="23" t="str">
        <f t="shared" ca="1" si="81"/>
        <v>—</v>
      </c>
      <c r="E1031" s="40">
        <f t="shared" ca="1" si="82"/>
        <v>7</v>
      </c>
      <c r="F1031" s="23" t="str">
        <f t="shared" ca="1" si="83"/>
        <v>—</v>
      </c>
      <c r="G1031" s="40">
        <f t="shared" ca="1" si="84"/>
        <v>7</v>
      </c>
    </row>
    <row r="1032" spans="1:7" x14ac:dyDescent="0.25">
      <c r="A1032" s="17">
        <f t="shared" si="80"/>
        <v>81</v>
      </c>
      <c r="B1032" t="str">
        <f ca="1">TEXT(DATE(YEAR(Invoer!$A$5),1,1)+INT((ROWS(B$2:B1032)-1)/3),"jjjjmmdd")</f>
        <v>19431210</v>
      </c>
      <c r="C1032" s="35" t="str">
        <f>INDEX(Data,2,2+MOD(ROWS(C$2:C1032)-1,3))</f>
        <v>13.45</v>
      </c>
      <c r="D1032" s="23" t="str">
        <f t="shared" ca="1" si="81"/>
        <v>—</v>
      </c>
      <c r="E1032" s="40">
        <f t="shared" ca="1" si="82"/>
        <v>7</v>
      </c>
      <c r="F1032" s="23" t="str">
        <f t="shared" ca="1" si="83"/>
        <v>—</v>
      </c>
      <c r="G1032" s="40">
        <f t="shared" ca="1" si="84"/>
        <v>7</v>
      </c>
    </row>
    <row r="1033" spans="1:7" x14ac:dyDescent="0.25">
      <c r="A1033" s="17">
        <f t="shared" si="80"/>
        <v>81</v>
      </c>
      <c r="B1033" t="str">
        <f ca="1">TEXT(DATE(YEAR(Invoer!$A$5),1,1)+INT((ROWS(B$2:B1033)-1)/3),"jjjjmmdd")</f>
        <v>19431210</v>
      </c>
      <c r="C1033" s="35" t="str">
        <f>INDEX(Data,2,2+MOD(ROWS(C$2:C1033)-1,3))</f>
        <v>19.45</v>
      </c>
      <c r="D1033" s="23" t="str">
        <f t="shared" ca="1" si="81"/>
        <v>—</v>
      </c>
      <c r="E1033" s="40">
        <f t="shared" ca="1" si="82"/>
        <v>7</v>
      </c>
      <c r="F1033" s="23" t="str">
        <f t="shared" ca="1" si="83"/>
        <v>—</v>
      </c>
      <c r="G1033" s="40">
        <f t="shared" ca="1" si="84"/>
        <v>7</v>
      </c>
    </row>
    <row r="1034" spans="1:7" x14ac:dyDescent="0.25">
      <c r="A1034" s="17">
        <f t="shared" si="80"/>
        <v>81</v>
      </c>
      <c r="B1034" t="str">
        <f ca="1">TEXT(DATE(YEAR(Invoer!$A$5),1,1)+INT((ROWS(B$2:B1034)-1)/3),"jjjjmmdd")</f>
        <v>19431211</v>
      </c>
      <c r="C1034" s="35" t="str">
        <f>INDEX(Data,2,2+MOD(ROWS(C$2:C1034)-1,3))</f>
        <v>07.45</v>
      </c>
      <c r="D1034" s="23" t="str">
        <f t="shared" ca="1" si="81"/>
        <v>—</v>
      </c>
      <c r="E1034" s="40">
        <f t="shared" ca="1" si="82"/>
        <v>7</v>
      </c>
      <c r="F1034" s="23" t="str">
        <f t="shared" ca="1" si="83"/>
        <v>—</v>
      </c>
      <c r="G1034" s="40">
        <f t="shared" ca="1" si="84"/>
        <v>7</v>
      </c>
    </row>
    <row r="1035" spans="1:7" x14ac:dyDescent="0.25">
      <c r="A1035" s="17">
        <f t="shared" si="80"/>
        <v>81</v>
      </c>
      <c r="B1035" t="str">
        <f ca="1">TEXT(DATE(YEAR(Invoer!$A$5),1,1)+INT((ROWS(B$2:B1035)-1)/3),"jjjjmmdd")</f>
        <v>19431211</v>
      </c>
      <c r="C1035" s="35" t="str">
        <f>INDEX(Data,2,2+MOD(ROWS(C$2:C1035)-1,3))</f>
        <v>13.45</v>
      </c>
      <c r="D1035" s="23" t="str">
        <f t="shared" ca="1" si="81"/>
        <v>—</v>
      </c>
      <c r="E1035" s="40">
        <f t="shared" ca="1" si="82"/>
        <v>7</v>
      </c>
      <c r="F1035" s="23" t="str">
        <f t="shared" ca="1" si="83"/>
        <v>—</v>
      </c>
      <c r="G1035" s="40">
        <f t="shared" ca="1" si="84"/>
        <v>7</v>
      </c>
    </row>
    <row r="1036" spans="1:7" x14ac:dyDescent="0.25">
      <c r="A1036" s="17">
        <f t="shared" si="80"/>
        <v>81</v>
      </c>
      <c r="B1036" t="str">
        <f ca="1">TEXT(DATE(YEAR(Invoer!$A$5),1,1)+INT((ROWS(B$2:B1036)-1)/3),"jjjjmmdd")</f>
        <v>19431211</v>
      </c>
      <c r="C1036" s="35" t="str">
        <f>INDEX(Data,2,2+MOD(ROWS(C$2:C1036)-1,3))</f>
        <v>19.45</v>
      </c>
      <c r="D1036" s="23" t="str">
        <f t="shared" ca="1" si="81"/>
        <v>—</v>
      </c>
      <c r="E1036" s="40">
        <f t="shared" ca="1" si="82"/>
        <v>7</v>
      </c>
      <c r="F1036" s="23" t="str">
        <f t="shared" ca="1" si="83"/>
        <v>—</v>
      </c>
      <c r="G1036" s="40">
        <f t="shared" ca="1" si="84"/>
        <v>7</v>
      </c>
    </row>
    <row r="1037" spans="1:7" x14ac:dyDescent="0.25">
      <c r="A1037" s="17">
        <f t="shared" si="80"/>
        <v>81</v>
      </c>
      <c r="B1037" t="str">
        <f ca="1">TEXT(DATE(YEAR(Invoer!$A$5),1,1)+INT((ROWS(B$2:B1037)-1)/3),"jjjjmmdd")</f>
        <v>19431212</v>
      </c>
      <c r="C1037" s="35" t="str">
        <f>INDEX(Data,2,2+MOD(ROWS(C$2:C1037)-1,3))</f>
        <v>07.45</v>
      </c>
      <c r="D1037" s="23" t="str">
        <f t="shared" ca="1" si="81"/>
        <v>—</v>
      </c>
      <c r="E1037" s="40">
        <f t="shared" ca="1" si="82"/>
        <v>7</v>
      </c>
      <c r="F1037" s="23" t="str">
        <f t="shared" ca="1" si="83"/>
        <v>—</v>
      </c>
      <c r="G1037" s="40">
        <f t="shared" ca="1" si="84"/>
        <v>7</v>
      </c>
    </row>
    <row r="1038" spans="1:7" x14ac:dyDescent="0.25">
      <c r="A1038" s="17">
        <f t="shared" si="80"/>
        <v>81</v>
      </c>
      <c r="B1038" t="str">
        <f ca="1">TEXT(DATE(YEAR(Invoer!$A$5),1,1)+INT((ROWS(B$2:B1038)-1)/3),"jjjjmmdd")</f>
        <v>19431212</v>
      </c>
      <c r="C1038" s="35" t="str">
        <f>INDEX(Data,2,2+MOD(ROWS(C$2:C1038)-1,3))</f>
        <v>13.45</v>
      </c>
      <c r="D1038" s="23" t="str">
        <f t="shared" ca="1" si="81"/>
        <v>—</v>
      </c>
      <c r="E1038" s="40">
        <f t="shared" ca="1" si="82"/>
        <v>7</v>
      </c>
      <c r="F1038" s="23" t="str">
        <f t="shared" ca="1" si="83"/>
        <v>—</v>
      </c>
      <c r="G1038" s="40">
        <f t="shared" ca="1" si="84"/>
        <v>7</v>
      </c>
    </row>
    <row r="1039" spans="1:7" x14ac:dyDescent="0.25">
      <c r="A1039" s="17">
        <f t="shared" si="80"/>
        <v>81</v>
      </c>
      <c r="B1039" t="str">
        <f ca="1">TEXT(DATE(YEAR(Invoer!$A$5),1,1)+INT((ROWS(B$2:B1039)-1)/3),"jjjjmmdd")</f>
        <v>19431212</v>
      </c>
      <c r="C1039" s="35" t="str">
        <f>INDEX(Data,2,2+MOD(ROWS(C$2:C1039)-1,3))</f>
        <v>19.45</v>
      </c>
      <c r="D1039" s="23" t="str">
        <f t="shared" ca="1" si="81"/>
        <v>—</v>
      </c>
      <c r="E1039" s="40">
        <f t="shared" ca="1" si="82"/>
        <v>7</v>
      </c>
      <c r="F1039" s="23" t="str">
        <f t="shared" ca="1" si="83"/>
        <v>—</v>
      </c>
      <c r="G1039" s="40">
        <f t="shared" ca="1" si="84"/>
        <v>7</v>
      </c>
    </row>
    <row r="1040" spans="1:7" x14ac:dyDescent="0.25">
      <c r="A1040" s="17">
        <f t="shared" si="80"/>
        <v>81</v>
      </c>
      <c r="B1040" t="str">
        <f ca="1">TEXT(DATE(YEAR(Invoer!$A$5),1,1)+INT((ROWS(B$2:B1040)-1)/3),"jjjjmmdd")</f>
        <v>19431213</v>
      </c>
      <c r="C1040" s="35" t="str">
        <f>INDEX(Data,2,2+MOD(ROWS(C$2:C1040)-1,3))</f>
        <v>07.45</v>
      </c>
      <c r="D1040" s="23" t="str">
        <f t="shared" ca="1" si="81"/>
        <v>—</v>
      </c>
      <c r="E1040" s="40">
        <f t="shared" ca="1" si="82"/>
        <v>7</v>
      </c>
      <c r="F1040" s="23" t="str">
        <f t="shared" ca="1" si="83"/>
        <v>—</v>
      </c>
      <c r="G1040" s="40">
        <f t="shared" ca="1" si="84"/>
        <v>7</v>
      </c>
    </row>
    <row r="1041" spans="1:7" x14ac:dyDescent="0.25">
      <c r="A1041" s="17">
        <f t="shared" si="80"/>
        <v>81</v>
      </c>
      <c r="B1041" t="str">
        <f ca="1">TEXT(DATE(YEAR(Invoer!$A$5),1,1)+INT((ROWS(B$2:B1041)-1)/3),"jjjjmmdd")</f>
        <v>19431213</v>
      </c>
      <c r="C1041" s="35" t="str">
        <f>INDEX(Data,2,2+MOD(ROWS(C$2:C1041)-1,3))</f>
        <v>13.45</v>
      </c>
      <c r="D1041" s="23" t="str">
        <f t="shared" ca="1" si="81"/>
        <v>—</v>
      </c>
      <c r="E1041" s="40">
        <f t="shared" ca="1" si="82"/>
        <v>7</v>
      </c>
      <c r="F1041" s="23" t="str">
        <f t="shared" ca="1" si="83"/>
        <v>—</v>
      </c>
      <c r="G1041" s="40">
        <f t="shared" ca="1" si="84"/>
        <v>7</v>
      </c>
    </row>
    <row r="1042" spans="1:7" x14ac:dyDescent="0.25">
      <c r="A1042" s="17">
        <f t="shared" si="80"/>
        <v>81</v>
      </c>
      <c r="B1042" t="str">
        <f ca="1">TEXT(DATE(YEAR(Invoer!$A$5),1,1)+INT((ROWS(B$2:B1042)-1)/3),"jjjjmmdd")</f>
        <v>19431213</v>
      </c>
      <c r="C1042" s="35" t="str">
        <f>INDEX(Data,2,2+MOD(ROWS(C$2:C1042)-1,3))</f>
        <v>19.45</v>
      </c>
      <c r="D1042" s="23" t="str">
        <f t="shared" ca="1" si="81"/>
        <v>—</v>
      </c>
      <c r="E1042" s="40">
        <f t="shared" ca="1" si="82"/>
        <v>7</v>
      </c>
      <c r="F1042" s="23" t="str">
        <f t="shared" ca="1" si="83"/>
        <v>—</v>
      </c>
      <c r="G1042" s="40">
        <f t="shared" ca="1" si="84"/>
        <v>7</v>
      </c>
    </row>
    <row r="1043" spans="1:7" x14ac:dyDescent="0.25">
      <c r="A1043" s="17">
        <f t="shared" si="80"/>
        <v>81</v>
      </c>
      <c r="B1043" t="str">
        <f ca="1">TEXT(DATE(YEAR(Invoer!$A$5),1,1)+INT((ROWS(B$2:B1043)-1)/3),"jjjjmmdd")</f>
        <v>19431214</v>
      </c>
      <c r="C1043" s="35" t="str">
        <f>INDEX(Data,2,2+MOD(ROWS(C$2:C1043)-1,3))</f>
        <v>07.45</v>
      </c>
      <c r="D1043" s="23" t="str">
        <f t="shared" ca="1" si="81"/>
        <v>—</v>
      </c>
      <c r="E1043" s="40">
        <f t="shared" ca="1" si="82"/>
        <v>7</v>
      </c>
      <c r="F1043" s="23" t="str">
        <f t="shared" ca="1" si="83"/>
        <v>—</v>
      </c>
      <c r="G1043" s="40">
        <f t="shared" ca="1" si="84"/>
        <v>7</v>
      </c>
    </row>
    <row r="1044" spans="1:7" x14ac:dyDescent="0.25">
      <c r="A1044" s="17">
        <f t="shared" si="80"/>
        <v>81</v>
      </c>
      <c r="B1044" t="str">
        <f ca="1">TEXT(DATE(YEAR(Invoer!$A$5),1,1)+INT((ROWS(B$2:B1044)-1)/3),"jjjjmmdd")</f>
        <v>19431214</v>
      </c>
      <c r="C1044" s="35" t="str">
        <f>INDEX(Data,2,2+MOD(ROWS(C$2:C1044)-1,3))</f>
        <v>13.45</v>
      </c>
      <c r="D1044" s="23" t="str">
        <f t="shared" ca="1" si="81"/>
        <v>—</v>
      </c>
      <c r="E1044" s="40">
        <f t="shared" ca="1" si="82"/>
        <v>7</v>
      </c>
      <c r="F1044" s="23" t="str">
        <f t="shared" ca="1" si="83"/>
        <v>—</v>
      </c>
      <c r="G1044" s="40">
        <f t="shared" ca="1" si="84"/>
        <v>7</v>
      </c>
    </row>
    <row r="1045" spans="1:7" x14ac:dyDescent="0.25">
      <c r="A1045" s="17">
        <f t="shared" si="80"/>
        <v>81</v>
      </c>
      <c r="B1045" t="str">
        <f ca="1">TEXT(DATE(YEAR(Invoer!$A$5),1,1)+INT((ROWS(B$2:B1045)-1)/3),"jjjjmmdd")</f>
        <v>19431214</v>
      </c>
      <c r="C1045" s="35" t="str">
        <f>INDEX(Data,2,2+MOD(ROWS(C$2:C1045)-1,3))</f>
        <v>19.45</v>
      </c>
      <c r="D1045" s="23" t="str">
        <f t="shared" ca="1" si="81"/>
        <v>—</v>
      </c>
      <c r="E1045" s="40">
        <f t="shared" ca="1" si="82"/>
        <v>7</v>
      </c>
      <c r="F1045" s="23" t="str">
        <f t="shared" ca="1" si="83"/>
        <v>—</v>
      </c>
      <c r="G1045" s="40">
        <f t="shared" ca="1" si="84"/>
        <v>7</v>
      </c>
    </row>
    <row r="1046" spans="1:7" x14ac:dyDescent="0.25">
      <c r="A1046" s="17">
        <f t="shared" si="80"/>
        <v>81</v>
      </c>
      <c r="B1046" t="str">
        <f ca="1">TEXT(DATE(YEAR(Invoer!$A$5),1,1)+INT((ROWS(B$2:B1046)-1)/3),"jjjjmmdd")</f>
        <v>19431215</v>
      </c>
      <c r="C1046" s="35" t="str">
        <f>INDEX(Data,2,2+MOD(ROWS(C$2:C1046)-1,3))</f>
        <v>07.45</v>
      </c>
      <c r="D1046" s="23" t="str">
        <f t="shared" ca="1" si="81"/>
        <v>—</v>
      </c>
      <c r="E1046" s="40">
        <f t="shared" ca="1" si="82"/>
        <v>7</v>
      </c>
      <c r="F1046" s="23" t="str">
        <f t="shared" ca="1" si="83"/>
        <v>—</v>
      </c>
      <c r="G1046" s="40">
        <f t="shared" ca="1" si="84"/>
        <v>7</v>
      </c>
    </row>
    <row r="1047" spans="1:7" x14ac:dyDescent="0.25">
      <c r="A1047" s="17">
        <f t="shared" si="80"/>
        <v>81</v>
      </c>
      <c r="B1047" t="str">
        <f ca="1">TEXT(DATE(YEAR(Invoer!$A$5),1,1)+INT((ROWS(B$2:B1047)-1)/3),"jjjjmmdd")</f>
        <v>19431215</v>
      </c>
      <c r="C1047" s="35" t="str">
        <f>INDEX(Data,2,2+MOD(ROWS(C$2:C1047)-1,3))</f>
        <v>13.45</v>
      </c>
      <c r="D1047" s="23" t="str">
        <f t="shared" ca="1" si="81"/>
        <v>—</v>
      </c>
      <c r="E1047" s="40">
        <f t="shared" ca="1" si="82"/>
        <v>7</v>
      </c>
      <c r="F1047" s="23" t="str">
        <f t="shared" ca="1" si="83"/>
        <v>—</v>
      </c>
      <c r="G1047" s="40">
        <f t="shared" ca="1" si="84"/>
        <v>7</v>
      </c>
    </row>
    <row r="1048" spans="1:7" x14ac:dyDescent="0.25">
      <c r="A1048" s="17">
        <f t="shared" si="80"/>
        <v>81</v>
      </c>
      <c r="B1048" t="str">
        <f ca="1">TEXT(DATE(YEAR(Invoer!$A$5),1,1)+INT((ROWS(B$2:B1048)-1)/3),"jjjjmmdd")</f>
        <v>19431215</v>
      </c>
      <c r="C1048" s="35" t="str">
        <f>INDEX(Data,2,2+MOD(ROWS(C$2:C1048)-1,3))</f>
        <v>19.45</v>
      </c>
      <c r="D1048" s="23" t="str">
        <f t="shared" ca="1" si="81"/>
        <v>—</v>
      </c>
      <c r="E1048" s="40">
        <f t="shared" ca="1" si="82"/>
        <v>7</v>
      </c>
      <c r="F1048" s="23" t="str">
        <f t="shared" ca="1" si="83"/>
        <v>—</v>
      </c>
      <c r="G1048" s="40">
        <f t="shared" ca="1" si="84"/>
        <v>7</v>
      </c>
    </row>
    <row r="1049" spans="1:7" x14ac:dyDescent="0.25">
      <c r="A1049" s="17">
        <f t="shared" si="80"/>
        <v>81</v>
      </c>
      <c r="B1049" t="str">
        <f ca="1">TEXT(DATE(YEAR(Invoer!$A$5),1,1)+INT((ROWS(B$2:B1049)-1)/3),"jjjjmmdd")</f>
        <v>19431216</v>
      </c>
      <c r="C1049" s="35" t="str">
        <f>INDEX(Data,2,2+MOD(ROWS(C$2:C1049)-1,3))</f>
        <v>07.45</v>
      </c>
      <c r="D1049" s="23" t="str">
        <f t="shared" ca="1" si="81"/>
        <v>—</v>
      </c>
      <c r="E1049" s="40">
        <f t="shared" ca="1" si="82"/>
        <v>7</v>
      </c>
      <c r="F1049" s="23" t="str">
        <f t="shared" ca="1" si="83"/>
        <v>—</v>
      </c>
      <c r="G1049" s="40">
        <f t="shared" ca="1" si="84"/>
        <v>7</v>
      </c>
    </row>
    <row r="1050" spans="1:7" x14ac:dyDescent="0.25">
      <c r="A1050" s="17">
        <f t="shared" si="80"/>
        <v>81</v>
      </c>
      <c r="B1050" t="str">
        <f ca="1">TEXT(DATE(YEAR(Invoer!$A$5),1,1)+INT((ROWS(B$2:B1050)-1)/3),"jjjjmmdd")</f>
        <v>19431216</v>
      </c>
      <c r="C1050" s="35" t="str">
        <f>INDEX(Data,2,2+MOD(ROWS(C$2:C1050)-1,3))</f>
        <v>13.45</v>
      </c>
      <c r="D1050" s="23" t="str">
        <f t="shared" ca="1" si="81"/>
        <v>—</v>
      </c>
      <c r="E1050" s="40">
        <f t="shared" ca="1" si="82"/>
        <v>7</v>
      </c>
      <c r="F1050" s="23" t="str">
        <f t="shared" ca="1" si="83"/>
        <v>—</v>
      </c>
      <c r="G1050" s="40">
        <f t="shared" ca="1" si="84"/>
        <v>7</v>
      </c>
    </row>
    <row r="1051" spans="1:7" x14ac:dyDescent="0.25">
      <c r="A1051" s="17">
        <f t="shared" si="80"/>
        <v>81</v>
      </c>
      <c r="B1051" t="str">
        <f ca="1">TEXT(DATE(YEAR(Invoer!$A$5),1,1)+INT((ROWS(B$2:B1051)-1)/3),"jjjjmmdd")</f>
        <v>19431216</v>
      </c>
      <c r="C1051" s="35" t="str">
        <f>INDEX(Data,2,2+MOD(ROWS(C$2:C1051)-1,3))</f>
        <v>19.45</v>
      </c>
      <c r="D1051" s="23" t="str">
        <f t="shared" ca="1" si="81"/>
        <v>—</v>
      </c>
      <c r="E1051" s="40">
        <f t="shared" ca="1" si="82"/>
        <v>7</v>
      </c>
      <c r="F1051" s="23" t="str">
        <f t="shared" ca="1" si="83"/>
        <v>—</v>
      </c>
      <c r="G1051" s="40">
        <f t="shared" ca="1" si="84"/>
        <v>7</v>
      </c>
    </row>
    <row r="1052" spans="1:7" x14ac:dyDescent="0.25">
      <c r="A1052" s="17">
        <f t="shared" si="80"/>
        <v>81</v>
      </c>
      <c r="B1052" t="str">
        <f ca="1">TEXT(DATE(YEAR(Invoer!$A$5),1,1)+INT((ROWS(B$2:B1052)-1)/3),"jjjjmmdd")</f>
        <v>19431217</v>
      </c>
      <c r="C1052" s="35" t="str">
        <f>INDEX(Data,2,2+MOD(ROWS(C$2:C1052)-1,3))</f>
        <v>07.45</v>
      </c>
      <c r="D1052" s="23" t="str">
        <f t="shared" ca="1" si="81"/>
        <v>—</v>
      </c>
      <c r="E1052" s="40">
        <f t="shared" ca="1" si="82"/>
        <v>7</v>
      </c>
      <c r="F1052" s="23" t="str">
        <f t="shared" ca="1" si="83"/>
        <v>—</v>
      </c>
      <c r="G1052" s="40">
        <f t="shared" ca="1" si="84"/>
        <v>7</v>
      </c>
    </row>
    <row r="1053" spans="1:7" x14ac:dyDescent="0.25">
      <c r="A1053" s="17">
        <f t="shared" si="80"/>
        <v>81</v>
      </c>
      <c r="B1053" t="str">
        <f ca="1">TEXT(DATE(YEAR(Invoer!$A$5),1,1)+INT((ROWS(B$2:B1053)-1)/3),"jjjjmmdd")</f>
        <v>19431217</v>
      </c>
      <c r="C1053" s="35" t="str">
        <f>INDEX(Data,2,2+MOD(ROWS(C$2:C1053)-1,3))</f>
        <v>13.45</v>
      </c>
      <c r="D1053" s="23" t="str">
        <f t="shared" ca="1" si="81"/>
        <v>—</v>
      </c>
      <c r="E1053" s="40">
        <f t="shared" ca="1" si="82"/>
        <v>7</v>
      </c>
      <c r="F1053" s="23" t="str">
        <f t="shared" ca="1" si="83"/>
        <v>—</v>
      </c>
      <c r="G1053" s="40">
        <f t="shared" ca="1" si="84"/>
        <v>7</v>
      </c>
    </row>
    <row r="1054" spans="1:7" x14ac:dyDescent="0.25">
      <c r="A1054" s="17">
        <f t="shared" si="80"/>
        <v>81</v>
      </c>
      <c r="B1054" t="str">
        <f ca="1">TEXT(DATE(YEAR(Invoer!$A$5),1,1)+INT((ROWS(B$2:B1054)-1)/3),"jjjjmmdd")</f>
        <v>19431217</v>
      </c>
      <c r="C1054" s="35" t="str">
        <f>INDEX(Data,2,2+MOD(ROWS(C$2:C1054)-1,3))</f>
        <v>19.45</v>
      </c>
      <c r="D1054" s="23" t="str">
        <f t="shared" ca="1" si="81"/>
        <v>—</v>
      </c>
      <c r="E1054" s="40">
        <f t="shared" ca="1" si="82"/>
        <v>7</v>
      </c>
      <c r="F1054" s="23" t="str">
        <f t="shared" ca="1" si="83"/>
        <v>—</v>
      </c>
      <c r="G1054" s="40">
        <f t="shared" ca="1" si="84"/>
        <v>7</v>
      </c>
    </row>
    <row r="1055" spans="1:7" x14ac:dyDescent="0.25">
      <c r="A1055" s="17">
        <f t="shared" si="80"/>
        <v>81</v>
      </c>
      <c r="B1055" t="str">
        <f ca="1">TEXT(DATE(YEAR(Invoer!$A$5),1,1)+INT((ROWS(B$2:B1055)-1)/3),"jjjjmmdd")</f>
        <v>19431218</v>
      </c>
      <c r="C1055" s="35" t="str">
        <f>INDEX(Data,2,2+MOD(ROWS(C$2:C1055)-1,3))</f>
        <v>07.45</v>
      </c>
      <c r="D1055" s="23" t="str">
        <f t="shared" ca="1" si="81"/>
        <v>—</v>
      </c>
      <c r="E1055" s="40">
        <f t="shared" ca="1" si="82"/>
        <v>7</v>
      </c>
      <c r="F1055" s="23" t="str">
        <f t="shared" ca="1" si="83"/>
        <v>—</v>
      </c>
      <c r="G1055" s="40">
        <f t="shared" ca="1" si="84"/>
        <v>7</v>
      </c>
    </row>
    <row r="1056" spans="1:7" x14ac:dyDescent="0.25">
      <c r="A1056" s="17">
        <f t="shared" si="80"/>
        <v>81</v>
      </c>
      <c r="B1056" t="str">
        <f ca="1">TEXT(DATE(YEAR(Invoer!$A$5),1,1)+INT((ROWS(B$2:B1056)-1)/3),"jjjjmmdd")</f>
        <v>19431218</v>
      </c>
      <c r="C1056" s="35" t="str">
        <f>INDEX(Data,2,2+MOD(ROWS(C$2:C1056)-1,3))</f>
        <v>13.45</v>
      </c>
      <c r="D1056" s="23" t="str">
        <f t="shared" ca="1" si="81"/>
        <v>—</v>
      </c>
      <c r="E1056" s="40">
        <f t="shared" ca="1" si="82"/>
        <v>7</v>
      </c>
      <c r="F1056" s="23" t="str">
        <f t="shared" ca="1" si="83"/>
        <v>—</v>
      </c>
      <c r="G1056" s="40">
        <f t="shared" ca="1" si="84"/>
        <v>7</v>
      </c>
    </row>
    <row r="1057" spans="1:7" x14ac:dyDescent="0.25">
      <c r="A1057" s="17">
        <f t="shared" si="80"/>
        <v>81</v>
      </c>
      <c r="B1057" t="str">
        <f ca="1">TEXT(DATE(YEAR(Invoer!$A$5),1,1)+INT((ROWS(B$2:B1057)-1)/3),"jjjjmmdd")</f>
        <v>19431218</v>
      </c>
      <c r="C1057" s="35" t="str">
        <f>INDEX(Data,2,2+MOD(ROWS(C$2:C1057)-1,3))</f>
        <v>19.45</v>
      </c>
      <c r="D1057" s="23" t="str">
        <f t="shared" ca="1" si="81"/>
        <v>—</v>
      </c>
      <c r="E1057" s="40">
        <f t="shared" ca="1" si="82"/>
        <v>7</v>
      </c>
      <c r="F1057" s="23" t="str">
        <f t="shared" ca="1" si="83"/>
        <v>—</v>
      </c>
      <c r="G1057" s="40">
        <f t="shared" ca="1" si="84"/>
        <v>7</v>
      </c>
    </row>
    <row r="1058" spans="1:7" x14ac:dyDescent="0.25">
      <c r="A1058" s="17">
        <f t="shared" si="80"/>
        <v>81</v>
      </c>
      <c r="B1058" t="str">
        <f ca="1">TEXT(DATE(YEAR(Invoer!$A$5),1,1)+INT((ROWS(B$2:B1058)-1)/3),"jjjjmmdd")</f>
        <v>19431219</v>
      </c>
      <c r="C1058" s="35" t="str">
        <f>INDEX(Data,2,2+MOD(ROWS(C$2:C1058)-1,3))</f>
        <v>07.45</v>
      </c>
      <c r="D1058" s="23" t="str">
        <f t="shared" ca="1" si="81"/>
        <v>—</v>
      </c>
      <c r="E1058" s="40">
        <f t="shared" ca="1" si="82"/>
        <v>7</v>
      </c>
      <c r="F1058" s="23" t="str">
        <f t="shared" ca="1" si="83"/>
        <v>—</v>
      </c>
      <c r="G1058" s="40">
        <f t="shared" ca="1" si="84"/>
        <v>7</v>
      </c>
    </row>
    <row r="1059" spans="1:7" x14ac:dyDescent="0.25">
      <c r="A1059" s="17">
        <f t="shared" si="80"/>
        <v>81</v>
      </c>
      <c r="B1059" t="str">
        <f ca="1">TEXT(DATE(YEAR(Invoer!$A$5),1,1)+INT((ROWS(B$2:B1059)-1)/3),"jjjjmmdd")</f>
        <v>19431219</v>
      </c>
      <c r="C1059" s="35" t="str">
        <f>INDEX(Data,2,2+MOD(ROWS(C$2:C1059)-1,3))</f>
        <v>13.45</v>
      </c>
      <c r="D1059" s="23" t="str">
        <f t="shared" ca="1" si="81"/>
        <v>—</v>
      </c>
      <c r="E1059" s="40">
        <f t="shared" ca="1" si="82"/>
        <v>7</v>
      </c>
      <c r="F1059" s="23" t="str">
        <f t="shared" ca="1" si="83"/>
        <v>—</v>
      </c>
      <c r="G1059" s="40">
        <f t="shared" ca="1" si="84"/>
        <v>7</v>
      </c>
    </row>
    <row r="1060" spans="1:7" x14ac:dyDescent="0.25">
      <c r="A1060" s="17">
        <f t="shared" si="80"/>
        <v>81</v>
      </c>
      <c r="B1060" t="str">
        <f ca="1">TEXT(DATE(YEAR(Invoer!$A$5),1,1)+INT((ROWS(B$2:B1060)-1)/3),"jjjjmmdd")</f>
        <v>19431219</v>
      </c>
      <c r="C1060" s="35" t="str">
        <f>INDEX(Data,2,2+MOD(ROWS(C$2:C1060)-1,3))</f>
        <v>19.45</v>
      </c>
      <c r="D1060" s="23" t="str">
        <f t="shared" ca="1" si="81"/>
        <v>—</v>
      </c>
      <c r="E1060" s="40">
        <f t="shared" ca="1" si="82"/>
        <v>7</v>
      </c>
      <c r="F1060" s="23" t="str">
        <f t="shared" ca="1" si="83"/>
        <v>—</v>
      </c>
      <c r="G1060" s="40">
        <f t="shared" ca="1" si="84"/>
        <v>7</v>
      </c>
    </row>
    <row r="1061" spans="1:7" x14ac:dyDescent="0.25">
      <c r="A1061" s="17">
        <f t="shared" si="80"/>
        <v>81</v>
      </c>
      <c r="B1061" t="str">
        <f ca="1">TEXT(DATE(YEAR(Invoer!$A$5),1,1)+INT((ROWS(B$2:B1061)-1)/3),"jjjjmmdd")</f>
        <v>19431220</v>
      </c>
      <c r="C1061" s="35" t="str">
        <f>INDEX(Data,2,2+MOD(ROWS(C$2:C1061)-1,3))</f>
        <v>07.45</v>
      </c>
      <c r="D1061" s="23" t="str">
        <f t="shared" ca="1" si="81"/>
        <v>—</v>
      </c>
      <c r="E1061" s="40">
        <f t="shared" ca="1" si="82"/>
        <v>7</v>
      </c>
      <c r="F1061" s="23" t="str">
        <f t="shared" ca="1" si="83"/>
        <v>—</v>
      </c>
      <c r="G1061" s="40">
        <f t="shared" ca="1" si="84"/>
        <v>7</v>
      </c>
    </row>
    <row r="1062" spans="1:7" x14ac:dyDescent="0.25">
      <c r="A1062" s="17">
        <f t="shared" si="80"/>
        <v>81</v>
      </c>
      <c r="B1062" t="str">
        <f ca="1">TEXT(DATE(YEAR(Invoer!$A$5),1,1)+INT((ROWS(B$2:B1062)-1)/3),"jjjjmmdd")</f>
        <v>19431220</v>
      </c>
      <c r="C1062" s="35" t="str">
        <f>INDEX(Data,2,2+MOD(ROWS(C$2:C1062)-1,3))</f>
        <v>13.45</v>
      </c>
      <c r="D1062" s="23" t="str">
        <f t="shared" ca="1" si="81"/>
        <v>—</v>
      </c>
      <c r="E1062" s="40">
        <f t="shared" ca="1" si="82"/>
        <v>7</v>
      </c>
      <c r="F1062" s="23" t="str">
        <f t="shared" ca="1" si="83"/>
        <v>—</v>
      </c>
      <c r="G1062" s="40">
        <f t="shared" ca="1" si="84"/>
        <v>7</v>
      </c>
    </row>
    <row r="1063" spans="1:7" x14ac:dyDescent="0.25">
      <c r="A1063" s="17">
        <f t="shared" si="80"/>
        <v>81</v>
      </c>
      <c r="B1063" t="str">
        <f ca="1">TEXT(DATE(YEAR(Invoer!$A$5),1,1)+INT((ROWS(B$2:B1063)-1)/3),"jjjjmmdd")</f>
        <v>19431220</v>
      </c>
      <c r="C1063" s="35" t="str">
        <f>INDEX(Data,2,2+MOD(ROWS(C$2:C1063)-1,3))</f>
        <v>19.45</v>
      </c>
      <c r="D1063" s="23" t="str">
        <f t="shared" ca="1" si="81"/>
        <v>—</v>
      </c>
      <c r="E1063" s="40">
        <f t="shared" ca="1" si="82"/>
        <v>7</v>
      </c>
      <c r="F1063" s="23" t="str">
        <f t="shared" ca="1" si="83"/>
        <v>—</v>
      </c>
      <c r="G1063" s="40">
        <f t="shared" ca="1" si="84"/>
        <v>7</v>
      </c>
    </row>
    <row r="1064" spans="1:7" x14ac:dyDescent="0.25">
      <c r="A1064" s="17">
        <f t="shared" si="80"/>
        <v>81</v>
      </c>
      <c r="B1064" t="str">
        <f ca="1">TEXT(DATE(YEAR(Invoer!$A$5),1,1)+INT((ROWS(B$2:B1064)-1)/3),"jjjjmmdd")</f>
        <v>19431221</v>
      </c>
      <c r="C1064" s="35" t="str">
        <f>INDEX(Data,2,2+MOD(ROWS(C$2:C1064)-1,3))</f>
        <v>07.45</v>
      </c>
      <c r="D1064" s="23" t="str">
        <f t="shared" ca="1" si="81"/>
        <v>—</v>
      </c>
      <c r="E1064" s="40">
        <f t="shared" ca="1" si="82"/>
        <v>7</v>
      </c>
      <c r="F1064" s="23" t="str">
        <f t="shared" ca="1" si="83"/>
        <v>—</v>
      </c>
      <c r="G1064" s="40">
        <f t="shared" ca="1" si="84"/>
        <v>7</v>
      </c>
    </row>
    <row r="1065" spans="1:7" x14ac:dyDescent="0.25">
      <c r="A1065" s="17">
        <f t="shared" si="80"/>
        <v>81</v>
      </c>
      <c r="B1065" t="str">
        <f ca="1">TEXT(DATE(YEAR(Invoer!$A$5),1,1)+INT((ROWS(B$2:B1065)-1)/3),"jjjjmmdd")</f>
        <v>19431221</v>
      </c>
      <c r="C1065" s="35" t="str">
        <f>INDEX(Data,2,2+MOD(ROWS(C$2:C1065)-1,3))</f>
        <v>13.45</v>
      </c>
      <c r="D1065" s="23" t="str">
        <f t="shared" ca="1" si="81"/>
        <v>—</v>
      </c>
      <c r="E1065" s="40">
        <f t="shared" ca="1" si="82"/>
        <v>7</v>
      </c>
      <c r="F1065" s="23" t="str">
        <f t="shared" ca="1" si="83"/>
        <v>—</v>
      </c>
      <c r="G1065" s="40">
        <f t="shared" ca="1" si="84"/>
        <v>7</v>
      </c>
    </row>
    <row r="1066" spans="1:7" x14ac:dyDescent="0.25">
      <c r="A1066" s="17">
        <f t="shared" si="80"/>
        <v>81</v>
      </c>
      <c r="B1066" t="str">
        <f ca="1">TEXT(DATE(YEAR(Invoer!$A$5),1,1)+INT((ROWS(B$2:B1066)-1)/3),"jjjjmmdd")</f>
        <v>19431221</v>
      </c>
      <c r="C1066" s="35" t="str">
        <f>INDEX(Data,2,2+MOD(ROWS(C$2:C1066)-1,3))</f>
        <v>19.45</v>
      </c>
      <c r="D1066" s="23" t="str">
        <f t="shared" ca="1" si="81"/>
        <v>—</v>
      </c>
      <c r="E1066" s="40">
        <f t="shared" ca="1" si="82"/>
        <v>7</v>
      </c>
      <c r="F1066" s="23" t="str">
        <f t="shared" ca="1" si="83"/>
        <v>—</v>
      </c>
      <c r="G1066" s="40">
        <f t="shared" ca="1" si="84"/>
        <v>7</v>
      </c>
    </row>
    <row r="1067" spans="1:7" x14ac:dyDescent="0.25">
      <c r="A1067" s="17">
        <f t="shared" si="80"/>
        <v>81</v>
      </c>
      <c r="B1067" t="str">
        <f ca="1">TEXT(DATE(YEAR(Invoer!$A$5),1,1)+INT((ROWS(B$2:B1067)-1)/3),"jjjjmmdd")</f>
        <v>19431222</v>
      </c>
      <c r="C1067" s="35" t="str">
        <f>INDEX(Data,2,2+MOD(ROWS(C$2:C1067)-1,3))</f>
        <v>07.45</v>
      </c>
      <c r="D1067" s="23" t="str">
        <f t="shared" ca="1" si="81"/>
        <v>—</v>
      </c>
      <c r="E1067" s="40">
        <f t="shared" ca="1" si="82"/>
        <v>7</v>
      </c>
      <c r="F1067" s="23" t="str">
        <f t="shared" ca="1" si="83"/>
        <v>—</v>
      </c>
      <c r="G1067" s="40">
        <f t="shared" ca="1" si="84"/>
        <v>7</v>
      </c>
    </row>
    <row r="1068" spans="1:7" x14ac:dyDescent="0.25">
      <c r="A1068" s="17">
        <f t="shared" si="80"/>
        <v>81</v>
      </c>
      <c r="B1068" t="str">
        <f ca="1">TEXT(DATE(YEAR(Invoer!$A$5),1,1)+INT((ROWS(B$2:B1068)-1)/3),"jjjjmmdd")</f>
        <v>19431222</v>
      </c>
      <c r="C1068" s="35" t="str">
        <f>INDEX(Data,2,2+MOD(ROWS(C$2:C1068)-1,3))</f>
        <v>13.45</v>
      </c>
      <c r="D1068" s="23" t="str">
        <f t="shared" ca="1" si="81"/>
        <v>—</v>
      </c>
      <c r="E1068" s="40">
        <f t="shared" ca="1" si="82"/>
        <v>7</v>
      </c>
      <c r="F1068" s="23" t="str">
        <f t="shared" ca="1" si="83"/>
        <v>—</v>
      </c>
      <c r="G1068" s="40">
        <f t="shared" ca="1" si="84"/>
        <v>7</v>
      </c>
    </row>
    <row r="1069" spans="1:7" x14ac:dyDescent="0.25">
      <c r="A1069" s="17">
        <f t="shared" si="80"/>
        <v>81</v>
      </c>
      <c r="B1069" t="str">
        <f ca="1">TEXT(DATE(YEAR(Invoer!$A$5),1,1)+INT((ROWS(B$2:B1069)-1)/3),"jjjjmmdd")</f>
        <v>19431222</v>
      </c>
      <c r="C1069" s="35" t="str">
        <f>INDEX(Data,2,2+MOD(ROWS(C$2:C1069)-1,3))</f>
        <v>19.45</v>
      </c>
      <c r="D1069" s="23" t="str">
        <f t="shared" ca="1" si="81"/>
        <v>—</v>
      </c>
      <c r="E1069" s="40">
        <f t="shared" ca="1" si="82"/>
        <v>7</v>
      </c>
      <c r="F1069" s="23" t="str">
        <f t="shared" ca="1" si="83"/>
        <v>—</v>
      </c>
      <c r="G1069" s="40">
        <f t="shared" ca="1" si="84"/>
        <v>7</v>
      </c>
    </row>
    <row r="1070" spans="1:7" x14ac:dyDescent="0.25">
      <c r="A1070" s="17">
        <f t="shared" si="80"/>
        <v>81</v>
      </c>
      <c r="B1070" t="str">
        <f ca="1">TEXT(DATE(YEAR(Invoer!$A$5),1,1)+INT((ROWS(B$2:B1070)-1)/3),"jjjjmmdd")</f>
        <v>19431223</v>
      </c>
      <c r="C1070" s="35" t="str">
        <f>INDEX(Data,2,2+MOD(ROWS(C$2:C1070)-1,3))</f>
        <v>07.45</v>
      </c>
      <c r="D1070" s="23" t="str">
        <f t="shared" ca="1" si="81"/>
        <v>—</v>
      </c>
      <c r="E1070" s="40">
        <f t="shared" ca="1" si="82"/>
        <v>7</v>
      </c>
      <c r="F1070" s="23" t="str">
        <f t="shared" ca="1" si="83"/>
        <v>—</v>
      </c>
      <c r="G1070" s="40">
        <f t="shared" ca="1" si="84"/>
        <v>7</v>
      </c>
    </row>
    <row r="1071" spans="1:7" x14ac:dyDescent="0.25">
      <c r="A1071" s="17">
        <f t="shared" si="80"/>
        <v>81</v>
      </c>
      <c r="B1071" t="str">
        <f ca="1">TEXT(DATE(YEAR(Invoer!$A$5),1,1)+INT((ROWS(B$2:B1071)-1)/3),"jjjjmmdd")</f>
        <v>19431223</v>
      </c>
      <c r="C1071" s="35" t="str">
        <f>INDEX(Data,2,2+MOD(ROWS(C$2:C1071)-1,3))</f>
        <v>13.45</v>
      </c>
      <c r="D1071" s="23" t="str">
        <f t="shared" ca="1" si="81"/>
        <v>—</v>
      </c>
      <c r="E1071" s="40">
        <f t="shared" ca="1" si="82"/>
        <v>7</v>
      </c>
      <c r="F1071" s="23" t="str">
        <f t="shared" ca="1" si="83"/>
        <v>—</v>
      </c>
      <c r="G1071" s="40">
        <f t="shared" ca="1" si="84"/>
        <v>7</v>
      </c>
    </row>
    <row r="1072" spans="1:7" x14ac:dyDescent="0.25">
      <c r="A1072" s="17">
        <f t="shared" si="80"/>
        <v>81</v>
      </c>
      <c r="B1072" t="str">
        <f ca="1">TEXT(DATE(YEAR(Invoer!$A$5),1,1)+INT((ROWS(B$2:B1072)-1)/3),"jjjjmmdd")</f>
        <v>19431223</v>
      </c>
      <c r="C1072" s="35" t="str">
        <f>INDEX(Data,2,2+MOD(ROWS(C$2:C1072)-1,3))</f>
        <v>19.45</v>
      </c>
      <c r="D1072" s="23" t="str">
        <f t="shared" ca="1" si="81"/>
        <v>—</v>
      </c>
      <c r="E1072" s="40">
        <f t="shared" ca="1" si="82"/>
        <v>7</v>
      </c>
      <c r="F1072" s="23" t="str">
        <f t="shared" ca="1" si="83"/>
        <v>—</v>
      </c>
      <c r="G1072" s="40">
        <f t="shared" ca="1" si="84"/>
        <v>7</v>
      </c>
    </row>
    <row r="1073" spans="1:7" x14ac:dyDescent="0.25">
      <c r="A1073" s="17">
        <f t="shared" si="80"/>
        <v>81</v>
      </c>
      <c r="B1073" t="str">
        <f ca="1">TEXT(DATE(YEAR(Invoer!$A$5),1,1)+INT((ROWS(B$2:B1073)-1)/3),"jjjjmmdd")</f>
        <v>19431224</v>
      </c>
      <c r="C1073" s="35" t="str">
        <f>INDEX(Data,2,2+MOD(ROWS(C$2:C1073)-1,3))</f>
        <v>07.45</v>
      </c>
      <c r="D1073" s="23" t="str">
        <f t="shared" ca="1" si="81"/>
        <v>—</v>
      </c>
      <c r="E1073" s="40">
        <f t="shared" ca="1" si="82"/>
        <v>7</v>
      </c>
      <c r="F1073" s="23" t="str">
        <f t="shared" ca="1" si="83"/>
        <v>—</v>
      </c>
      <c r="G1073" s="40">
        <f t="shared" ca="1" si="84"/>
        <v>7</v>
      </c>
    </row>
    <row r="1074" spans="1:7" x14ac:dyDescent="0.25">
      <c r="A1074" s="17">
        <f t="shared" si="80"/>
        <v>81</v>
      </c>
      <c r="B1074" t="str">
        <f ca="1">TEXT(DATE(YEAR(Invoer!$A$5),1,1)+INT((ROWS(B$2:B1074)-1)/3),"jjjjmmdd")</f>
        <v>19431224</v>
      </c>
      <c r="C1074" s="35" t="str">
        <f>INDEX(Data,2,2+MOD(ROWS(C$2:C1074)-1,3))</f>
        <v>13.45</v>
      </c>
      <c r="D1074" s="23" t="str">
        <f t="shared" ca="1" si="81"/>
        <v>—</v>
      </c>
      <c r="E1074" s="40">
        <f t="shared" ca="1" si="82"/>
        <v>7</v>
      </c>
      <c r="F1074" s="23" t="str">
        <f t="shared" ca="1" si="83"/>
        <v>—</v>
      </c>
      <c r="G1074" s="40">
        <f t="shared" ca="1" si="84"/>
        <v>7</v>
      </c>
    </row>
    <row r="1075" spans="1:7" x14ac:dyDescent="0.25">
      <c r="A1075" s="17">
        <f t="shared" si="80"/>
        <v>81</v>
      </c>
      <c r="B1075" t="str">
        <f ca="1">TEXT(DATE(YEAR(Invoer!$A$5),1,1)+INT((ROWS(B$2:B1075)-1)/3),"jjjjmmdd")</f>
        <v>19431224</v>
      </c>
      <c r="C1075" s="35" t="str">
        <f>INDEX(Data,2,2+MOD(ROWS(C$2:C1075)-1,3))</f>
        <v>19.45</v>
      </c>
      <c r="D1075" s="23" t="str">
        <f t="shared" ca="1" si="81"/>
        <v>—</v>
      </c>
      <c r="E1075" s="40">
        <f t="shared" ca="1" si="82"/>
        <v>7</v>
      </c>
      <c r="F1075" s="23" t="str">
        <f t="shared" ca="1" si="83"/>
        <v>—</v>
      </c>
      <c r="G1075" s="40">
        <f t="shared" ca="1" si="84"/>
        <v>7</v>
      </c>
    </row>
    <row r="1076" spans="1:7" x14ac:dyDescent="0.25">
      <c r="A1076" s="17">
        <f t="shared" si="80"/>
        <v>81</v>
      </c>
      <c r="B1076" t="str">
        <f ca="1">TEXT(DATE(YEAR(Invoer!$A$5),1,1)+INT((ROWS(B$2:B1076)-1)/3),"jjjjmmdd")</f>
        <v>19431225</v>
      </c>
      <c r="C1076" s="35" t="str">
        <f>INDEX(Data,2,2+MOD(ROWS(C$2:C1076)-1,3))</f>
        <v>07.45</v>
      </c>
      <c r="D1076" s="23" t="str">
        <f t="shared" ca="1" si="81"/>
        <v>—</v>
      </c>
      <c r="E1076" s="40">
        <f t="shared" ca="1" si="82"/>
        <v>7</v>
      </c>
      <c r="F1076" s="23" t="str">
        <f t="shared" ca="1" si="83"/>
        <v>—</v>
      </c>
      <c r="G1076" s="40">
        <f t="shared" ca="1" si="84"/>
        <v>7</v>
      </c>
    </row>
    <row r="1077" spans="1:7" x14ac:dyDescent="0.25">
      <c r="A1077" s="17">
        <f t="shared" si="80"/>
        <v>81</v>
      </c>
      <c r="B1077" t="str">
        <f ca="1">TEXT(DATE(YEAR(Invoer!$A$5),1,1)+INT((ROWS(B$2:B1077)-1)/3),"jjjjmmdd")</f>
        <v>19431225</v>
      </c>
      <c r="C1077" s="35" t="str">
        <f>INDEX(Data,2,2+MOD(ROWS(C$2:C1077)-1,3))</f>
        <v>13.45</v>
      </c>
      <c r="D1077" s="23" t="str">
        <f t="shared" ca="1" si="81"/>
        <v>—</v>
      </c>
      <c r="E1077" s="40">
        <f t="shared" ca="1" si="82"/>
        <v>7</v>
      </c>
      <c r="F1077" s="23" t="str">
        <f t="shared" ca="1" si="83"/>
        <v>—</v>
      </c>
      <c r="G1077" s="40">
        <f t="shared" ca="1" si="84"/>
        <v>7</v>
      </c>
    </row>
    <row r="1078" spans="1:7" x14ac:dyDescent="0.25">
      <c r="A1078" s="17">
        <f t="shared" si="80"/>
        <v>81</v>
      </c>
      <c r="B1078" t="str">
        <f ca="1">TEXT(DATE(YEAR(Invoer!$A$5),1,1)+INT((ROWS(B$2:B1078)-1)/3),"jjjjmmdd")</f>
        <v>19431225</v>
      </c>
      <c r="C1078" s="35" t="str">
        <f>INDEX(Data,2,2+MOD(ROWS(C$2:C1078)-1,3))</f>
        <v>19.45</v>
      </c>
      <c r="D1078" s="23" t="str">
        <f t="shared" ca="1" si="81"/>
        <v>—</v>
      </c>
      <c r="E1078" s="40">
        <f t="shared" ca="1" si="82"/>
        <v>7</v>
      </c>
      <c r="F1078" s="23" t="str">
        <f t="shared" ca="1" si="83"/>
        <v>—</v>
      </c>
      <c r="G1078" s="40">
        <f t="shared" ca="1" si="84"/>
        <v>7</v>
      </c>
    </row>
    <row r="1079" spans="1:7" x14ac:dyDescent="0.25">
      <c r="A1079" s="17">
        <f t="shared" si="80"/>
        <v>81</v>
      </c>
      <c r="B1079" t="str">
        <f ca="1">TEXT(DATE(YEAR(Invoer!$A$5),1,1)+INT((ROWS(B$2:B1079)-1)/3),"jjjjmmdd")</f>
        <v>19431226</v>
      </c>
      <c r="C1079" s="35" t="str">
        <f>INDEX(Data,2,2+MOD(ROWS(C$2:C1079)-1,3))</f>
        <v>07.45</v>
      </c>
      <c r="D1079" s="23" t="str">
        <f t="shared" ca="1" si="81"/>
        <v>—</v>
      </c>
      <c r="E1079" s="40">
        <f t="shared" ca="1" si="82"/>
        <v>7</v>
      </c>
      <c r="F1079" s="23" t="str">
        <f t="shared" ca="1" si="83"/>
        <v>—</v>
      </c>
      <c r="G1079" s="40">
        <f t="shared" ca="1" si="84"/>
        <v>7</v>
      </c>
    </row>
    <row r="1080" spans="1:7" x14ac:dyDescent="0.25">
      <c r="A1080" s="17">
        <f t="shared" si="80"/>
        <v>81</v>
      </c>
      <c r="B1080" t="str">
        <f ca="1">TEXT(DATE(YEAR(Invoer!$A$5),1,1)+INT((ROWS(B$2:B1080)-1)/3),"jjjjmmdd")</f>
        <v>19431226</v>
      </c>
      <c r="C1080" s="35" t="str">
        <f>INDEX(Data,2,2+MOD(ROWS(C$2:C1080)-1,3))</f>
        <v>13.45</v>
      </c>
      <c r="D1080" s="23" t="str">
        <f t="shared" ca="1" si="81"/>
        <v>—</v>
      </c>
      <c r="E1080" s="40">
        <f t="shared" ca="1" si="82"/>
        <v>7</v>
      </c>
      <c r="F1080" s="23" t="str">
        <f t="shared" ca="1" si="83"/>
        <v>—</v>
      </c>
      <c r="G1080" s="40">
        <f t="shared" ca="1" si="84"/>
        <v>7</v>
      </c>
    </row>
    <row r="1081" spans="1:7" x14ac:dyDescent="0.25">
      <c r="A1081" s="17">
        <f t="shared" si="80"/>
        <v>81</v>
      </c>
      <c r="B1081" t="str">
        <f ca="1">TEXT(DATE(YEAR(Invoer!$A$5),1,1)+INT((ROWS(B$2:B1081)-1)/3),"jjjjmmdd")</f>
        <v>19431226</v>
      </c>
      <c r="C1081" s="35" t="str">
        <f>INDEX(Data,2,2+MOD(ROWS(C$2:C1081)-1,3))</f>
        <v>19.45</v>
      </c>
      <c r="D1081" s="23" t="str">
        <f t="shared" ca="1" si="81"/>
        <v>—</v>
      </c>
      <c r="E1081" s="40">
        <f t="shared" ca="1" si="82"/>
        <v>7</v>
      </c>
      <c r="F1081" s="23" t="str">
        <f t="shared" ca="1" si="83"/>
        <v>—</v>
      </c>
      <c r="G1081" s="40">
        <f t="shared" ca="1" si="84"/>
        <v>7</v>
      </c>
    </row>
    <row r="1082" spans="1:7" x14ac:dyDescent="0.25">
      <c r="A1082" s="17">
        <f t="shared" si="80"/>
        <v>81</v>
      </c>
      <c r="B1082" t="str">
        <f ca="1">TEXT(DATE(YEAR(Invoer!$A$5),1,1)+INT((ROWS(B$2:B1082)-1)/3),"jjjjmmdd")</f>
        <v>19431227</v>
      </c>
      <c r="C1082" s="35" t="str">
        <f>INDEX(Data,2,2+MOD(ROWS(C$2:C1082)-1,3))</f>
        <v>07.45</v>
      </c>
      <c r="D1082" s="23" t="str">
        <f t="shared" ca="1" si="81"/>
        <v>—</v>
      </c>
      <c r="E1082" s="40">
        <f t="shared" ca="1" si="82"/>
        <v>7</v>
      </c>
      <c r="F1082" s="23" t="str">
        <f t="shared" ca="1" si="83"/>
        <v>—</v>
      </c>
      <c r="G1082" s="40">
        <f t="shared" ca="1" si="84"/>
        <v>7</v>
      </c>
    </row>
    <row r="1083" spans="1:7" x14ac:dyDescent="0.25">
      <c r="A1083" s="17">
        <f t="shared" si="80"/>
        <v>81</v>
      </c>
      <c r="B1083" t="str">
        <f ca="1">TEXT(DATE(YEAR(Invoer!$A$5),1,1)+INT((ROWS(B$2:B1083)-1)/3),"jjjjmmdd")</f>
        <v>19431227</v>
      </c>
      <c r="C1083" s="35" t="str">
        <f>INDEX(Data,2,2+MOD(ROWS(C$2:C1083)-1,3))</f>
        <v>13.45</v>
      </c>
      <c r="D1083" s="23" t="str">
        <f t="shared" ca="1" si="81"/>
        <v>—</v>
      </c>
      <c r="E1083" s="40">
        <f t="shared" ca="1" si="82"/>
        <v>7</v>
      </c>
      <c r="F1083" s="23" t="str">
        <f t="shared" ca="1" si="83"/>
        <v>—</v>
      </c>
      <c r="G1083" s="40">
        <f t="shared" ca="1" si="84"/>
        <v>7</v>
      </c>
    </row>
    <row r="1084" spans="1:7" x14ac:dyDescent="0.25">
      <c r="A1084" s="17">
        <f t="shared" si="80"/>
        <v>81</v>
      </c>
      <c r="B1084" t="str">
        <f ca="1">TEXT(DATE(YEAR(Invoer!$A$5),1,1)+INT((ROWS(B$2:B1084)-1)/3),"jjjjmmdd")</f>
        <v>19431227</v>
      </c>
      <c r="C1084" s="35" t="str">
        <f>INDEX(Data,2,2+MOD(ROWS(C$2:C1084)-1,3))</f>
        <v>19.45</v>
      </c>
      <c r="D1084" s="23" t="str">
        <f t="shared" ca="1" si="81"/>
        <v>—</v>
      </c>
      <c r="E1084" s="40">
        <f t="shared" ca="1" si="82"/>
        <v>7</v>
      </c>
      <c r="F1084" s="23" t="str">
        <f t="shared" ca="1" si="83"/>
        <v>—</v>
      </c>
      <c r="G1084" s="40">
        <f t="shared" ca="1" si="84"/>
        <v>7</v>
      </c>
    </row>
    <row r="1085" spans="1:7" x14ac:dyDescent="0.25">
      <c r="A1085" s="17">
        <f t="shared" si="80"/>
        <v>81</v>
      </c>
      <c r="B1085" t="str">
        <f ca="1">TEXT(DATE(YEAR(Invoer!$A$5),1,1)+INT((ROWS(B$2:B1085)-1)/3),"jjjjmmdd")</f>
        <v>19431228</v>
      </c>
      <c r="C1085" s="35" t="str">
        <f>INDEX(Data,2,2+MOD(ROWS(C$2:C1085)-1,3))</f>
        <v>07.45</v>
      </c>
      <c r="D1085" s="23" t="str">
        <f t="shared" ca="1" si="81"/>
        <v>—</v>
      </c>
      <c r="E1085" s="40">
        <f t="shared" ca="1" si="82"/>
        <v>7</v>
      </c>
      <c r="F1085" s="23" t="str">
        <f t="shared" ca="1" si="83"/>
        <v>—</v>
      </c>
      <c r="G1085" s="40">
        <f t="shared" ca="1" si="84"/>
        <v>7</v>
      </c>
    </row>
    <row r="1086" spans="1:7" x14ac:dyDescent="0.25">
      <c r="A1086" s="17">
        <f t="shared" si="80"/>
        <v>81</v>
      </c>
      <c r="B1086" t="str">
        <f ca="1">TEXT(DATE(YEAR(Invoer!$A$5),1,1)+INT((ROWS(B$2:B1086)-1)/3),"jjjjmmdd")</f>
        <v>19431228</v>
      </c>
      <c r="C1086" s="35" t="str">
        <f>INDEX(Data,2,2+MOD(ROWS(C$2:C1086)-1,3))</f>
        <v>13.45</v>
      </c>
      <c r="D1086" s="23" t="str">
        <f t="shared" ca="1" si="81"/>
        <v>—</v>
      </c>
      <c r="E1086" s="40">
        <f t="shared" ca="1" si="82"/>
        <v>7</v>
      </c>
      <c r="F1086" s="23" t="str">
        <f t="shared" ca="1" si="83"/>
        <v>—</v>
      </c>
      <c r="G1086" s="40">
        <f t="shared" ca="1" si="84"/>
        <v>7</v>
      </c>
    </row>
    <row r="1087" spans="1:7" x14ac:dyDescent="0.25">
      <c r="A1087" s="17">
        <f t="shared" si="80"/>
        <v>81</v>
      </c>
      <c r="B1087" t="str">
        <f ca="1">TEXT(DATE(YEAR(Invoer!$A$5),1,1)+INT((ROWS(B$2:B1087)-1)/3),"jjjjmmdd")</f>
        <v>19431228</v>
      </c>
      <c r="C1087" s="35" t="str">
        <f>INDEX(Data,2,2+MOD(ROWS(C$2:C1087)-1,3))</f>
        <v>19.45</v>
      </c>
      <c r="D1087" s="23" t="str">
        <f t="shared" ca="1" si="81"/>
        <v>—</v>
      </c>
      <c r="E1087" s="40">
        <f t="shared" ca="1" si="82"/>
        <v>7</v>
      </c>
      <c r="F1087" s="23" t="str">
        <f t="shared" ca="1" si="83"/>
        <v>—</v>
      </c>
      <c r="G1087" s="40">
        <f t="shared" ca="1" si="84"/>
        <v>7</v>
      </c>
    </row>
    <row r="1088" spans="1:7" x14ac:dyDescent="0.25">
      <c r="A1088" s="17">
        <f t="shared" si="80"/>
        <v>81</v>
      </c>
      <c r="B1088" t="str">
        <f ca="1">TEXT(DATE(YEAR(Invoer!$A$5),1,1)+INT((ROWS(B$2:B1088)-1)/3),"jjjjmmdd")</f>
        <v>19431229</v>
      </c>
      <c r="C1088" s="35" t="str">
        <f>INDEX(Data,2,2+MOD(ROWS(C$2:C1088)-1,3))</f>
        <v>07.45</v>
      </c>
      <c r="D1088" s="23" t="str">
        <f t="shared" ca="1" si="81"/>
        <v>—</v>
      </c>
      <c r="E1088" s="40">
        <f t="shared" ca="1" si="82"/>
        <v>7</v>
      </c>
      <c r="F1088" s="23" t="str">
        <f t="shared" ca="1" si="83"/>
        <v>—</v>
      </c>
      <c r="G1088" s="40">
        <f t="shared" ca="1" si="84"/>
        <v>7</v>
      </c>
    </row>
    <row r="1089" spans="1:7" x14ac:dyDescent="0.25">
      <c r="A1089" s="17">
        <f t="shared" si="80"/>
        <v>81</v>
      </c>
      <c r="B1089" t="str">
        <f ca="1">TEXT(DATE(YEAR(Invoer!$A$5),1,1)+INT((ROWS(B$2:B1089)-1)/3),"jjjjmmdd")</f>
        <v>19431229</v>
      </c>
      <c r="C1089" s="35" t="str">
        <f>INDEX(Data,2,2+MOD(ROWS(C$2:C1089)-1,3))</f>
        <v>13.45</v>
      </c>
      <c r="D1089" s="23" t="str">
        <f t="shared" ca="1" si="81"/>
        <v>—</v>
      </c>
      <c r="E1089" s="40">
        <f t="shared" ca="1" si="82"/>
        <v>7</v>
      </c>
      <c r="F1089" s="23" t="str">
        <f t="shared" ca="1" si="83"/>
        <v>—</v>
      </c>
      <c r="G1089" s="40">
        <f t="shared" ca="1" si="84"/>
        <v>7</v>
      </c>
    </row>
    <row r="1090" spans="1:7" x14ac:dyDescent="0.25">
      <c r="A1090" s="17">
        <f t="shared" ref="A1090:A1096" si="85">INDEX(Stations,2,1)</f>
        <v>81</v>
      </c>
      <c r="B1090" t="str">
        <f ca="1">TEXT(DATE(YEAR(Invoer!$A$5),1,1)+INT((ROWS(B$2:B1090)-1)/3),"jjjjmmdd")</f>
        <v>19431229</v>
      </c>
      <c r="C1090" s="35" t="str">
        <f>INDEX(Data,2,2+MOD(ROWS(C$2:C1090)-1,3))</f>
        <v>19.45</v>
      </c>
      <c r="D1090" s="23" t="str">
        <f t="shared" ref="D1090:D1096" ca="1" si="86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—</v>
      </c>
      <c r="E1090" s="40">
        <f t="shared" ref="E1090:E1096" ca="1" si="87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7</v>
      </c>
      <c r="F1090" s="23" t="str">
        <f t="shared" ref="F1090:F1096" ca="1" si="88">IF(OR(ISBLANK(VLOOKUP(DATEVALUE(LEFT($B1090,4)&amp;"-"&amp;MID($B1090,5,2)&amp;"-"&amp;RIGHT($B1090,2)),Data,MATCH(LEFT(VLOOKUP(F$1,Parameters,2,FALSE()),4)&amp;"*",OFFSET(Data,0,0,1),0)+MATCH($C1090,OFFSET(Data,1,0,1),0)-2,FALSE())),ISTEXT(VLOOKUP(DATEVALUE(LEFT($B1090,4)&amp;"-"&amp;MID($B1090,5,2)&amp;"-"&amp;RIGHT($B1090,2)),Data,MATCH(LEFT(VLOOKUP(F$1,Parameters,2,FALSE()),4)&amp;"*",OFFSET(Data,0,0,1),0)+MATCH($C1090,OFFSET(Data,1,0,1),0)-2,FALSE()))),"—",VLOOKUP(DATEVALUE(LEFT($B1090,4)&amp;"-"&amp;MID($B1090,5,2)&amp;"-"&amp;RIGHT($B1090,2)),Data,MATCH(LEFT(VLOOKUP(F$1,Parameters,2,FALSE()),4)&amp;"*",OFFSET(Data,0,0,1),0)+MATCH($C1090,OFFSET(Data,1,0,1),0)-2,FALSE()))</f>
        <v>—</v>
      </c>
      <c r="G1090" s="40">
        <f t="shared" ref="G1090:G1096" ca="1" si="89">IF(OR(ISBLANK(VLOOKUP(DATEVALUE(LEFT($B1090,4)&amp;"-"&amp;MID($B1090,5,2)&amp;"-"&amp;RIGHT($B1090,2)),Data,MATCH(LEFT(VLOOKUP(MID(G$1,2,LEN(G$1)-1),Parameters,2,FALSE()),4)&amp;"*",OFFSET(Data,0,0,1),0)+MATCH($C1090,OFFSET(Data,1,0,1),0)-2,FALSE())),ISTEXT(VLOOKUP(DATEVALUE(LEFT($B1090,4)&amp;"-"&amp;MID($B1090,5,2)&amp;"-"&amp;RIGHT($B1090,2)),Data,MATCH(LEFT(VLOOKUP(MID(G$1,2,LEN(G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G$1,2,LEN(G$1)-1),Parameters,2,FALSE()),4)&amp;"*",OFFSET(Catalogus,0,0,1),0)+MATCH($C1090,OFFSET(Catalogus,1,0,1),0)-2,FALSE())))</f>
        <v>7</v>
      </c>
    </row>
    <row r="1091" spans="1:7" x14ac:dyDescent="0.25">
      <c r="A1091" s="17">
        <f t="shared" si="85"/>
        <v>81</v>
      </c>
      <c r="B1091" t="str">
        <f ca="1">TEXT(DATE(YEAR(Invoer!$A$5),1,1)+INT((ROWS(B$2:B1091)-1)/3),"jjjjmmdd")</f>
        <v>19431230</v>
      </c>
      <c r="C1091" s="35" t="str">
        <f>INDEX(Data,2,2+MOD(ROWS(C$2:C1091)-1,3))</f>
        <v>07.45</v>
      </c>
      <c r="D1091" s="23" t="str">
        <f t="shared" ca="1" si="86"/>
        <v>—</v>
      </c>
      <c r="E1091" s="40">
        <f t="shared" ca="1" si="87"/>
        <v>7</v>
      </c>
      <c r="F1091" s="23" t="str">
        <f t="shared" ca="1" si="88"/>
        <v>—</v>
      </c>
      <c r="G1091" s="40">
        <f t="shared" ca="1" si="89"/>
        <v>7</v>
      </c>
    </row>
    <row r="1092" spans="1:7" x14ac:dyDescent="0.25">
      <c r="A1092" s="17">
        <f t="shared" si="85"/>
        <v>81</v>
      </c>
      <c r="B1092" t="str">
        <f ca="1">TEXT(DATE(YEAR(Invoer!$A$5),1,1)+INT((ROWS(B$2:B1092)-1)/3),"jjjjmmdd")</f>
        <v>19431230</v>
      </c>
      <c r="C1092" s="35" t="str">
        <f>INDEX(Data,2,2+MOD(ROWS(C$2:C1092)-1,3))</f>
        <v>13.45</v>
      </c>
      <c r="D1092" s="23" t="str">
        <f t="shared" ca="1" si="86"/>
        <v>—</v>
      </c>
      <c r="E1092" s="40">
        <f t="shared" ca="1" si="87"/>
        <v>7</v>
      </c>
      <c r="F1092" s="23" t="str">
        <f t="shared" ca="1" si="88"/>
        <v>—</v>
      </c>
      <c r="G1092" s="40">
        <f t="shared" ca="1" si="89"/>
        <v>7</v>
      </c>
    </row>
    <row r="1093" spans="1:7" x14ac:dyDescent="0.25">
      <c r="A1093" s="17">
        <f t="shared" si="85"/>
        <v>81</v>
      </c>
      <c r="B1093" t="str">
        <f ca="1">TEXT(DATE(YEAR(Invoer!$A$5),1,1)+INT((ROWS(B$2:B1093)-1)/3),"jjjjmmdd")</f>
        <v>19431230</v>
      </c>
      <c r="C1093" s="35" t="str">
        <f>INDEX(Data,2,2+MOD(ROWS(C$2:C1093)-1,3))</f>
        <v>19.45</v>
      </c>
      <c r="D1093" s="23" t="str">
        <f t="shared" ca="1" si="86"/>
        <v>—</v>
      </c>
      <c r="E1093" s="40">
        <f t="shared" ca="1" si="87"/>
        <v>7</v>
      </c>
      <c r="F1093" s="23" t="str">
        <f t="shared" ca="1" si="88"/>
        <v>—</v>
      </c>
      <c r="G1093" s="40">
        <f t="shared" ca="1" si="89"/>
        <v>7</v>
      </c>
    </row>
    <row r="1094" spans="1:7" x14ac:dyDescent="0.25">
      <c r="A1094" s="17">
        <f t="shared" si="85"/>
        <v>81</v>
      </c>
      <c r="B1094" t="str">
        <f ca="1">TEXT(DATE(YEAR(Invoer!$A$5),1,1)+INT((ROWS(B$2:B1094)-1)/3),"jjjjmmdd")</f>
        <v>19431231</v>
      </c>
      <c r="C1094" s="35" t="str">
        <f>INDEX(Data,2,2+MOD(ROWS(C$2:C1094)-1,3))</f>
        <v>07.45</v>
      </c>
      <c r="D1094" s="23" t="str">
        <f t="shared" ca="1" si="86"/>
        <v>—</v>
      </c>
      <c r="E1094" s="40">
        <f t="shared" ca="1" si="87"/>
        <v>7</v>
      </c>
      <c r="F1094" s="23" t="str">
        <f t="shared" ca="1" si="88"/>
        <v>—</v>
      </c>
      <c r="G1094" s="40">
        <f t="shared" ca="1" si="89"/>
        <v>7</v>
      </c>
    </row>
    <row r="1095" spans="1:7" x14ac:dyDescent="0.25">
      <c r="A1095" s="17">
        <f t="shared" si="85"/>
        <v>81</v>
      </c>
      <c r="B1095" t="str">
        <f ca="1">TEXT(DATE(YEAR(Invoer!$A$5),1,1)+INT((ROWS(B$2:B1095)-1)/3),"jjjjmmdd")</f>
        <v>19431231</v>
      </c>
      <c r="C1095" s="35" t="str">
        <f>INDEX(Data,2,2+MOD(ROWS(C$2:C1095)-1,3))</f>
        <v>13.45</v>
      </c>
      <c r="D1095" s="23" t="str">
        <f t="shared" ca="1" si="86"/>
        <v>—</v>
      </c>
      <c r="E1095" s="40">
        <f t="shared" ca="1" si="87"/>
        <v>7</v>
      </c>
      <c r="F1095" s="23" t="str">
        <f t="shared" ca="1" si="88"/>
        <v>—</v>
      </c>
      <c r="G1095" s="40">
        <f t="shared" ca="1" si="89"/>
        <v>7</v>
      </c>
    </row>
    <row r="1096" spans="1:7" x14ac:dyDescent="0.25">
      <c r="A1096" s="17">
        <f t="shared" si="85"/>
        <v>81</v>
      </c>
      <c r="B1096" t="str">
        <f ca="1">TEXT(DATE(YEAR(Invoer!$A$5),1,1)+INT((ROWS(B$2:B1096)-1)/3),"jjjjmmdd")</f>
        <v>19431231</v>
      </c>
      <c r="C1096" s="35" t="str">
        <f>INDEX(Data,2,2+MOD(ROWS(C$2:C1096)-1,3))</f>
        <v>19.45</v>
      </c>
      <c r="D1096" s="23" t="str">
        <f t="shared" ca="1" si="86"/>
        <v>—</v>
      </c>
      <c r="E1096" s="40">
        <f t="shared" ca="1" si="87"/>
        <v>7</v>
      </c>
      <c r="F1096" s="23" t="str">
        <f t="shared" ca="1" si="88"/>
        <v>—</v>
      </c>
      <c r="G1096" s="40">
        <f t="shared" ca="1" si="89"/>
        <v>7</v>
      </c>
    </row>
  </sheetData>
  <pageMargins left="0.7" right="0.7" top="0.75" bottom="0.75" header="0.3" footer="0.3"/>
  <ignoredErrors>
    <ignoredError sqref="E2:F2 E3:E1096 F3:F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109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25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25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081, 19430101, 1, ////, 07</v>
      </c>
    </row>
    <row r="3" spans="1:1" x14ac:dyDescent="0.25">
      <c r="A3" s="25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081, 19430102, 1, ////, 07</v>
      </c>
    </row>
    <row r="4" spans="1:1" x14ac:dyDescent="0.25">
      <c r="A4" s="25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081, 19430103, 1, ////, 07</v>
      </c>
    </row>
    <row r="5" spans="1:1" x14ac:dyDescent="0.25">
      <c r="A5" s="25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081, 19430104, 1, ////, 07</v>
      </c>
    </row>
    <row r="6" spans="1:1" x14ac:dyDescent="0.25">
      <c r="A6" s="25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081, 19430105, 1, ////, 07</v>
      </c>
    </row>
    <row r="7" spans="1:1" x14ac:dyDescent="0.25">
      <c r="A7" s="25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081, 19430106, 1, ////, 07</v>
      </c>
    </row>
    <row r="8" spans="1:1" x14ac:dyDescent="0.25">
      <c r="A8" s="25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081, 19430107, 1, ////, 07</v>
      </c>
    </row>
    <row r="9" spans="1:1" x14ac:dyDescent="0.25">
      <c r="A9" s="25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081, 19430108, 1, ////, 07</v>
      </c>
    </row>
    <row r="10" spans="1:1" x14ac:dyDescent="0.25">
      <c r="A10" s="25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081, 19430109, 1, ////, 07</v>
      </c>
    </row>
    <row r="11" spans="1:1" x14ac:dyDescent="0.25">
      <c r="A11" s="25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081, 19430110, 1, ////, 07</v>
      </c>
    </row>
    <row r="12" spans="1:1" x14ac:dyDescent="0.25">
      <c r="A12" s="25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081, 19430111, 1, ////, 07</v>
      </c>
    </row>
    <row r="13" spans="1:1" x14ac:dyDescent="0.25">
      <c r="A13" s="25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081, 19430112, 1, ////, 07</v>
      </c>
    </row>
    <row r="14" spans="1:1" x14ac:dyDescent="0.25">
      <c r="A14" s="25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081, 19430113, 1, ////, 07</v>
      </c>
    </row>
    <row r="15" spans="1:1" x14ac:dyDescent="0.25">
      <c r="A15" s="25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081, 19430114, 1, ////, 07</v>
      </c>
    </row>
    <row r="16" spans="1:1" x14ac:dyDescent="0.25">
      <c r="A16" s="25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081, 19430115, 1, ////, 07</v>
      </c>
    </row>
    <row r="17" spans="1:1" x14ac:dyDescent="0.25">
      <c r="A17" s="25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081, 19430116, 1, ////, 07</v>
      </c>
    </row>
    <row r="18" spans="1:1" x14ac:dyDescent="0.25">
      <c r="A18" s="25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081, 19430117, 1, ////, 07</v>
      </c>
    </row>
    <row r="19" spans="1:1" x14ac:dyDescent="0.25">
      <c r="A19" s="25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081, 19430118, 1, ////, 07</v>
      </c>
    </row>
    <row r="20" spans="1:1" x14ac:dyDescent="0.25">
      <c r="A20" s="25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081, 19430119, 1, ////, 07</v>
      </c>
    </row>
    <row r="21" spans="1:1" x14ac:dyDescent="0.25">
      <c r="A21" s="25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081, 19430120, 1, ////, 07</v>
      </c>
    </row>
    <row r="22" spans="1:1" x14ac:dyDescent="0.25">
      <c r="A22" s="25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081, 19430121, 1, ////, 07</v>
      </c>
    </row>
    <row r="23" spans="1:1" x14ac:dyDescent="0.25">
      <c r="A23" s="25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081, 19430122, 1, ////, 07</v>
      </c>
    </row>
    <row r="24" spans="1:1" x14ac:dyDescent="0.25">
      <c r="A24" s="25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081, 19430123, 1, ////, 07</v>
      </c>
    </row>
    <row r="25" spans="1:1" x14ac:dyDescent="0.25">
      <c r="A25" s="25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081, 19430124, 1, ////, 07</v>
      </c>
    </row>
    <row r="26" spans="1:1" x14ac:dyDescent="0.25">
      <c r="A26" s="25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081, 19430125, 1, ////, 07</v>
      </c>
    </row>
    <row r="27" spans="1:1" x14ac:dyDescent="0.25">
      <c r="A27" s="25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081, 19430126, 1, ////, 07</v>
      </c>
    </row>
    <row r="28" spans="1:1" x14ac:dyDescent="0.25">
      <c r="A28" s="25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081, 19430127, 1, ////, 07</v>
      </c>
    </row>
    <row r="29" spans="1:1" x14ac:dyDescent="0.25">
      <c r="A29" s="25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081, 19430128, 1, ////, 07</v>
      </c>
    </row>
    <row r="30" spans="1:1" x14ac:dyDescent="0.25">
      <c r="A30" s="25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081, 19430129, 1, ////, 07</v>
      </c>
    </row>
    <row r="31" spans="1:1" x14ac:dyDescent="0.25">
      <c r="A31" s="25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081, 19430130, 1, ////, 07</v>
      </c>
    </row>
    <row r="32" spans="1:1" x14ac:dyDescent="0.25">
      <c r="A32" s="25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081, 19430131, 1, ////, 07</v>
      </c>
    </row>
    <row r="33" spans="1:1" x14ac:dyDescent="0.25">
      <c r="A33" s="25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081, 19430201, 1, ////, 07</v>
      </c>
    </row>
    <row r="34" spans="1:1" x14ac:dyDescent="0.25">
      <c r="A34" s="25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081, 19430202, 1, ////, 07</v>
      </c>
    </row>
    <row r="35" spans="1:1" x14ac:dyDescent="0.25">
      <c r="A35" s="25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081, 19430203, 1, ////, 07</v>
      </c>
    </row>
    <row r="36" spans="1:1" x14ac:dyDescent="0.25">
      <c r="A36" s="25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081, 19430204, 1, ////, 07</v>
      </c>
    </row>
    <row r="37" spans="1:1" x14ac:dyDescent="0.25">
      <c r="A37" s="25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081, 19430205, 1, ////, 07</v>
      </c>
    </row>
    <row r="38" spans="1:1" x14ac:dyDescent="0.25">
      <c r="A38" s="25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081, 19430206, 1, ////, 07</v>
      </c>
    </row>
    <row r="39" spans="1:1" x14ac:dyDescent="0.25">
      <c r="A39" s="25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081, 19430207, 1, ////, 07</v>
      </c>
    </row>
    <row r="40" spans="1:1" x14ac:dyDescent="0.25">
      <c r="A40" s="25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081, 19430208, 1, ////, 07</v>
      </c>
    </row>
    <row r="41" spans="1:1" x14ac:dyDescent="0.25">
      <c r="A41" s="25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081, 19430209, 1, ////, 07</v>
      </c>
    </row>
    <row r="42" spans="1:1" x14ac:dyDescent="0.25">
      <c r="A42" s="25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081, 19430210, 1, ////, 07</v>
      </c>
    </row>
    <row r="43" spans="1:1" x14ac:dyDescent="0.25">
      <c r="A43" s="25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081, 19430211, 1, ////, 07</v>
      </c>
    </row>
    <row r="44" spans="1:1" x14ac:dyDescent="0.25">
      <c r="A44" s="25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081, 19430212, 1, ////, 07</v>
      </c>
    </row>
    <row r="45" spans="1:1" x14ac:dyDescent="0.25">
      <c r="A45" s="25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081, 19430213, 1, ////, 07</v>
      </c>
    </row>
    <row r="46" spans="1:1" x14ac:dyDescent="0.25">
      <c r="A46" s="25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081, 19430214, 1, ////, 07</v>
      </c>
    </row>
    <row r="47" spans="1:1" x14ac:dyDescent="0.25">
      <c r="A47" s="25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081, 19430215, 1, ////, 07</v>
      </c>
    </row>
    <row r="48" spans="1:1" x14ac:dyDescent="0.25">
      <c r="A48" s="25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081, 19430216, 1, ////, 07</v>
      </c>
    </row>
    <row r="49" spans="1:1" x14ac:dyDescent="0.25">
      <c r="A49" s="25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081, 19430217, 1, ////, 07</v>
      </c>
    </row>
    <row r="50" spans="1:1" x14ac:dyDescent="0.25">
      <c r="A50" s="25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081, 19430218, 1, ////, 07</v>
      </c>
    </row>
    <row r="51" spans="1:1" x14ac:dyDescent="0.25">
      <c r="A51" s="25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081, 19430219, 1, ////, 07</v>
      </c>
    </row>
    <row r="52" spans="1:1" x14ac:dyDescent="0.25">
      <c r="A52" s="25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081, 19430220, 1, ////, 07</v>
      </c>
    </row>
    <row r="53" spans="1:1" x14ac:dyDescent="0.25">
      <c r="A53" s="25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081, 19430221, 1, ////, 07</v>
      </c>
    </row>
    <row r="54" spans="1:1" x14ac:dyDescent="0.25">
      <c r="A54" s="25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081, 19430222, 1, ////, 07</v>
      </c>
    </row>
    <row r="55" spans="1:1" x14ac:dyDescent="0.25">
      <c r="A55" s="25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081, 19430223, 1, ////, 07</v>
      </c>
    </row>
    <row r="56" spans="1:1" x14ac:dyDescent="0.25">
      <c r="A56" s="25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081, 19430224, 1, ////, 07</v>
      </c>
    </row>
    <row r="57" spans="1:1" x14ac:dyDescent="0.25">
      <c r="A57" s="25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081, 19430225, 1, ////, 07</v>
      </c>
    </row>
    <row r="58" spans="1:1" x14ac:dyDescent="0.25">
      <c r="A58" s="25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081, 19430226, 1, ////, 07</v>
      </c>
    </row>
    <row r="59" spans="1:1" x14ac:dyDescent="0.25">
      <c r="A59" s="25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081, 19430227, 1, ////, 07</v>
      </c>
    </row>
    <row r="60" spans="1:1" x14ac:dyDescent="0.25">
      <c r="A60" s="25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081, 19430228, 1, ////, 07</v>
      </c>
    </row>
    <row r="61" spans="1:1" x14ac:dyDescent="0.25">
      <c r="A61" s="25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081, 19430301, 1, ////, 07</v>
      </c>
    </row>
    <row r="62" spans="1:1" x14ac:dyDescent="0.25">
      <c r="A62" s="25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081, 19430302, 1, ////, 07</v>
      </c>
    </row>
    <row r="63" spans="1:1" x14ac:dyDescent="0.25">
      <c r="A63" s="25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081, 19430303, 1, ////, 07</v>
      </c>
    </row>
    <row r="64" spans="1:1" x14ac:dyDescent="0.25">
      <c r="A64" s="25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081, 19430304, 1, ////, 07</v>
      </c>
    </row>
    <row r="65" spans="1:1" x14ac:dyDescent="0.25">
      <c r="A65" s="25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081, 19430305, 1, ////, 07</v>
      </c>
    </row>
    <row r="66" spans="1:1" x14ac:dyDescent="0.25">
      <c r="A66" s="25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081, 19430306, 1, ////, 07</v>
      </c>
    </row>
    <row r="67" spans="1:1" x14ac:dyDescent="0.25">
      <c r="A67" s="25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081, 19430307, 1, ////, 07</v>
      </c>
    </row>
    <row r="68" spans="1:1" x14ac:dyDescent="0.25">
      <c r="A68" s="25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081, 19430308, 1, ////, 07</v>
      </c>
    </row>
    <row r="69" spans="1:1" x14ac:dyDescent="0.25">
      <c r="A69" s="25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081, 19430309, 1, ////, 07</v>
      </c>
    </row>
    <row r="70" spans="1:1" x14ac:dyDescent="0.25">
      <c r="A70" s="25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081, 19430310, 1, ////, 07</v>
      </c>
    </row>
    <row r="71" spans="1:1" x14ac:dyDescent="0.25">
      <c r="A71" s="25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081, 19430311, 1, ////, 07</v>
      </c>
    </row>
    <row r="72" spans="1:1" x14ac:dyDescent="0.25">
      <c r="A72" s="25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081, 19430312, 1, ////, 07</v>
      </c>
    </row>
    <row r="73" spans="1:1" x14ac:dyDescent="0.25">
      <c r="A73" s="25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081, 19430313, 1, ////, 07</v>
      </c>
    </row>
    <row r="74" spans="1:1" x14ac:dyDescent="0.25">
      <c r="A74" s="25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081, 19430314, 1, ////, 07</v>
      </c>
    </row>
    <row r="75" spans="1:1" x14ac:dyDescent="0.25">
      <c r="A75" s="25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081, 19430315, 1, ////, 07</v>
      </c>
    </row>
    <row r="76" spans="1:1" x14ac:dyDescent="0.25">
      <c r="A76" s="25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081, 19430316, 1, ////, 07</v>
      </c>
    </row>
    <row r="77" spans="1:1" x14ac:dyDescent="0.25">
      <c r="A77" s="25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081, 19430317, 1, ////, 07</v>
      </c>
    </row>
    <row r="78" spans="1:1" x14ac:dyDescent="0.25">
      <c r="A78" s="25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081, 19430318, 1, ////, 07</v>
      </c>
    </row>
    <row r="79" spans="1:1" x14ac:dyDescent="0.25">
      <c r="A79" s="25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081, 19430319, 1, ////, 07</v>
      </c>
    </row>
    <row r="80" spans="1:1" x14ac:dyDescent="0.25">
      <c r="A80" s="25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081, 19430320, 1, ////, 07</v>
      </c>
    </row>
    <row r="81" spans="1:1" x14ac:dyDescent="0.25">
      <c r="A81" s="25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081, 19430321, 1, ////, 07</v>
      </c>
    </row>
    <row r="82" spans="1:1" x14ac:dyDescent="0.25">
      <c r="A82" s="25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081, 19430322, 1, ////, 07</v>
      </c>
    </row>
    <row r="83" spans="1:1" x14ac:dyDescent="0.25">
      <c r="A83" s="25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081, 19430323, 1, ////, 07</v>
      </c>
    </row>
    <row r="84" spans="1:1" x14ac:dyDescent="0.25">
      <c r="A84" s="25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081, 19430324, 1, ////, 07</v>
      </c>
    </row>
    <row r="85" spans="1:1" x14ac:dyDescent="0.25">
      <c r="A85" s="25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081, 19430325, 1, ////, 07</v>
      </c>
    </row>
    <row r="86" spans="1:1" x14ac:dyDescent="0.25">
      <c r="A86" s="25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081, 19430326, 1, ////, 07</v>
      </c>
    </row>
    <row r="87" spans="1:1" x14ac:dyDescent="0.25">
      <c r="A87" s="25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081, 19430327, 1, ////, 07</v>
      </c>
    </row>
    <row r="88" spans="1:1" x14ac:dyDescent="0.25">
      <c r="A88" s="25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081, 19430328, 1, ////, 07</v>
      </c>
    </row>
    <row r="89" spans="1:1" x14ac:dyDescent="0.25">
      <c r="A89" s="25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081, 19430329, 1, ////, 07</v>
      </c>
    </row>
    <row r="90" spans="1:1" x14ac:dyDescent="0.25">
      <c r="A90" s="25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081, 19430330, 1, ////, 07</v>
      </c>
    </row>
    <row r="91" spans="1:1" x14ac:dyDescent="0.25">
      <c r="A91" s="25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081, 19430331, 1, ////, 07</v>
      </c>
    </row>
    <row r="92" spans="1:1" x14ac:dyDescent="0.25">
      <c r="A92" s="25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081, 19430401, 1,    0, 00</v>
      </c>
    </row>
    <row r="93" spans="1:1" x14ac:dyDescent="0.25">
      <c r="A93" s="25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081, 19430402, 1,    0, 00</v>
      </c>
    </row>
    <row r="94" spans="1:1" x14ac:dyDescent="0.25">
      <c r="A94" s="25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081, 19430403, 1,    0, 00</v>
      </c>
    </row>
    <row r="95" spans="1:1" x14ac:dyDescent="0.25">
      <c r="A95" s="25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081, 19430404, 1,    0, 00</v>
      </c>
    </row>
    <row r="96" spans="1:1" x14ac:dyDescent="0.25">
      <c r="A96" s="25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081, 19430405, 1,    0, 00</v>
      </c>
    </row>
    <row r="97" spans="1:1" x14ac:dyDescent="0.25">
      <c r="A97" s="25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081, 19430406, 1,    0, 00</v>
      </c>
    </row>
    <row r="98" spans="1:1" x14ac:dyDescent="0.25">
      <c r="A98" s="25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081, 19430407, 1,    0, 00</v>
      </c>
    </row>
    <row r="99" spans="1:1" x14ac:dyDescent="0.25">
      <c r="A99" s="25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081, 19430408, 1,    0, 00</v>
      </c>
    </row>
    <row r="100" spans="1:1" x14ac:dyDescent="0.25">
      <c r="A100" s="25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081, 19430409, 1,    0, 00</v>
      </c>
    </row>
    <row r="101" spans="1:1" x14ac:dyDescent="0.25">
      <c r="A101" s="25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081, 19430410, 1,    0, 00</v>
      </c>
    </row>
    <row r="102" spans="1:1" x14ac:dyDescent="0.25">
      <c r="A102" s="25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081, 19430411, 1,    0, 00</v>
      </c>
    </row>
    <row r="103" spans="1:1" x14ac:dyDescent="0.25">
      <c r="A103" s="25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081, 19430412, 1,  225, 00</v>
      </c>
    </row>
    <row r="104" spans="1:1" x14ac:dyDescent="0.25">
      <c r="A104" s="25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081, 19430413, 1,    0, 00</v>
      </c>
    </row>
    <row r="105" spans="1:1" x14ac:dyDescent="0.25">
      <c r="A105" s="25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081, 19430414, 1,    0, 00</v>
      </c>
    </row>
    <row r="106" spans="1:1" x14ac:dyDescent="0.25">
      <c r="A106" s="25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081, 19430415, 1,    0, 00</v>
      </c>
    </row>
    <row r="107" spans="1:1" x14ac:dyDescent="0.25">
      <c r="A107" s="25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081, 19430416, 1,    0, 00</v>
      </c>
    </row>
    <row r="108" spans="1:1" x14ac:dyDescent="0.25">
      <c r="A108" s="25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081, 19430417, 1,    0, 00</v>
      </c>
    </row>
    <row r="109" spans="1:1" x14ac:dyDescent="0.25">
      <c r="A109" s="25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081, 19430418, 1,    0, 00</v>
      </c>
    </row>
    <row r="110" spans="1:1" x14ac:dyDescent="0.25">
      <c r="A110" s="25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081, 19430419, 1,  160, 00</v>
      </c>
    </row>
    <row r="111" spans="1:1" x14ac:dyDescent="0.25">
      <c r="A111" s="25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081, 19430420, 1,    0, 00</v>
      </c>
    </row>
    <row r="112" spans="1:1" x14ac:dyDescent="0.25">
      <c r="A112" s="25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081, 19430421, 1,    0, 00</v>
      </c>
    </row>
    <row r="113" spans="1:1" x14ac:dyDescent="0.25">
      <c r="A113" s="25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081, 19430422, 1,    0, 00</v>
      </c>
    </row>
    <row r="114" spans="1:1" x14ac:dyDescent="0.25">
      <c r="A114" s="25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081, 19430423, 1,    0, 00</v>
      </c>
    </row>
    <row r="115" spans="1:1" x14ac:dyDescent="0.25">
      <c r="A115" s="25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081, 19430424, 1,    0, 00</v>
      </c>
    </row>
    <row r="116" spans="1:1" x14ac:dyDescent="0.25">
      <c r="A116" s="25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081, 19430425, 1,    0, 00</v>
      </c>
    </row>
    <row r="117" spans="1:1" x14ac:dyDescent="0.25">
      <c r="A117" s="25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081, 19430426, 1,    0, 00</v>
      </c>
    </row>
    <row r="118" spans="1:1" x14ac:dyDescent="0.25">
      <c r="A118" s="25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081, 19430427, 1,    0, 00</v>
      </c>
    </row>
    <row r="119" spans="1:1" x14ac:dyDescent="0.25">
      <c r="A119" s="25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081, 19430428, 1,    0, 00</v>
      </c>
    </row>
    <row r="120" spans="1:1" x14ac:dyDescent="0.25">
      <c r="A120" s="25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081, 19430429, 1,    0, 00</v>
      </c>
    </row>
    <row r="121" spans="1:1" x14ac:dyDescent="0.25">
      <c r="A121" s="25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081, 19430430, 1,    0, 00</v>
      </c>
    </row>
    <row r="122" spans="1:1" x14ac:dyDescent="0.25">
      <c r="A122" s="25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081, 19430501, 1, ////, 07</v>
      </c>
    </row>
    <row r="123" spans="1:1" x14ac:dyDescent="0.25">
      <c r="A123" s="25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081, 19430502, 1, ////, 07</v>
      </c>
    </row>
    <row r="124" spans="1:1" x14ac:dyDescent="0.25">
      <c r="A124" s="25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081, 19430503, 1, ////, 07</v>
      </c>
    </row>
    <row r="125" spans="1:1" x14ac:dyDescent="0.25">
      <c r="A125" s="25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081, 19430504, 1, ////, 07</v>
      </c>
    </row>
    <row r="126" spans="1:1" x14ac:dyDescent="0.25">
      <c r="A126" s="25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081, 19430505, 1, ////, 07</v>
      </c>
    </row>
    <row r="127" spans="1:1" x14ac:dyDescent="0.25">
      <c r="A127" s="25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081, 19430506, 1, ////, 07</v>
      </c>
    </row>
    <row r="128" spans="1:1" x14ac:dyDescent="0.25">
      <c r="A128" s="25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081, 19430507, 1, ////, 07</v>
      </c>
    </row>
    <row r="129" spans="1:1" x14ac:dyDescent="0.25">
      <c r="A129" s="25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081, 19430508, 1, ////, 07</v>
      </c>
    </row>
    <row r="130" spans="1:1" x14ac:dyDescent="0.25">
      <c r="A130" s="25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081, 19430509, 1, ////, 07</v>
      </c>
    </row>
    <row r="131" spans="1:1" x14ac:dyDescent="0.25">
      <c r="A131" s="25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081, 19430510, 1, ////, 07</v>
      </c>
    </row>
    <row r="132" spans="1:1" x14ac:dyDescent="0.25">
      <c r="A132" s="25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081, 19430511, 1, ////, 07</v>
      </c>
    </row>
    <row r="133" spans="1:1" x14ac:dyDescent="0.25">
      <c r="A133" s="25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081, 19430512, 1, ////, 07</v>
      </c>
    </row>
    <row r="134" spans="1:1" x14ac:dyDescent="0.25">
      <c r="A134" s="25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081, 19430513, 1, ////, 07</v>
      </c>
    </row>
    <row r="135" spans="1:1" x14ac:dyDescent="0.25">
      <c r="A135" s="25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081, 19430514, 1, ////, 07</v>
      </c>
    </row>
    <row r="136" spans="1:1" x14ac:dyDescent="0.25">
      <c r="A136" s="25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081, 19430515, 1, ////, 07</v>
      </c>
    </row>
    <row r="137" spans="1:1" x14ac:dyDescent="0.25">
      <c r="A137" s="25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081, 19430516, 1, ////, 07</v>
      </c>
    </row>
    <row r="138" spans="1:1" x14ac:dyDescent="0.25">
      <c r="A138" s="25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081, 19430517, 1, ////, 07</v>
      </c>
    </row>
    <row r="139" spans="1:1" x14ac:dyDescent="0.25">
      <c r="A139" s="25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081, 19430518, 1, ////, 07</v>
      </c>
    </row>
    <row r="140" spans="1:1" x14ac:dyDescent="0.25">
      <c r="A140" s="25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081, 19430519, 1, ////, 07</v>
      </c>
    </row>
    <row r="141" spans="1:1" x14ac:dyDescent="0.25">
      <c r="A141" s="25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081, 19430520, 1, ////, 07</v>
      </c>
    </row>
    <row r="142" spans="1:1" x14ac:dyDescent="0.25">
      <c r="A142" s="25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081, 19430521, 1, ////, 07</v>
      </c>
    </row>
    <row r="143" spans="1:1" x14ac:dyDescent="0.25">
      <c r="A143" s="25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081, 19430522, 1, ////, 07</v>
      </c>
    </row>
    <row r="144" spans="1:1" x14ac:dyDescent="0.25">
      <c r="A144" s="25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081, 19430523, 1, ////, 07</v>
      </c>
    </row>
    <row r="145" spans="1:1" x14ac:dyDescent="0.25">
      <c r="A145" s="25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081, 19430524, 1, ////, 07</v>
      </c>
    </row>
    <row r="146" spans="1:1" x14ac:dyDescent="0.25">
      <c r="A146" s="25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081, 19430525, 1, ////, 07</v>
      </c>
    </row>
    <row r="147" spans="1:1" x14ac:dyDescent="0.25">
      <c r="A147" s="25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081, 19430526, 1, ////, 07</v>
      </c>
    </row>
    <row r="148" spans="1:1" x14ac:dyDescent="0.25">
      <c r="A148" s="25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081, 19430527, 1, ////, 07</v>
      </c>
    </row>
    <row r="149" spans="1:1" x14ac:dyDescent="0.25">
      <c r="A149" s="25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081, 19430528, 1, ////, 07</v>
      </c>
    </row>
    <row r="150" spans="1:1" x14ac:dyDescent="0.25">
      <c r="A150" s="25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081, 19430529, 1, ////, 07</v>
      </c>
    </row>
    <row r="151" spans="1:1" x14ac:dyDescent="0.25">
      <c r="A151" s="25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081, 19430530, 1, ////, 07</v>
      </c>
    </row>
    <row r="152" spans="1:1" x14ac:dyDescent="0.25">
      <c r="A152" s="25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081, 19430531, 1, ////, 07</v>
      </c>
    </row>
    <row r="153" spans="1:1" x14ac:dyDescent="0.25">
      <c r="A153" s="25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081, 19430601, 1, ////, 07</v>
      </c>
    </row>
    <row r="154" spans="1:1" x14ac:dyDescent="0.25">
      <c r="A154" s="25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081, 19430602, 1, ////, 07</v>
      </c>
    </row>
    <row r="155" spans="1:1" x14ac:dyDescent="0.25">
      <c r="A155" s="25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081, 19430603, 1, ////, 07</v>
      </c>
    </row>
    <row r="156" spans="1:1" x14ac:dyDescent="0.25">
      <c r="A156" s="25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081, 19430604, 1, ////, 07</v>
      </c>
    </row>
    <row r="157" spans="1:1" x14ac:dyDescent="0.25">
      <c r="A157" s="25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081, 19430605, 1, ////, 07</v>
      </c>
    </row>
    <row r="158" spans="1:1" x14ac:dyDescent="0.25">
      <c r="A158" s="25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081, 19430606, 1, ////, 07</v>
      </c>
    </row>
    <row r="159" spans="1:1" x14ac:dyDescent="0.25">
      <c r="A159" s="25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081, 19430607, 1, ////, 07</v>
      </c>
    </row>
    <row r="160" spans="1:1" x14ac:dyDescent="0.25">
      <c r="A160" s="25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081, 19430608, 1, ////, 07</v>
      </c>
    </row>
    <row r="161" spans="1:1" x14ac:dyDescent="0.25">
      <c r="A161" s="25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081, 19430609, 1, ////, 07</v>
      </c>
    </row>
    <row r="162" spans="1:1" x14ac:dyDescent="0.25">
      <c r="A162" s="25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081, 19430610, 1, ////, 07</v>
      </c>
    </row>
    <row r="163" spans="1:1" x14ac:dyDescent="0.25">
      <c r="A163" s="25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081, 19430611, 1, ////, 07</v>
      </c>
    </row>
    <row r="164" spans="1:1" x14ac:dyDescent="0.25">
      <c r="A164" s="25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081, 19430612, 1, ////, 07</v>
      </c>
    </row>
    <row r="165" spans="1:1" x14ac:dyDescent="0.25">
      <c r="A165" s="25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081, 19430613, 1, ////, 07</v>
      </c>
    </row>
    <row r="166" spans="1:1" x14ac:dyDescent="0.25">
      <c r="A166" s="25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081, 19430614, 1, ////, 07</v>
      </c>
    </row>
    <row r="167" spans="1:1" x14ac:dyDescent="0.25">
      <c r="A167" s="25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081, 19430615, 1, ////, 07</v>
      </c>
    </row>
    <row r="168" spans="1:1" x14ac:dyDescent="0.25">
      <c r="A168" s="25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081, 19430616, 1, ////, 07</v>
      </c>
    </row>
    <row r="169" spans="1:1" x14ac:dyDescent="0.25">
      <c r="A169" s="25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081, 19430617, 1, ////, 07</v>
      </c>
    </row>
    <row r="170" spans="1:1" x14ac:dyDescent="0.25">
      <c r="A170" s="25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081, 19430618, 1, ////, 07</v>
      </c>
    </row>
    <row r="171" spans="1:1" x14ac:dyDescent="0.25">
      <c r="A171" s="25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081, 19430619, 1, ////, 07</v>
      </c>
    </row>
    <row r="172" spans="1:1" x14ac:dyDescent="0.25">
      <c r="A172" s="25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081, 19430620, 1, ////, 07</v>
      </c>
    </row>
    <row r="173" spans="1:1" x14ac:dyDescent="0.25">
      <c r="A173" s="25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081, 19430621, 1, ////, 07</v>
      </c>
    </row>
    <row r="174" spans="1:1" x14ac:dyDescent="0.25">
      <c r="A174" s="25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081, 19430622, 1, ////, 07</v>
      </c>
    </row>
    <row r="175" spans="1:1" x14ac:dyDescent="0.25">
      <c r="A175" s="25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081, 19430623, 1, ////, 07</v>
      </c>
    </row>
    <row r="176" spans="1:1" x14ac:dyDescent="0.25">
      <c r="A176" s="25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081, 19430624, 1, ////, 07</v>
      </c>
    </row>
    <row r="177" spans="1:1" x14ac:dyDescent="0.25">
      <c r="A177" s="25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081, 19430625, 1, ////, 07</v>
      </c>
    </row>
    <row r="178" spans="1:1" x14ac:dyDescent="0.25">
      <c r="A178" s="25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081, 19430626, 1, ////, 07</v>
      </c>
    </row>
    <row r="179" spans="1:1" x14ac:dyDescent="0.25">
      <c r="A179" s="25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081, 19430627, 1, ////, 07</v>
      </c>
    </row>
    <row r="180" spans="1:1" x14ac:dyDescent="0.25">
      <c r="A180" s="25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081, 19430628, 1, ////, 07</v>
      </c>
    </row>
    <row r="181" spans="1:1" x14ac:dyDescent="0.25">
      <c r="A181" s="25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081, 19430629, 1, ////, 07</v>
      </c>
    </row>
    <row r="182" spans="1:1" x14ac:dyDescent="0.25">
      <c r="A182" s="25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081, 19430630, 1, ////, 07</v>
      </c>
    </row>
    <row r="183" spans="1:1" x14ac:dyDescent="0.25">
      <c r="A183" s="25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081, 19430701, 1, ////, 07</v>
      </c>
    </row>
    <row r="184" spans="1:1" x14ac:dyDescent="0.25">
      <c r="A184" s="25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081, 19430702, 1, ////, 07</v>
      </c>
    </row>
    <row r="185" spans="1:1" x14ac:dyDescent="0.25">
      <c r="A185" s="25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081, 19430703, 1, ////, 07</v>
      </c>
    </row>
    <row r="186" spans="1:1" x14ac:dyDescent="0.25">
      <c r="A186" s="25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081, 19430704, 1, ////, 07</v>
      </c>
    </row>
    <row r="187" spans="1:1" x14ac:dyDescent="0.25">
      <c r="A187" s="25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081, 19430705, 1, ////, 07</v>
      </c>
    </row>
    <row r="188" spans="1:1" x14ac:dyDescent="0.25">
      <c r="A188" s="25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081, 19430706, 1, ////, 07</v>
      </c>
    </row>
    <row r="189" spans="1:1" x14ac:dyDescent="0.25">
      <c r="A189" s="25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081, 19430707, 1, ////, 07</v>
      </c>
    </row>
    <row r="190" spans="1:1" x14ac:dyDescent="0.25">
      <c r="A190" s="25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081, 19430708, 1, ////, 07</v>
      </c>
    </row>
    <row r="191" spans="1:1" x14ac:dyDescent="0.25">
      <c r="A191" s="25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081, 19430709, 1, ////, 07</v>
      </c>
    </row>
    <row r="192" spans="1:1" x14ac:dyDescent="0.25">
      <c r="A192" s="25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081, 19430710, 1, ////, 07</v>
      </c>
    </row>
    <row r="193" spans="1:1" x14ac:dyDescent="0.25">
      <c r="A193" s="25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081, 19430711, 1, ////, 07</v>
      </c>
    </row>
    <row r="194" spans="1:1" x14ac:dyDescent="0.25">
      <c r="A194" s="25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081, 19430712, 1, ////, 07</v>
      </c>
    </row>
    <row r="195" spans="1:1" x14ac:dyDescent="0.25">
      <c r="A195" s="25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081, 19430713, 1, ////, 07</v>
      </c>
    </row>
    <row r="196" spans="1:1" x14ac:dyDescent="0.25">
      <c r="A196" s="25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081, 19430714, 1, ////, 07</v>
      </c>
    </row>
    <row r="197" spans="1:1" x14ac:dyDescent="0.25">
      <c r="A197" s="25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081, 19430715, 1, ////, 07</v>
      </c>
    </row>
    <row r="198" spans="1:1" x14ac:dyDescent="0.25">
      <c r="A198" s="25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081, 19430716, 1, ////, 07</v>
      </c>
    </row>
    <row r="199" spans="1:1" x14ac:dyDescent="0.25">
      <c r="A199" s="25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081, 19430717, 1, ////, 07</v>
      </c>
    </row>
    <row r="200" spans="1:1" x14ac:dyDescent="0.25">
      <c r="A200" s="25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081, 19430718, 1, ////, 07</v>
      </c>
    </row>
    <row r="201" spans="1:1" x14ac:dyDescent="0.25">
      <c r="A201" s="25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081, 19430719, 1, ////, 07</v>
      </c>
    </row>
    <row r="202" spans="1:1" x14ac:dyDescent="0.25">
      <c r="A202" s="25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081, 19430720, 1, ////, 07</v>
      </c>
    </row>
    <row r="203" spans="1:1" x14ac:dyDescent="0.25">
      <c r="A203" s="25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081, 19430721, 1, ////, 07</v>
      </c>
    </row>
    <row r="204" spans="1:1" x14ac:dyDescent="0.25">
      <c r="A204" s="25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081, 19430722, 1, ////, 07</v>
      </c>
    </row>
    <row r="205" spans="1:1" x14ac:dyDescent="0.25">
      <c r="A205" s="25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081, 19430723, 1, ////, 07</v>
      </c>
    </row>
    <row r="206" spans="1:1" x14ac:dyDescent="0.25">
      <c r="A206" s="25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081, 19430724, 1, ////, 07</v>
      </c>
    </row>
    <row r="207" spans="1:1" x14ac:dyDescent="0.25">
      <c r="A207" s="25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081, 19430725, 1, ////, 07</v>
      </c>
    </row>
    <row r="208" spans="1:1" x14ac:dyDescent="0.25">
      <c r="A208" s="25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081, 19430726, 1, ////, 07</v>
      </c>
    </row>
    <row r="209" spans="1:1" x14ac:dyDescent="0.25">
      <c r="A209" s="25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081, 19430727, 1, ////, 07</v>
      </c>
    </row>
    <row r="210" spans="1:1" x14ac:dyDescent="0.25">
      <c r="A210" s="25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081, 19430728, 1, ////, 07</v>
      </c>
    </row>
    <row r="211" spans="1:1" x14ac:dyDescent="0.25">
      <c r="A211" s="25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081, 19430729, 1, ////, 07</v>
      </c>
    </row>
    <row r="212" spans="1:1" x14ac:dyDescent="0.25">
      <c r="A212" s="25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081, 19430730, 1, ////, 07</v>
      </c>
    </row>
    <row r="213" spans="1:1" x14ac:dyDescent="0.25">
      <c r="A213" s="25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081, 19430731, 1, ////, 07</v>
      </c>
    </row>
    <row r="214" spans="1:1" x14ac:dyDescent="0.25">
      <c r="A214" s="25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081, 19430801, 1,    0, 00</v>
      </c>
    </row>
    <row r="215" spans="1:1" x14ac:dyDescent="0.25">
      <c r="A215" s="25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081, 19430802, 1,    0, 00</v>
      </c>
    </row>
    <row r="216" spans="1:1" x14ac:dyDescent="0.25">
      <c r="A216" s="25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081, 19430803, 1,  105, 00</v>
      </c>
    </row>
    <row r="217" spans="1:1" x14ac:dyDescent="0.25">
      <c r="A217" s="25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081, 19430804, 1,    0, 00</v>
      </c>
    </row>
    <row r="218" spans="1:1" x14ac:dyDescent="0.25">
      <c r="A218" s="25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081, 19430805, 1,  230, 00</v>
      </c>
    </row>
    <row r="219" spans="1:1" x14ac:dyDescent="0.25">
      <c r="A219" s="25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081, 19430806, 1,    0, 00</v>
      </c>
    </row>
    <row r="220" spans="1:1" x14ac:dyDescent="0.25">
      <c r="A220" s="25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081, 19430807, 1,    0, 00</v>
      </c>
    </row>
    <row r="221" spans="1:1" x14ac:dyDescent="0.25">
      <c r="A221" s="25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081, 19430808, 1,    0, 00</v>
      </c>
    </row>
    <row r="222" spans="1:1" x14ac:dyDescent="0.25">
      <c r="A222" s="25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081, 19430809, 1,    0, 00</v>
      </c>
    </row>
    <row r="223" spans="1:1" x14ac:dyDescent="0.25">
      <c r="A223" s="25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081, 19430810, 1,    0, 00</v>
      </c>
    </row>
    <row r="224" spans="1:1" x14ac:dyDescent="0.25">
      <c r="A224" s="25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081, 19430811, 1,    0, 00</v>
      </c>
    </row>
    <row r="225" spans="1:1" x14ac:dyDescent="0.25">
      <c r="A225" s="25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081, 19430812, 1,    0, 00</v>
      </c>
    </row>
    <row r="226" spans="1:1" x14ac:dyDescent="0.25">
      <c r="A226" s="25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081, 19430813, 1,    0, 00</v>
      </c>
    </row>
    <row r="227" spans="1:1" x14ac:dyDescent="0.25">
      <c r="A227" s="25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081, 19430814, 1,    0, 00</v>
      </c>
    </row>
    <row r="228" spans="1:1" x14ac:dyDescent="0.25">
      <c r="A228" s="25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081, 19430815, 1,  200, 00</v>
      </c>
    </row>
    <row r="229" spans="1:1" x14ac:dyDescent="0.25">
      <c r="A229" s="25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081, 19430816, 1,    0, 00</v>
      </c>
    </row>
    <row r="230" spans="1:1" x14ac:dyDescent="0.25">
      <c r="A230" s="25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081, 19430817, 1,  260, 00</v>
      </c>
    </row>
    <row r="231" spans="1:1" x14ac:dyDescent="0.25">
      <c r="A231" s="25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081, 19430818, 1,    0, 00</v>
      </c>
    </row>
    <row r="232" spans="1:1" x14ac:dyDescent="0.25">
      <c r="A232" s="25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081, 19430819, 1,    0, 00</v>
      </c>
    </row>
    <row r="233" spans="1:1" x14ac:dyDescent="0.25">
      <c r="A233" s="25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081, 19430820, 1,    0, 00</v>
      </c>
    </row>
    <row r="234" spans="1:1" x14ac:dyDescent="0.25">
      <c r="A234" s="25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081, 19430821, 1,    0, 00</v>
      </c>
    </row>
    <row r="235" spans="1:1" x14ac:dyDescent="0.25">
      <c r="A235" s="25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081, 19430822, 1,    0, 00</v>
      </c>
    </row>
    <row r="236" spans="1:1" x14ac:dyDescent="0.25">
      <c r="A236" s="25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081, 19430823, 1,    0, 00</v>
      </c>
    </row>
    <row r="237" spans="1:1" x14ac:dyDescent="0.25">
      <c r="A237" s="25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081, 19430824, 1,    0, 00</v>
      </c>
    </row>
    <row r="238" spans="1:1" x14ac:dyDescent="0.25">
      <c r="A238" s="25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081, 19430825, 1,    0, 00</v>
      </c>
    </row>
    <row r="239" spans="1:1" x14ac:dyDescent="0.25">
      <c r="A239" s="25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081, 19430826, 1,  145, 00</v>
      </c>
    </row>
    <row r="240" spans="1:1" x14ac:dyDescent="0.25">
      <c r="A240" s="25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081, 19430827, 1,    0, 00</v>
      </c>
    </row>
    <row r="241" spans="1:1" x14ac:dyDescent="0.25">
      <c r="A241" s="25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081, 19430828, 1,    0, 00</v>
      </c>
    </row>
    <row r="242" spans="1:1" x14ac:dyDescent="0.25">
      <c r="A242" s="25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081, 19430829, 1,    0, 00</v>
      </c>
    </row>
    <row r="243" spans="1:1" x14ac:dyDescent="0.25">
      <c r="A243" s="25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081, 19430830, 1,    0, 00</v>
      </c>
    </row>
    <row r="244" spans="1:1" x14ac:dyDescent="0.25">
      <c r="A244" s="25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081, 19430831, 1,    0, 00</v>
      </c>
    </row>
    <row r="245" spans="1:1" x14ac:dyDescent="0.25">
      <c r="A245" s="25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081, 19430901, 1, ////, 07</v>
      </c>
    </row>
    <row r="246" spans="1:1" x14ac:dyDescent="0.25">
      <c r="A246" s="25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081, 19430902, 1, ////, 07</v>
      </c>
    </row>
    <row r="247" spans="1:1" x14ac:dyDescent="0.25">
      <c r="A247" s="25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081, 19430903, 1, ////, 07</v>
      </c>
    </row>
    <row r="248" spans="1:1" x14ac:dyDescent="0.25">
      <c r="A248" s="25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081, 19430904, 1, ////, 07</v>
      </c>
    </row>
    <row r="249" spans="1:1" x14ac:dyDescent="0.25">
      <c r="A249" s="25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081, 19430905, 1, ////, 07</v>
      </c>
    </row>
    <row r="250" spans="1:1" x14ac:dyDescent="0.25">
      <c r="A250" s="25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081, 19430906, 1, ////, 07</v>
      </c>
    </row>
    <row r="251" spans="1:1" x14ac:dyDescent="0.25">
      <c r="A251" s="25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081, 19430907, 1, ////, 07</v>
      </c>
    </row>
    <row r="252" spans="1:1" x14ac:dyDescent="0.25">
      <c r="A252" s="25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081, 19430908, 1, ////, 07</v>
      </c>
    </row>
    <row r="253" spans="1:1" x14ac:dyDescent="0.25">
      <c r="A253" s="25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081, 19430909, 1, ////, 07</v>
      </c>
    </row>
    <row r="254" spans="1:1" x14ac:dyDescent="0.25">
      <c r="A254" s="25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081, 19430910, 1, ////, 07</v>
      </c>
    </row>
    <row r="255" spans="1:1" x14ac:dyDescent="0.25">
      <c r="A255" s="25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081, 19430911, 1, ////, 07</v>
      </c>
    </row>
    <row r="256" spans="1:1" x14ac:dyDescent="0.25">
      <c r="A256" s="25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081, 19430912, 1, ////, 07</v>
      </c>
    </row>
    <row r="257" spans="1:1" x14ac:dyDescent="0.25">
      <c r="A257" s="25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081, 19430913, 1, ////, 07</v>
      </c>
    </row>
    <row r="258" spans="1:1" x14ac:dyDescent="0.25">
      <c r="A258" s="25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081, 19430914, 1, ////, 07</v>
      </c>
    </row>
    <row r="259" spans="1:1" x14ac:dyDescent="0.25">
      <c r="A259" s="25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081, 19430915, 1, ////, 07</v>
      </c>
    </row>
    <row r="260" spans="1:1" x14ac:dyDescent="0.25">
      <c r="A260" s="25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081, 19430916, 1, ////, 07</v>
      </c>
    </row>
    <row r="261" spans="1:1" x14ac:dyDescent="0.25">
      <c r="A261" s="25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081, 19430917, 1, ////, 07</v>
      </c>
    </row>
    <row r="262" spans="1:1" x14ac:dyDescent="0.25">
      <c r="A262" s="25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081, 19430918, 1, ////, 07</v>
      </c>
    </row>
    <row r="263" spans="1:1" x14ac:dyDescent="0.25">
      <c r="A263" s="25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081, 19430919, 1, ////, 07</v>
      </c>
    </row>
    <row r="264" spans="1:1" x14ac:dyDescent="0.25">
      <c r="A264" s="25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081, 19430920, 1, ////, 07</v>
      </c>
    </row>
    <row r="265" spans="1:1" x14ac:dyDescent="0.25">
      <c r="A265" s="25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081, 19430921, 1, ////, 07</v>
      </c>
    </row>
    <row r="266" spans="1:1" x14ac:dyDescent="0.25">
      <c r="A266" s="25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081, 19430922, 1, ////, 07</v>
      </c>
    </row>
    <row r="267" spans="1:1" x14ac:dyDescent="0.25">
      <c r="A267" s="25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081, 19430923, 1, ////, 07</v>
      </c>
    </row>
    <row r="268" spans="1:1" x14ac:dyDescent="0.25">
      <c r="A268" s="25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081, 19430924, 1, ////, 07</v>
      </c>
    </row>
    <row r="269" spans="1:1" x14ac:dyDescent="0.25">
      <c r="A269" s="25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081, 19430925, 1, ////, 07</v>
      </c>
    </row>
    <row r="270" spans="1:1" x14ac:dyDescent="0.25">
      <c r="A270" s="25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081, 19430926, 1, ////, 07</v>
      </c>
    </row>
    <row r="271" spans="1:1" x14ac:dyDescent="0.25">
      <c r="A271" s="25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081, 19430927, 1, ////, 07</v>
      </c>
    </row>
    <row r="272" spans="1:1" x14ac:dyDescent="0.25">
      <c r="A272" s="25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081, 19430928, 1, ////, 07</v>
      </c>
    </row>
    <row r="273" spans="1:1" x14ac:dyDescent="0.25">
      <c r="A273" s="25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081, 19430929, 1, ////, 07</v>
      </c>
    </row>
    <row r="274" spans="1:1" x14ac:dyDescent="0.25">
      <c r="A274" s="25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081, 19430930, 1, ////, 07</v>
      </c>
    </row>
    <row r="275" spans="1:1" x14ac:dyDescent="0.25">
      <c r="A275" s="25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081, 19431001, 1, ////, 07</v>
      </c>
    </row>
    <row r="276" spans="1:1" x14ac:dyDescent="0.25">
      <c r="A276" s="25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081, 19431002, 1, ////, 07</v>
      </c>
    </row>
    <row r="277" spans="1:1" x14ac:dyDescent="0.25">
      <c r="A277" s="25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081, 19431003, 1, ////, 07</v>
      </c>
    </row>
    <row r="278" spans="1:1" x14ac:dyDescent="0.25">
      <c r="A278" s="25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081, 19431004, 1, ////, 07</v>
      </c>
    </row>
    <row r="279" spans="1:1" x14ac:dyDescent="0.25">
      <c r="A279" s="25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081, 19431005, 1, ////, 07</v>
      </c>
    </row>
    <row r="280" spans="1:1" x14ac:dyDescent="0.25">
      <c r="A280" s="25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081, 19431006, 1, ////, 07</v>
      </c>
    </row>
    <row r="281" spans="1:1" x14ac:dyDescent="0.25">
      <c r="A281" s="25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081, 19431007, 1, ////, 07</v>
      </c>
    </row>
    <row r="282" spans="1:1" x14ac:dyDescent="0.25">
      <c r="A282" s="25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081, 19431008, 1, ////, 07</v>
      </c>
    </row>
    <row r="283" spans="1:1" x14ac:dyDescent="0.25">
      <c r="A283" s="25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081, 19431009, 1, ////, 07</v>
      </c>
    </row>
    <row r="284" spans="1:1" x14ac:dyDescent="0.25">
      <c r="A284" s="25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081, 19431010, 1, ////, 07</v>
      </c>
    </row>
    <row r="285" spans="1:1" x14ac:dyDescent="0.25">
      <c r="A285" s="25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081, 19431011, 1, ////, 07</v>
      </c>
    </row>
    <row r="286" spans="1:1" x14ac:dyDescent="0.25">
      <c r="A286" s="25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081, 19431012, 1, ////, 07</v>
      </c>
    </row>
    <row r="287" spans="1:1" x14ac:dyDescent="0.25">
      <c r="A287" s="25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081, 19431013, 1, ////, 07</v>
      </c>
    </row>
    <row r="288" spans="1:1" x14ac:dyDescent="0.25">
      <c r="A288" s="25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081, 19431014, 1, ////, 07</v>
      </c>
    </row>
    <row r="289" spans="1:1" x14ac:dyDescent="0.25">
      <c r="A289" s="25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081, 19431015, 1, ////, 07</v>
      </c>
    </row>
    <row r="290" spans="1:1" x14ac:dyDescent="0.25">
      <c r="A290" s="25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081, 19431016, 1, ////, 07</v>
      </c>
    </row>
    <row r="291" spans="1:1" x14ac:dyDescent="0.25">
      <c r="A291" s="25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081, 19431017, 1, ////, 07</v>
      </c>
    </row>
    <row r="292" spans="1:1" x14ac:dyDescent="0.25">
      <c r="A292" s="25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081, 19431018, 1, ////, 07</v>
      </c>
    </row>
    <row r="293" spans="1:1" x14ac:dyDescent="0.25">
      <c r="A293" s="25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081, 19431019, 1, ////, 07</v>
      </c>
    </row>
    <row r="294" spans="1:1" x14ac:dyDescent="0.25">
      <c r="A294" s="25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081, 19431020, 1, ////, 07</v>
      </c>
    </row>
    <row r="295" spans="1:1" x14ac:dyDescent="0.25">
      <c r="A295" s="25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081, 19431021, 1, ////, 07</v>
      </c>
    </row>
    <row r="296" spans="1:1" x14ac:dyDescent="0.25">
      <c r="A296" s="25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081, 19431022, 1, ////, 07</v>
      </c>
    </row>
    <row r="297" spans="1:1" x14ac:dyDescent="0.25">
      <c r="A297" s="25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081, 19431023, 1, ////, 07</v>
      </c>
    </row>
    <row r="298" spans="1:1" x14ac:dyDescent="0.25">
      <c r="A298" s="25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081, 19431024, 1, ////, 07</v>
      </c>
    </row>
    <row r="299" spans="1:1" x14ac:dyDescent="0.25">
      <c r="A299" s="25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081, 19431025, 1, ////, 07</v>
      </c>
    </row>
    <row r="300" spans="1:1" x14ac:dyDescent="0.25">
      <c r="A300" s="25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081, 19431026, 1, ////, 07</v>
      </c>
    </row>
    <row r="301" spans="1:1" x14ac:dyDescent="0.25">
      <c r="A301" s="25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081, 19431027, 1, ////, 07</v>
      </c>
    </row>
    <row r="302" spans="1:1" x14ac:dyDescent="0.25">
      <c r="A302" s="25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081, 19431028, 1, ////, 07</v>
      </c>
    </row>
    <row r="303" spans="1:1" x14ac:dyDescent="0.25">
      <c r="A303" s="25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081, 19431029, 1, ////, 07</v>
      </c>
    </row>
    <row r="304" spans="1:1" x14ac:dyDescent="0.25">
      <c r="A304" s="25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081, 19431030, 1, ////, 07</v>
      </c>
    </row>
    <row r="305" spans="1:1" x14ac:dyDescent="0.25">
      <c r="A305" s="25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081, 19431031, 1, ////, 07</v>
      </c>
    </row>
    <row r="306" spans="1:1" x14ac:dyDescent="0.25">
      <c r="A306" s="25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081, 19431101, 1, ////, 07</v>
      </c>
    </row>
    <row r="307" spans="1:1" x14ac:dyDescent="0.25">
      <c r="A307" s="25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081, 19431102, 1, ////, 07</v>
      </c>
    </row>
    <row r="308" spans="1:1" x14ac:dyDescent="0.25">
      <c r="A308" s="25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081, 19431103, 1, ////, 07</v>
      </c>
    </row>
    <row r="309" spans="1:1" x14ac:dyDescent="0.25">
      <c r="A309" s="25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081, 19431104, 1, ////, 07</v>
      </c>
    </row>
    <row r="310" spans="1:1" x14ac:dyDescent="0.25">
      <c r="A310" s="25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081, 19431105, 1, ////, 07</v>
      </c>
    </row>
    <row r="311" spans="1:1" x14ac:dyDescent="0.25">
      <c r="A311" s="25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081, 19431106, 1, ////, 07</v>
      </c>
    </row>
    <row r="312" spans="1:1" x14ac:dyDescent="0.25">
      <c r="A312" s="25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081, 19431107, 1, ////, 07</v>
      </c>
    </row>
    <row r="313" spans="1:1" x14ac:dyDescent="0.25">
      <c r="A313" s="25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081, 19431108, 1, ////, 07</v>
      </c>
    </row>
    <row r="314" spans="1:1" x14ac:dyDescent="0.25">
      <c r="A314" s="25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081, 19431109, 1, ////, 07</v>
      </c>
    </row>
    <row r="315" spans="1:1" x14ac:dyDescent="0.25">
      <c r="A315" s="25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081, 19431110, 1, ////, 07</v>
      </c>
    </row>
    <row r="316" spans="1:1" x14ac:dyDescent="0.25">
      <c r="A316" s="25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081, 19431111, 1, ////, 07</v>
      </c>
    </row>
    <row r="317" spans="1:1" x14ac:dyDescent="0.25">
      <c r="A317" s="25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081, 19431112, 1, ////, 07</v>
      </c>
    </row>
    <row r="318" spans="1:1" x14ac:dyDescent="0.25">
      <c r="A318" s="25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081, 19431113, 1, ////, 07</v>
      </c>
    </row>
    <row r="319" spans="1:1" x14ac:dyDescent="0.25">
      <c r="A319" s="25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081, 19431114, 1, ////, 07</v>
      </c>
    </row>
    <row r="320" spans="1:1" x14ac:dyDescent="0.25">
      <c r="A320" s="25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081, 19431115, 1, ////, 07</v>
      </c>
    </row>
    <row r="321" spans="1:1" x14ac:dyDescent="0.25">
      <c r="A321" s="25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081, 19431116, 1, ////, 07</v>
      </c>
    </row>
    <row r="322" spans="1:1" x14ac:dyDescent="0.25">
      <c r="A322" s="25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081, 19431117, 1, ////, 07</v>
      </c>
    </row>
    <row r="323" spans="1:1" x14ac:dyDescent="0.25">
      <c r="A323" s="25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081, 19431118, 1, ////, 07</v>
      </c>
    </row>
    <row r="324" spans="1:1" x14ac:dyDescent="0.25">
      <c r="A324" s="25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081, 19431119, 1, ////, 07</v>
      </c>
    </row>
    <row r="325" spans="1:1" x14ac:dyDescent="0.25">
      <c r="A325" s="25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081, 19431120, 1, ////, 07</v>
      </c>
    </row>
    <row r="326" spans="1:1" x14ac:dyDescent="0.25">
      <c r="A326" s="25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081, 19431121, 1, ////, 07</v>
      </c>
    </row>
    <row r="327" spans="1:1" x14ac:dyDescent="0.25">
      <c r="A327" s="25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081, 19431122, 1, ////, 07</v>
      </c>
    </row>
    <row r="328" spans="1:1" x14ac:dyDescent="0.25">
      <c r="A328" s="25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081, 19431123, 1, ////, 07</v>
      </c>
    </row>
    <row r="329" spans="1:1" x14ac:dyDescent="0.25">
      <c r="A329" s="25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081, 19431124, 1, ////, 07</v>
      </c>
    </row>
    <row r="330" spans="1:1" x14ac:dyDescent="0.25">
      <c r="A330" s="25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081, 19431125, 1, ////, 07</v>
      </c>
    </row>
    <row r="331" spans="1:1" x14ac:dyDescent="0.25">
      <c r="A331" s="25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081, 19431126, 1, ////, 07</v>
      </c>
    </row>
    <row r="332" spans="1:1" x14ac:dyDescent="0.25">
      <c r="A332" s="25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081, 19431127, 1, ////, 07</v>
      </c>
    </row>
    <row r="333" spans="1:1" x14ac:dyDescent="0.25">
      <c r="A333" s="25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081, 19431128, 1, ////, 07</v>
      </c>
    </row>
    <row r="334" spans="1:1" x14ac:dyDescent="0.25">
      <c r="A334" s="25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081, 19431129, 1, ////, 07</v>
      </c>
    </row>
    <row r="335" spans="1:1" x14ac:dyDescent="0.25">
      <c r="A335" s="25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081, 19431130, 1, ////, 07</v>
      </c>
    </row>
    <row r="336" spans="1:1" x14ac:dyDescent="0.25">
      <c r="A336" s="25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081, 19431201, 1, ////, 07</v>
      </c>
    </row>
    <row r="337" spans="1:1" x14ac:dyDescent="0.25">
      <c r="A337" s="25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081, 19431202, 1, ////, 07</v>
      </c>
    </row>
    <row r="338" spans="1:1" x14ac:dyDescent="0.25">
      <c r="A338" s="25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081, 19431203, 1, ////, 07</v>
      </c>
    </row>
    <row r="339" spans="1:1" x14ac:dyDescent="0.25">
      <c r="A339" s="25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081, 19431204, 1, ////, 07</v>
      </c>
    </row>
    <row r="340" spans="1:1" x14ac:dyDescent="0.25">
      <c r="A340" s="25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081, 19431205, 1, ////, 07</v>
      </c>
    </row>
    <row r="341" spans="1:1" x14ac:dyDescent="0.25">
      <c r="A341" s="25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081, 19431206, 1, ////, 07</v>
      </c>
    </row>
    <row r="342" spans="1:1" x14ac:dyDescent="0.25">
      <c r="A342" s="25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081, 19431207, 1, ////, 07</v>
      </c>
    </row>
    <row r="343" spans="1:1" x14ac:dyDescent="0.25">
      <c r="A343" s="25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081, 19431208, 1, ////, 07</v>
      </c>
    </row>
    <row r="344" spans="1:1" x14ac:dyDescent="0.25">
      <c r="A344" s="25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081, 19431209, 1, ////, 07</v>
      </c>
    </row>
    <row r="345" spans="1:1" x14ac:dyDescent="0.25">
      <c r="A345" s="25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081, 19431210, 1, ////, 07</v>
      </c>
    </row>
    <row r="346" spans="1:1" x14ac:dyDescent="0.25">
      <c r="A346" s="25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081, 19431211, 1, ////, 07</v>
      </c>
    </row>
    <row r="347" spans="1:1" x14ac:dyDescent="0.25">
      <c r="A347" s="25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081, 19431212, 1, ////, 07</v>
      </c>
    </row>
    <row r="348" spans="1:1" x14ac:dyDescent="0.25">
      <c r="A348" s="25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081, 19431213, 1, ////, 07</v>
      </c>
    </row>
    <row r="349" spans="1:1" x14ac:dyDescent="0.25">
      <c r="A349" s="25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081, 19431214, 1, ////, 07</v>
      </c>
    </row>
    <row r="350" spans="1:1" x14ac:dyDescent="0.25">
      <c r="A350" s="25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081, 19431215, 1, ////, 07</v>
      </c>
    </row>
    <row r="351" spans="1:1" x14ac:dyDescent="0.25">
      <c r="A351" s="25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081, 19431216, 1, ////, 07</v>
      </c>
    </row>
    <row r="352" spans="1:1" x14ac:dyDescent="0.25">
      <c r="A352" s="25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081, 19431217, 1, ////, 07</v>
      </c>
    </row>
    <row r="353" spans="1:1" x14ac:dyDescent="0.25">
      <c r="A353" s="25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081, 19431218, 1, ////, 07</v>
      </c>
    </row>
    <row r="354" spans="1:1" x14ac:dyDescent="0.25">
      <c r="A354" s="25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081, 19431219, 1, ////, 07</v>
      </c>
    </row>
    <row r="355" spans="1:1" x14ac:dyDescent="0.25">
      <c r="A355" s="25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081, 19431220, 1, ////, 07</v>
      </c>
    </row>
    <row r="356" spans="1:1" x14ac:dyDescent="0.25">
      <c r="A356" s="25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081, 19431221, 1, ////, 07</v>
      </c>
    </row>
    <row r="357" spans="1:1" x14ac:dyDescent="0.25">
      <c r="A357" s="25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081, 19431222, 1, ////, 07</v>
      </c>
    </row>
    <row r="358" spans="1:1" x14ac:dyDescent="0.25">
      <c r="A358" s="25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081, 19431223, 1, ////, 07</v>
      </c>
    </row>
    <row r="359" spans="1:1" x14ac:dyDescent="0.25">
      <c r="A359" s="25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081, 19431224, 1, ////, 07</v>
      </c>
    </row>
    <row r="360" spans="1:1" x14ac:dyDescent="0.25">
      <c r="A360" s="25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081, 19431225, 1, ////, 07</v>
      </c>
    </row>
    <row r="361" spans="1:1" x14ac:dyDescent="0.25">
      <c r="A361" s="25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081, 19431226, 1, ////, 07</v>
      </c>
    </row>
    <row r="362" spans="1:1" x14ac:dyDescent="0.25">
      <c r="A362" s="25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081, 19431227, 1, ////, 07</v>
      </c>
    </row>
    <row r="363" spans="1:1" x14ac:dyDescent="0.25">
      <c r="A363" s="25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081, 19431228, 1, ////, 07</v>
      </c>
    </row>
    <row r="364" spans="1:1" x14ac:dyDescent="0.25">
      <c r="A364" s="25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081, 19431229, 1, ////, 07</v>
      </c>
    </row>
    <row r="365" spans="1:1" x14ac:dyDescent="0.25">
      <c r="A365" s="25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081, 19431230, 1, ////, 07</v>
      </c>
    </row>
    <row r="366" spans="1:1" x14ac:dyDescent="0.25">
      <c r="A366" s="25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081, 19431231, 1, ////, 07</v>
      </c>
    </row>
    <row r="367" spans="1:1" x14ac:dyDescent="0.25">
      <c r="A367" s="25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083, 19430101, 1, ////, 07</v>
      </c>
    </row>
    <row r="368" spans="1:1" x14ac:dyDescent="0.25">
      <c r="A368" s="25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083, 19430102, 1, ////, 07</v>
      </c>
    </row>
    <row r="369" spans="1:1" x14ac:dyDescent="0.25">
      <c r="A369" s="25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083, 19430103, 1, ////, 07</v>
      </c>
    </row>
    <row r="370" spans="1:1" x14ac:dyDescent="0.25">
      <c r="A370" s="25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083, 19430104, 1, ////, 07</v>
      </c>
    </row>
    <row r="371" spans="1:1" x14ac:dyDescent="0.25">
      <c r="A371" s="25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083, 19430105, 1, ////, 07</v>
      </c>
    </row>
    <row r="372" spans="1:1" x14ac:dyDescent="0.25">
      <c r="A372" s="25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083, 19430106, 1, ////, 07</v>
      </c>
    </row>
    <row r="373" spans="1:1" x14ac:dyDescent="0.25">
      <c r="A373" s="25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083, 19430107, 1, ////, 07</v>
      </c>
    </row>
    <row r="374" spans="1:1" x14ac:dyDescent="0.25">
      <c r="A374" s="25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083, 19430108, 1, ////, 07</v>
      </c>
    </row>
    <row r="375" spans="1:1" x14ac:dyDescent="0.25">
      <c r="A375" s="25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083, 19430109, 1, ////, 07</v>
      </c>
    </row>
    <row r="376" spans="1:1" x14ac:dyDescent="0.25">
      <c r="A376" s="25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083, 19430110, 1, ////, 07</v>
      </c>
    </row>
    <row r="377" spans="1:1" x14ac:dyDescent="0.25">
      <c r="A377" s="25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083, 19430111, 1, ////, 07</v>
      </c>
    </row>
    <row r="378" spans="1:1" x14ac:dyDescent="0.25">
      <c r="A378" s="25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083, 19430112, 1, ////, 07</v>
      </c>
    </row>
    <row r="379" spans="1:1" x14ac:dyDescent="0.25">
      <c r="A379" s="25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083, 19430113, 1, ////, 07</v>
      </c>
    </row>
    <row r="380" spans="1:1" x14ac:dyDescent="0.25">
      <c r="A380" s="25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083, 19430114, 1, ////, 07</v>
      </c>
    </row>
    <row r="381" spans="1:1" x14ac:dyDescent="0.25">
      <c r="A381" s="25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083, 19430115, 1, ////, 07</v>
      </c>
    </row>
    <row r="382" spans="1:1" x14ac:dyDescent="0.25">
      <c r="A382" s="25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083, 19430116, 1, ////, 07</v>
      </c>
    </row>
    <row r="383" spans="1:1" x14ac:dyDescent="0.25">
      <c r="A383" s="25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083, 19430117, 1, ////, 07</v>
      </c>
    </row>
    <row r="384" spans="1:1" x14ac:dyDescent="0.25">
      <c r="A384" s="25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083, 19430118, 1, ////, 07</v>
      </c>
    </row>
    <row r="385" spans="1:1" x14ac:dyDescent="0.25">
      <c r="A385" s="25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083, 19430119, 1, ////, 07</v>
      </c>
    </row>
    <row r="386" spans="1:1" x14ac:dyDescent="0.25">
      <c r="A386" s="25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083, 19430120, 1, ////, 07</v>
      </c>
    </row>
    <row r="387" spans="1:1" x14ac:dyDescent="0.25">
      <c r="A387" s="25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083, 19430121, 1, ////, 07</v>
      </c>
    </row>
    <row r="388" spans="1:1" x14ac:dyDescent="0.25">
      <c r="A388" s="25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083, 19430122, 1, ////, 07</v>
      </c>
    </row>
    <row r="389" spans="1:1" x14ac:dyDescent="0.25">
      <c r="A389" s="25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083, 19430123, 1, ////, 07</v>
      </c>
    </row>
    <row r="390" spans="1:1" x14ac:dyDescent="0.25">
      <c r="A390" s="25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083, 19430124, 1, ////, 07</v>
      </c>
    </row>
    <row r="391" spans="1:1" x14ac:dyDescent="0.25">
      <c r="A391" s="25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083, 19430125, 1, ////, 07</v>
      </c>
    </row>
    <row r="392" spans="1:1" x14ac:dyDescent="0.25">
      <c r="A392" s="25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083, 19430126, 1, ////, 07</v>
      </c>
    </row>
    <row r="393" spans="1:1" x14ac:dyDescent="0.25">
      <c r="A393" s="25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083, 19430127, 1, ////, 07</v>
      </c>
    </row>
    <row r="394" spans="1:1" x14ac:dyDescent="0.25">
      <c r="A394" s="25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083, 19430128, 1, ////, 07</v>
      </c>
    </row>
    <row r="395" spans="1:1" x14ac:dyDescent="0.25">
      <c r="A395" s="25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083, 19430129, 1, ////, 07</v>
      </c>
    </row>
    <row r="396" spans="1:1" x14ac:dyDescent="0.25">
      <c r="A396" s="25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083, 19430130, 1, ////, 07</v>
      </c>
    </row>
    <row r="397" spans="1:1" x14ac:dyDescent="0.25">
      <c r="A397" s="25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083, 19430131, 1, ////, 07</v>
      </c>
    </row>
    <row r="398" spans="1:1" x14ac:dyDescent="0.25">
      <c r="A398" s="25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083, 19430201, 1, ////, 07</v>
      </c>
    </row>
    <row r="399" spans="1:1" x14ac:dyDescent="0.25">
      <c r="A399" s="25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083, 19430202, 1, ////, 07</v>
      </c>
    </row>
    <row r="400" spans="1:1" x14ac:dyDescent="0.25">
      <c r="A400" s="25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083, 19430203, 1, ////, 07</v>
      </c>
    </row>
    <row r="401" spans="1:1" x14ac:dyDescent="0.25">
      <c r="A401" s="25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083, 19430204, 1, ////, 07</v>
      </c>
    </row>
    <row r="402" spans="1:1" x14ac:dyDescent="0.25">
      <c r="A402" s="25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083, 19430205, 1, ////, 07</v>
      </c>
    </row>
    <row r="403" spans="1:1" x14ac:dyDescent="0.25">
      <c r="A403" s="25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083, 19430206, 1, ////, 07</v>
      </c>
    </row>
    <row r="404" spans="1:1" x14ac:dyDescent="0.25">
      <c r="A404" s="25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083, 19430207, 1, ////, 07</v>
      </c>
    </row>
    <row r="405" spans="1:1" x14ac:dyDescent="0.25">
      <c r="A405" s="25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083, 19430208, 1, ////, 07</v>
      </c>
    </row>
    <row r="406" spans="1:1" x14ac:dyDescent="0.25">
      <c r="A406" s="25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083, 19430209, 1, ////, 07</v>
      </c>
    </row>
    <row r="407" spans="1:1" x14ac:dyDescent="0.25">
      <c r="A407" s="25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083, 19430210, 1, ////, 07</v>
      </c>
    </row>
    <row r="408" spans="1:1" x14ac:dyDescent="0.25">
      <c r="A408" s="25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083, 19430211, 1, ////, 07</v>
      </c>
    </row>
    <row r="409" spans="1:1" x14ac:dyDescent="0.25">
      <c r="A409" s="25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083, 19430212, 1, ////, 07</v>
      </c>
    </row>
    <row r="410" spans="1:1" x14ac:dyDescent="0.25">
      <c r="A410" s="25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083, 19430213, 1, ////, 07</v>
      </c>
    </row>
    <row r="411" spans="1:1" x14ac:dyDescent="0.25">
      <c r="A411" s="25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083, 19430214, 1, ////, 07</v>
      </c>
    </row>
    <row r="412" spans="1:1" x14ac:dyDescent="0.25">
      <c r="A412" s="25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083, 19430215, 1, ////, 07</v>
      </c>
    </row>
    <row r="413" spans="1:1" x14ac:dyDescent="0.25">
      <c r="A413" s="25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083, 19430216, 1, ////, 07</v>
      </c>
    </row>
    <row r="414" spans="1:1" x14ac:dyDescent="0.25">
      <c r="A414" s="25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083, 19430217, 1, ////, 07</v>
      </c>
    </row>
    <row r="415" spans="1:1" x14ac:dyDescent="0.25">
      <c r="A415" s="25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083, 19430218, 1, ////, 07</v>
      </c>
    </row>
    <row r="416" spans="1:1" x14ac:dyDescent="0.25">
      <c r="A416" s="25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083, 19430219, 1, ////, 07</v>
      </c>
    </row>
    <row r="417" spans="1:1" x14ac:dyDescent="0.25">
      <c r="A417" s="25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083, 19430220, 1, ////, 07</v>
      </c>
    </row>
    <row r="418" spans="1:1" x14ac:dyDescent="0.25">
      <c r="A418" s="25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083, 19430221, 1, ////, 07</v>
      </c>
    </row>
    <row r="419" spans="1:1" x14ac:dyDescent="0.25">
      <c r="A419" s="25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083, 19430222, 1, ////, 07</v>
      </c>
    </row>
    <row r="420" spans="1:1" x14ac:dyDescent="0.25">
      <c r="A420" s="25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083, 19430223, 1, ////, 07</v>
      </c>
    </row>
    <row r="421" spans="1:1" x14ac:dyDescent="0.25">
      <c r="A421" s="25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083, 19430224, 1, ////, 07</v>
      </c>
    </row>
    <row r="422" spans="1:1" x14ac:dyDescent="0.25">
      <c r="A422" s="25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083, 19430225, 1, ////, 07</v>
      </c>
    </row>
    <row r="423" spans="1:1" x14ac:dyDescent="0.25">
      <c r="A423" s="25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083, 19430226, 1, ////, 07</v>
      </c>
    </row>
    <row r="424" spans="1:1" x14ac:dyDescent="0.25">
      <c r="A424" s="25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083, 19430227, 1, ////, 07</v>
      </c>
    </row>
    <row r="425" spans="1:1" x14ac:dyDescent="0.25">
      <c r="A425" s="25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083, 19430228, 1, ////, 07</v>
      </c>
    </row>
    <row r="426" spans="1:1" x14ac:dyDescent="0.25">
      <c r="A426" s="25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083, 19430301, 1, ////, 07</v>
      </c>
    </row>
    <row r="427" spans="1:1" x14ac:dyDescent="0.25">
      <c r="A427" s="25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083, 19430302, 1, ////, 07</v>
      </c>
    </row>
    <row r="428" spans="1:1" x14ac:dyDescent="0.25">
      <c r="A428" s="25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083, 19430303, 1, ////, 07</v>
      </c>
    </row>
    <row r="429" spans="1:1" x14ac:dyDescent="0.25">
      <c r="A429" s="25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083, 19430304, 1, ////, 07</v>
      </c>
    </row>
    <row r="430" spans="1:1" x14ac:dyDescent="0.25">
      <c r="A430" s="25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083, 19430305, 1, ////, 07</v>
      </c>
    </row>
    <row r="431" spans="1:1" x14ac:dyDescent="0.25">
      <c r="A431" s="25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083, 19430306, 1, ////, 07</v>
      </c>
    </row>
    <row r="432" spans="1:1" x14ac:dyDescent="0.25">
      <c r="A432" s="25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083, 19430307, 1, ////, 07</v>
      </c>
    </row>
    <row r="433" spans="1:1" x14ac:dyDescent="0.25">
      <c r="A433" s="25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083, 19430308, 1, ////, 07</v>
      </c>
    </row>
    <row r="434" spans="1:1" x14ac:dyDescent="0.25">
      <c r="A434" s="25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083, 19430309, 1, ////, 07</v>
      </c>
    </row>
    <row r="435" spans="1:1" x14ac:dyDescent="0.25">
      <c r="A435" s="25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083, 19430310, 1, ////, 07</v>
      </c>
    </row>
    <row r="436" spans="1:1" x14ac:dyDescent="0.25">
      <c r="A436" s="25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083, 19430311, 1, ////, 07</v>
      </c>
    </row>
    <row r="437" spans="1:1" x14ac:dyDescent="0.25">
      <c r="A437" s="25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083, 19430312, 1, ////, 07</v>
      </c>
    </row>
    <row r="438" spans="1:1" x14ac:dyDescent="0.25">
      <c r="A438" s="25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083, 19430313, 1, ////, 07</v>
      </c>
    </row>
    <row r="439" spans="1:1" x14ac:dyDescent="0.25">
      <c r="A439" s="25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083, 19430314, 1, ////, 07</v>
      </c>
    </row>
    <row r="440" spans="1:1" x14ac:dyDescent="0.25">
      <c r="A440" s="25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083, 19430315, 1, ////, 07</v>
      </c>
    </row>
    <row r="441" spans="1:1" x14ac:dyDescent="0.25">
      <c r="A441" s="25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083, 19430316, 1, ////, 07</v>
      </c>
    </row>
    <row r="442" spans="1:1" x14ac:dyDescent="0.25">
      <c r="A442" s="25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083, 19430317, 1, ////, 07</v>
      </c>
    </row>
    <row r="443" spans="1:1" x14ac:dyDescent="0.25">
      <c r="A443" s="25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083, 19430318, 1, ////, 07</v>
      </c>
    </row>
    <row r="444" spans="1:1" x14ac:dyDescent="0.25">
      <c r="A444" s="25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083, 19430319, 1, ////, 07</v>
      </c>
    </row>
    <row r="445" spans="1:1" x14ac:dyDescent="0.25">
      <c r="A445" s="25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083, 19430320, 1, ////, 07</v>
      </c>
    </row>
    <row r="446" spans="1:1" x14ac:dyDescent="0.25">
      <c r="A446" s="25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083, 19430321, 1, ////, 07</v>
      </c>
    </row>
    <row r="447" spans="1:1" x14ac:dyDescent="0.25">
      <c r="A447" s="25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083, 19430322, 1, ////, 07</v>
      </c>
    </row>
    <row r="448" spans="1:1" x14ac:dyDescent="0.25">
      <c r="A448" s="25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083, 19430323, 1, ////, 07</v>
      </c>
    </row>
    <row r="449" spans="1:1" x14ac:dyDescent="0.25">
      <c r="A449" s="25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083, 19430324, 1, ////, 07</v>
      </c>
    </row>
    <row r="450" spans="1:1" x14ac:dyDescent="0.25">
      <c r="A450" s="25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083, 19430325, 1, ////, 07</v>
      </c>
    </row>
    <row r="451" spans="1:1" x14ac:dyDescent="0.25">
      <c r="A451" s="25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083, 19430326, 1, ////, 07</v>
      </c>
    </row>
    <row r="452" spans="1:1" x14ac:dyDescent="0.25">
      <c r="A452" s="25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083, 19430327, 1, ////, 07</v>
      </c>
    </row>
    <row r="453" spans="1:1" x14ac:dyDescent="0.25">
      <c r="A453" s="25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083, 19430328, 1, ////, 07</v>
      </c>
    </row>
    <row r="454" spans="1:1" x14ac:dyDescent="0.25">
      <c r="A454" s="25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083, 19430329, 1, ////, 07</v>
      </c>
    </row>
    <row r="455" spans="1:1" x14ac:dyDescent="0.25">
      <c r="A455" s="25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083, 19430330, 1, ////, 07</v>
      </c>
    </row>
    <row r="456" spans="1:1" x14ac:dyDescent="0.25">
      <c r="A456" s="25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083, 19430331, 1, ////, 07</v>
      </c>
    </row>
    <row r="457" spans="1:1" x14ac:dyDescent="0.25">
      <c r="A457" s="25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083, 19430401, 1,    0, 00</v>
      </c>
    </row>
    <row r="458" spans="1:1" x14ac:dyDescent="0.25">
      <c r="A458" s="25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083, 19430402, 1,    0, 00</v>
      </c>
    </row>
    <row r="459" spans="1:1" x14ac:dyDescent="0.25">
      <c r="A459" s="25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083, 19430403, 1,    0, 00</v>
      </c>
    </row>
    <row r="460" spans="1:1" x14ac:dyDescent="0.25">
      <c r="A460" s="25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083, 19430404, 1,    0, 00</v>
      </c>
    </row>
    <row r="461" spans="1:1" x14ac:dyDescent="0.25">
      <c r="A461" s="25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083, 19430405, 1,    0, 00</v>
      </c>
    </row>
    <row r="462" spans="1:1" x14ac:dyDescent="0.25">
      <c r="A462" s="25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083, 19430406, 1,    0, 00</v>
      </c>
    </row>
    <row r="463" spans="1:1" x14ac:dyDescent="0.25">
      <c r="A463" s="25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083, 19430407, 1,    0, 00</v>
      </c>
    </row>
    <row r="464" spans="1:1" x14ac:dyDescent="0.25">
      <c r="A464" s="25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083, 19430408, 1,    0, 00</v>
      </c>
    </row>
    <row r="465" spans="1:1" x14ac:dyDescent="0.25">
      <c r="A465" s="25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083, 19430409, 1,    0, 00</v>
      </c>
    </row>
    <row r="466" spans="1:1" x14ac:dyDescent="0.25">
      <c r="A466" s="25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083, 19430410, 1,    0, 00</v>
      </c>
    </row>
    <row r="467" spans="1:1" x14ac:dyDescent="0.25">
      <c r="A467" s="25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083, 19430411, 1,    0, 00</v>
      </c>
    </row>
    <row r="468" spans="1:1" x14ac:dyDescent="0.25">
      <c r="A468" s="25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083, 19430412, 1,  225, 00</v>
      </c>
    </row>
    <row r="469" spans="1:1" x14ac:dyDescent="0.25">
      <c r="A469" s="25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083, 19430413, 1,    0, 00</v>
      </c>
    </row>
    <row r="470" spans="1:1" x14ac:dyDescent="0.25">
      <c r="A470" s="25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083, 19430414, 1,    0, 00</v>
      </c>
    </row>
    <row r="471" spans="1:1" x14ac:dyDescent="0.25">
      <c r="A471" s="25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083, 19430415, 1,    0, 00</v>
      </c>
    </row>
    <row r="472" spans="1:1" x14ac:dyDescent="0.25">
      <c r="A472" s="25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083, 19430416, 1,    0, 00</v>
      </c>
    </row>
    <row r="473" spans="1:1" x14ac:dyDescent="0.25">
      <c r="A473" s="25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083, 19430417, 1,    0, 00</v>
      </c>
    </row>
    <row r="474" spans="1:1" x14ac:dyDescent="0.25">
      <c r="A474" s="25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083, 19430418, 1,    0, 00</v>
      </c>
    </row>
    <row r="475" spans="1:1" x14ac:dyDescent="0.25">
      <c r="A475" s="25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083, 19430419, 1,  160, 00</v>
      </c>
    </row>
    <row r="476" spans="1:1" x14ac:dyDescent="0.25">
      <c r="A476" s="25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083, 19430420, 1,    0, 00</v>
      </c>
    </row>
    <row r="477" spans="1:1" x14ac:dyDescent="0.25">
      <c r="A477" s="25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083, 19430421, 1,    0, 00</v>
      </c>
    </row>
    <row r="478" spans="1:1" x14ac:dyDescent="0.25">
      <c r="A478" s="25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083, 19430422, 1,    0, 00</v>
      </c>
    </row>
    <row r="479" spans="1:1" x14ac:dyDescent="0.25">
      <c r="A479" s="25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083, 19430423, 1,    0, 00</v>
      </c>
    </row>
    <row r="480" spans="1:1" x14ac:dyDescent="0.25">
      <c r="A480" s="25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083, 19430424, 1,    0, 00</v>
      </c>
    </row>
    <row r="481" spans="1:1" x14ac:dyDescent="0.25">
      <c r="A481" s="25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083, 19430425, 1,    0, 00</v>
      </c>
    </row>
    <row r="482" spans="1:1" x14ac:dyDescent="0.25">
      <c r="A482" s="25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083, 19430426, 1,    0, 00</v>
      </c>
    </row>
    <row r="483" spans="1:1" x14ac:dyDescent="0.25">
      <c r="A483" s="25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083, 19430427, 1,    0, 00</v>
      </c>
    </row>
    <row r="484" spans="1:1" x14ac:dyDescent="0.25">
      <c r="A484" s="25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083, 19430428, 1,    0, 00</v>
      </c>
    </row>
    <row r="485" spans="1:1" x14ac:dyDescent="0.25">
      <c r="A485" s="25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083, 19430429, 1,    0, 00</v>
      </c>
    </row>
    <row r="486" spans="1:1" x14ac:dyDescent="0.25">
      <c r="A486" s="25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083, 19430430, 1,    0, 00</v>
      </c>
    </row>
    <row r="487" spans="1:1" x14ac:dyDescent="0.25">
      <c r="A487" s="25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083, 19430501, 1, ////, 07</v>
      </c>
    </row>
    <row r="488" spans="1:1" x14ac:dyDescent="0.25">
      <c r="A488" s="25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083, 19430502, 1, ////, 07</v>
      </c>
    </row>
    <row r="489" spans="1:1" x14ac:dyDescent="0.25">
      <c r="A489" s="25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083, 19430503, 1, ////, 07</v>
      </c>
    </row>
    <row r="490" spans="1:1" x14ac:dyDescent="0.25">
      <c r="A490" s="25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083, 19430504, 1, ////, 07</v>
      </c>
    </row>
    <row r="491" spans="1:1" x14ac:dyDescent="0.25">
      <c r="A491" s="25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083, 19430505, 1, ////, 07</v>
      </c>
    </row>
    <row r="492" spans="1:1" x14ac:dyDescent="0.25">
      <c r="A492" s="25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083, 19430506, 1, ////, 07</v>
      </c>
    </row>
    <row r="493" spans="1:1" x14ac:dyDescent="0.25">
      <c r="A493" s="25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083, 19430507, 1, ////, 07</v>
      </c>
    </row>
    <row r="494" spans="1:1" x14ac:dyDescent="0.25">
      <c r="A494" s="25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083, 19430508, 1, ////, 07</v>
      </c>
    </row>
    <row r="495" spans="1:1" x14ac:dyDescent="0.25">
      <c r="A495" s="25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083, 19430509, 1, ////, 07</v>
      </c>
    </row>
    <row r="496" spans="1:1" x14ac:dyDescent="0.25">
      <c r="A496" s="25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083, 19430510, 1, ////, 07</v>
      </c>
    </row>
    <row r="497" spans="1:1" x14ac:dyDescent="0.25">
      <c r="A497" s="25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083, 19430511, 1, ////, 07</v>
      </c>
    </row>
    <row r="498" spans="1:1" x14ac:dyDescent="0.25">
      <c r="A498" s="25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083, 19430512, 1, ////, 07</v>
      </c>
    </row>
    <row r="499" spans="1:1" x14ac:dyDescent="0.25">
      <c r="A499" s="25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083, 19430513, 1, ////, 07</v>
      </c>
    </row>
    <row r="500" spans="1:1" x14ac:dyDescent="0.25">
      <c r="A500" s="25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083, 19430514, 1, ////, 07</v>
      </c>
    </row>
    <row r="501" spans="1:1" x14ac:dyDescent="0.25">
      <c r="A501" s="25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083, 19430515, 1, ////, 07</v>
      </c>
    </row>
    <row r="502" spans="1:1" x14ac:dyDescent="0.25">
      <c r="A502" s="25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083, 19430516, 1, ////, 07</v>
      </c>
    </row>
    <row r="503" spans="1:1" x14ac:dyDescent="0.25">
      <c r="A503" s="25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083, 19430517, 1, ////, 07</v>
      </c>
    </row>
    <row r="504" spans="1:1" x14ac:dyDescent="0.25">
      <c r="A504" s="25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083, 19430518, 1, ////, 07</v>
      </c>
    </row>
    <row r="505" spans="1:1" x14ac:dyDescent="0.25">
      <c r="A505" s="25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083, 19430519, 1, ////, 07</v>
      </c>
    </row>
    <row r="506" spans="1:1" x14ac:dyDescent="0.25">
      <c r="A506" s="25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083, 19430520, 1, ////, 07</v>
      </c>
    </row>
    <row r="507" spans="1:1" x14ac:dyDescent="0.25">
      <c r="A507" s="25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083, 19430521, 1, ////, 07</v>
      </c>
    </row>
    <row r="508" spans="1:1" x14ac:dyDescent="0.25">
      <c r="A508" s="25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083, 19430522, 1, ////, 07</v>
      </c>
    </row>
    <row r="509" spans="1:1" x14ac:dyDescent="0.25">
      <c r="A509" s="25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083, 19430523, 1, ////, 07</v>
      </c>
    </row>
    <row r="510" spans="1:1" x14ac:dyDescent="0.25">
      <c r="A510" s="25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083, 19430524, 1, ////, 07</v>
      </c>
    </row>
    <row r="511" spans="1:1" x14ac:dyDescent="0.25">
      <c r="A511" s="25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083, 19430525, 1, ////, 07</v>
      </c>
    </row>
    <row r="512" spans="1:1" x14ac:dyDescent="0.25">
      <c r="A512" s="25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083, 19430526, 1, ////, 07</v>
      </c>
    </row>
    <row r="513" spans="1:1" x14ac:dyDescent="0.25">
      <c r="A513" s="25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083, 19430527, 1, ////, 07</v>
      </c>
    </row>
    <row r="514" spans="1:1" x14ac:dyDescent="0.25">
      <c r="A514" s="25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083, 19430528, 1, ////, 07</v>
      </c>
    </row>
    <row r="515" spans="1:1" x14ac:dyDescent="0.25">
      <c r="A515" s="25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083, 19430529, 1, ////, 07</v>
      </c>
    </row>
    <row r="516" spans="1:1" x14ac:dyDescent="0.25">
      <c r="A516" s="25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083, 19430530, 1, ////, 07</v>
      </c>
    </row>
    <row r="517" spans="1:1" x14ac:dyDescent="0.25">
      <c r="A517" s="25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083, 19430531, 1, ////, 07</v>
      </c>
    </row>
    <row r="518" spans="1:1" x14ac:dyDescent="0.25">
      <c r="A518" s="25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083, 19430601, 1, ////, 07</v>
      </c>
    </row>
    <row r="519" spans="1:1" x14ac:dyDescent="0.25">
      <c r="A519" s="25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083, 19430602, 1, ////, 07</v>
      </c>
    </row>
    <row r="520" spans="1:1" x14ac:dyDescent="0.25">
      <c r="A520" s="25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083, 19430603, 1, ////, 07</v>
      </c>
    </row>
    <row r="521" spans="1:1" x14ac:dyDescent="0.25">
      <c r="A521" s="25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083, 19430604, 1, ////, 07</v>
      </c>
    </row>
    <row r="522" spans="1:1" x14ac:dyDescent="0.25">
      <c r="A522" s="25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083, 19430605, 1, ////, 07</v>
      </c>
    </row>
    <row r="523" spans="1:1" x14ac:dyDescent="0.25">
      <c r="A523" s="25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083, 19430606, 1, ////, 07</v>
      </c>
    </row>
    <row r="524" spans="1:1" x14ac:dyDescent="0.25">
      <c r="A524" s="25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083, 19430607, 1, ////, 07</v>
      </c>
    </row>
    <row r="525" spans="1:1" x14ac:dyDescent="0.25">
      <c r="A525" s="25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083, 19430608, 1, ////, 07</v>
      </c>
    </row>
    <row r="526" spans="1:1" x14ac:dyDescent="0.25">
      <c r="A526" s="25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083, 19430609, 1, ////, 07</v>
      </c>
    </row>
    <row r="527" spans="1:1" x14ac:dyDescent="0.25">
      <c r="A527" s="25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083, 19430610, 1, ////, 07</v>
      </c>
    </row>
    <row r="528" spans="1:1" x14ac:dyDescent="0.25">
      <c r="A528" s="25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083, 19430611, 1, ////, 07</v>
      </c>
    </row>
    <row r="529" spans="1:1" x14ac:dyDescent="0.25">
      <c r="A529" s="25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083, 19430612, 1, ////, 07</v>
      </c>
    </row>
    <row r="530" spans="1:1" x14ac:dyDescent="0.25">
      <c r="A530" s="25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083, 19430613, 1, ////, 07</v>
      </c>
    </row>
    <row r="531" spans="1:1" x14ac:dyDescent="0.25">
      <c r="A531" s="25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083, 19430614, 1, ////, 07</v>
      </c>
    </row>
    <row r="532" spans="1:1" x14ac:dyDescent="0.25">
      <c r="A532" s="25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083, 19430615, 1, ////, 07</v>
      </c>
    </row>
    <row r="533" spans="1:1" x14ac:dyDescent="0.25">
      <c r="A533" s="25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083, 19430616, 1, ////, 07</v>
      </c>
    </row>
    <row r="534" spans="1:1" x14ac:dyDescent="0.25">
      <c r="A534" s="25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083, 19430617, 1, ////, 07</v>
      </c>
    </row>
    <row r="535" spans="1:1" x14ac:dyDescent="0.25">
      <c r="A535" s="25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083, 19430618, 1, ////, 07</v>
      </c>
    </row>
    <row r="536" spans="1:1" x14ac:dyDescent="0.25">
      <c r="A536" s="25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083, 19430619, 1, ////, 07</v>
      </c>
    </row>
    <row r="537" spans="1:1" x14ac:dyDescent="0.25">
      <c r="A537" s="25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083, 19430620, 1, ////, 07</v>
      </c>
    </row>
    <row r="538" spans="1:1" x14ac:dyDescent="0.25">
      <c r="A538" s="25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083, 19430621, 1, ////, 07</v>
      </c>
    </row>
    <row r="539" spans="1:1" x14ac:dyDescent="0.25">
      <c r="A539" s="25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083, 19430622, 1, ////, 07</v>
      </c>
    </row>
    <row r="540" spans="1:1" x14ac:dyDescent="0.25">
      <c r="A540" s="25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083, 19430623, 1, ////, 07</v>
      </c>
    </row>
    <row r="541" spans="1:1" x14ac:dyDescent="0.25">
      <c r="A541" s="25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083, 19430624, 1, ////, 07</v>
      </c>
    </row>
    <row r="542" spans="1:1" x14ac:dyDescent="0.25">
      <c r="A542" s="25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083, 19430625, 1, ////, 07</v>
      </c>
    </row>
    <row r="543" spans="1:1" x14ac:dyDescent="0.25">
      <c r="A543" s="25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083, 19430626, 1, ////, 07</v>
      </c>
    </row>
    <row r="544" spans="1:1" x14ac:dyDescent="0.25">
      <c r="A544" s="25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083, 19430627, 1, ////, 07</v>
      </c>
    </row>
    <row r="545" spans="1:1" x14ac:dyDescent="0.25">
      <c r="A545" s="25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083, 19430628, 1, ////, 07</v>
      </c>
    </row>
    <row r="546" spans="1:1" x14ac:dyDescent="0.25">
      <c r="A546" s="25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083, 19430629, 1, ////, 07</v>
      </c>
    </row>
    <row r="547" spans="1:1" x14ac:dyDescent="0.25">
      <c r="A547" s="25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083, 19430630, 1, ////, 07</v>
      </c>
    </row>
    <row r="548" spans="1:1" x14ac:dyDescent="0.25">
      <c r="A548" s="25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083, 19430701, 1, ////, 07</v>
      </c>
    </row>
    <row r="549" spans="1:1" x14ac:dyDescent="0.25">
      <c r="A549" s="25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083, 19430702, 1, ////, 07</v>
      </c>
    </row>
    <row r="550" spans="1:1" x14ac:dyDescent="0.25">
      <c r="A550" s="25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083, 19430703, 1, ////, 07</v>
      </c>
    </row>
    <row r="551" spans="1:1" x14ac:dyDescent="0.25">
      <c r="A551" s="25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083, 19430704, 1, ////, 07</v>
      </c>
    </row>
    <row r="552" spans="1:1" x14ac:dyDescent="0.25">
      <c r="A552" s="25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083, 19430705, 1, ////, 07</v>
      </c>
    </row>
    <row r="553" spans="1:1" x14ac:dyDescent="0.25">
      <c r="A553" s="25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083, 19430706, 1, ////, 07</v>
      </c>
    </row>
    <row r="554" spans="1:1" x14ac:dyDescent="0.25">
      <c r="A554" s="25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083, 19430707, 1, ////, 07</v>
      </c>
    </row>
    <row r="555" spans="1:1" x14ac:dyDescent="0.25">
      <c r="A555" s="25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083, 19430708, 1, ////, 07</v>
      </c>
    </row>
    <row r="556" spans="1:1" x14ac:dyDescent="0.25">
      <c r="A556" s="25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083, 19430709, 1, ////, 07</v>
      </c>
    </row>
    <row r="557" spans="1:1" x14ac:dyDescent="0.25">
      <c r="A557" s="25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083, 19430710, 1, ////, 07</v>
      </c>
    </row>
    <row r="558" spans="1:1" x14ac:dyDescent="0.25">
      <c r="A558" s="25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083, 19430711, 1, ////, 07</v>
      </c>
    </row>
    <row r="559" spans="1:1" x14ac:dyDescent="0.25">
      <c r="A559" s="25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083, 19430712, 1, ////, 07</v>
      </c>
    </row>
    <row r="560" spans="1:1" x14ac:dyDescent="0.25">
      <c r="A560" s="25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083, 19430713, 1, ////, 07</v>
      </c>
    </row>
    <row r="561" spans="1:1" x14ac:dyDescent="0.25">
      <c r="A561" s="25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083, 19430714, 1, ////, 07</v>
      </c>
    </row>
    <row r="562" spans="1:1" x14ac:dyDescent="0.25">
      <c r="A562" s="25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083, 19430715, 1, ////, 07</v>
      </c>
    </row>
    <row r="563" spans="1:1" x14ac:dyDescent="0.25">
      <c r="A563" s="25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083, 19430716, 1, ////, 07</v>
      </c>
    </row>
    <row r="564" spans="1:1" x14ac:dyDescent="0.25">
      <c r="A564" s="25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083, 19430717, 1, ////, 07</v>
      </c>
    </row>
    <row r="565" spans="1:1" x14ac:dyDescent="0.25">
      <c r="A565" s="25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083, 19430718, 1, ////, 07</v>
      </c>
    </row>
    <row r="566" spans="1:1" x14ac:dyDescent="0.25">
      <c r="A566" s="25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083, 19430719, 1, ////, 07</v>
      </c>
    </row>
    <row r="567" spans="1:1" x14ac:dyDescent="0.25">
      <c r="A567" s="25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083, 19430720, 1, ////, 07</v>
      </c>
    </row>
    <row r="568" spans="1:1" x14ac:dyDescent="0.25">
      <c r="A568" s="25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083, 19430721, 1, ////, 07</v>
      </c>
    </row>
    <row r="569" spans="1:1" x14ac:dyDescent="0.25">
      <c r="A569" s="25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083, 19430722, 1, ////, 07</v>
      </c>
    </row>
    <row r="570" spans="1:1" x14ac:dyDescent="0.25">
      <c r="A570" s="25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083, 19430723, 1, ////, 07</v>
      </c>
    </row>
    <row r="571" spans="1:1" x14ac:dyDescent="0.25">
      <c r="A571" s="25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083, 19430724, 1, ////, 07</v>
      </c>
    </row>
    <row r="572" spans="1:1" x14ac:dyDescent="0.25">
      <c r="A572" s="25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083, 19430725, 1, ////, 07</v>
      </c>
    </row>
    <row r="573" spans="1:1" x14ac:dyDescent="0.25">
      <c r="A573" s="25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083, 19430726, 1, ////, 07</v>
      </c>
    </row>
    <row r="574" spans="1:1" x14ac:dyDescent="0.25">
      <c r="A574" s="25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083, 19430727, 1, ////, 07</v>
      </c>
    </row>
    <row r="575" spans="1:1" x14ac:dyDescent="0.25">
      <c r="A575" s="25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083, 19430728, 1, ////, 07</v>
      </c>
    </row>
    <row r="576" spans="1:1" x14ac:dyDescent="0.25">
      <c r="A576" s="25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083, 19430729, 1, ////, 07</v>
      </c>
    </row>
    <row r="577" spans="1:1" x14ac:dyDescent="0.25">
      <c r="A577" s="25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083, 19430730, 1, ////, 07</v>
      </c>
    </row>
    <row r="578" spans="1:1" x14ac:dyDescent="0.25">
      <c r="A578" s="25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083, 19430731, 1, ////, 07</v>
      </c>
    </row>
    <row r="579" spans="1:1" x14ac:dyDescent="0.25">
      <c r="A579" s="25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083, 19430801, 1, ////, 07</v>
      </c>
    </row>
    <row r="580" spans="1:1" x14ac:dyDescent="0.25">
      <c r="A580" s="25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083, 19430802, 1, ////, 07</v>
      </c>
    </row>
    <row r="581" spans="1:1" x14ac:dyDescent="0.25">
      <c r="A581" s="25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083, 19430803, 1, ////, 07</v>
      </c>
    </row>
    <row r="582" spans="1:1" x14ac:dyDescent="0.25">
      <c r="A582" s="25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083, 19430804, 1, ////, 07</v>
      </c>
    </row>
    <row r="583" spans="1:1" x14ac:dyDescent="0.25">
      <c r="A583" s="25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083, 19430805, 1, ////, 07</v>
      </c>
    </row>
    <row r="584" spans="1:1" x14ac:dyDescent="0.25">
      <c r="A584" s="25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083, 19430806, 1, ////, 07</v>
      </c>
    </row>
    <row r="585" spans="1:1" x14ac:dyDescent="0.25">
      <c r="A585" s="25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083, 19430807, 1, ////, 07</v>
      </c>
    </row>
    <row r="586" spans="1:1" x14ac:dyDescent="0.25">
      <c r="A586" s="25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083, 19430808, 1, ////, 07</v>
      </c>
    </row>
    <row r="587" spans="1:1" x14ac:dyDescent="0.25">
      <c r="A587" s="25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083, 19430809, 1, ////, 07</v>
      </c>
    </row>
    <row r="588" spans="1:1" x14ac:dyDescent="0.25">
      <c r="A588" s="25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083, 19430810, 1, ////, 07</v>
      </c>
    </row>
    <row r="589" spans="1:1" x14ac:dyDescent="0.25">
      <c r="A589" s="25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083, 19430811, 1, ////, 07</v>
      </c>
    </row>
    <row r="590" spans="1:1" x14ac:dyDescent="0.25">
      <c r="A590" s="25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083, 19430812, 1, ////, 07</v>
      </c>
    </row>
    <row r="591" spans="1:1" x14ac:dyDescent="0.25">
      <c r="A591" s="25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083, 19430813, 1, ////, 07</v>
      </c>
    </row>
    <row r="592" spans="1:1" x14ac:dyDescent="0.25">
      <c r="A592" s="25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083, 19430814, 1, ////, 07</v>
      </c>
    </row>
    <row r="593" spans="1:1" x14ac:dyDescent="0.25">
      <c r="A593" s="25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083, 19430815, 1, ////, 07</v>
      </c>
    </row>
    <row r="594" spans="1:1" x14ac:dyDescent="0.25">
      <c r="A594" s="25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083, 19430816, 1, ////, 07</v>
      </c>
    </row>
    <row r="595" spans="1:1" x14ac:dyDescent="0.25">
      <c r="A595" s="25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083, 19430817, 1, ////, 07</v>
      </c>
    </row>
    <row r="596" spans="1:1" x14ac:dyDescent="0.25">
      <c r="A596" s="25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083, 19430818, 1, ////, 07</v>
      </c>
    </row>
    <row r="597" spans="1:1" x14ac:dyDescent="0.25">
      <c r="A597" s="25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083, 19430819, 1, ////, 07</v>
      </c>
    </row>
    <row r="598" spans="1:1" x14ac:dyDescent="0.25">
      <c r="A598" s="25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083, 19430820, 1, ////, 07</v>
      </c>
    </row>
    <row r="599" spans="1:1" x14ac:dyDescent="0.25">
      <c r="A599" s="25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083, 19430821, 1, ////, 07</v>
      </c>
    </row>
    <row r="600" spans="1:1" x14ac:dyDescent="0.25">
      <c r="A600" s="25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083, 19430822, 1, ////, 07</v>
      </c>
    </row>
    <row r="601" spans="1:1" x14ac:dyDescent="0.25">
      <c r="A601" s="25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083, 19430823, 1, ////, 07</v>
      </c>
    </row>
    <row r="602" spans="1:1" x14ac:dyDescent="0.25">
      <c r="A602" s="25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083, 19430824, 1, ////, 07</v>
      </c>
    </row>
    <row r="603" spans="1:1" x14ac:dyDescent="0.25">
      <c r="A603" s="25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083, 19430825, 1, ////, 07</v>
      </c>
    </row>
    <row r="604" spans="1:1" x14ac:dyDescent="0.25">
      <c r="A604" s="25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083, 19430826, 1, ////, 07</v>
      </c>
    </row>
    <row r="605" spans="1:1" x14ac:dyDescent="0.25">
      <c r="A605" s="25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083, 19430827, 1, ////, 07</v>
      </c>
    </row>
    <row r="606" spans="1:1" x14ac:dyDescent="0.25">
      <c r="A606" s="25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083, 19430828, 1, ////, 07</v>
      </c>
    </row>
    <row r="607" spans="1:1" x14ac:dyDescent="0.25">
      <c r="A607" s="25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083, 19430829, 1, ////, 07</v>
      </c>
    </row>
    <row r="608" spans="1:1" x14ac:dyDescent="0.25">
      <c r="A608" s="25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083, 19430830, 1, ////, 07</v>
      </c>
    </row>
    <row r="609" spans="1:1" x14ac:dyDescent="0.25">
      <c r="A609" s="25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083, 19430831, 1, ////, 07</v>
      </c>
    </row>
    <row r="610" spans="1:1" x14ac:dyDescent="0.25">
      <c r="A610" s="25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083, 19430901, 1, ////, 07</v>
      </c>
    </row>
    <row r="611" spans="1:1" x14ac:dyDescent="0.25">
      <c r="A611" s="25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083, 19430902, 1, ////, 07</v>
      </c>
    </row>
    <row r="612" spans="1:1" x14ac:dyDescent="0.25">
      <c r="A612" s="25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083, 19430903, 1, ////, 07</v>
      </c>
    </row>
    <row r="613" spans="1:1" x14ac:dyDescent="0.25">
      <c r="A613" s="25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083, 19430904, 1, ////, 07</v>
      </c>
    </row>
    <row r="614" spans="1:1" x14ac:dyDescent="0.25">
      <c r="A614" s="25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083, 19430905, 1, ////, 07</v>
      </c>
    </row>
    <row r="615" spans="1:1" x14ac:dyDescent="0.25">
      <c r="A615" s="25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083, 19430906, 1, ////, 07</v>
      </c>
    </row>
    <row r="616" spans="1:1" x14ac:dyDescent="0.25">
      <c r="A616" s="25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083, 19430907, 1, ////, 07</v>
      </c>
    </row>
    <row r="617" spans="1:1" x14ac:dyDescent="0.25">
      <c r="A617" s="25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083, 19430908, 1, ////, 07</v>
      </c>
    </row>
    <row r="618" spans="1:1" x14ac:dyDescent="0.25">
      <c r="A618" s="25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083, 19430909, 1, ////, 07</v>
      </c>
    </row>
    <row r="619" spans="1:1" x14ac:dyDescent="0.25">
      <c r="A619" s="25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083, 19430910, 1, ////, 07</v>
      </c>
    </row>
    <row r="620" spans="1:1" x14ac:dyDescent="0.25">
      <c r="A620" s="25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083, 19430911, 1, ////, 07</v>
      </c>
    </row>
    <row r="621" spans="1:1" x14ac:dyDescent="0.25">
      <c r="A621" s="25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083, 19430912, 1, ////, 07</v>
      </c>
    </row>
    <row r="622" spans="1:1" x14ac:dyDescent="0.25">
      <c r="A622" s="25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083, 19430913, 1, ////, 07</v>
      </c>
    </row>
    <row r="623" spans="1:1" x14ac:dyDescent="0.25">
      <c r="A623" s="25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083, 19430914, 1, ////, 07</v>
      </c>
    </row>
    <row r="624" spans="1:1" x14ac:dyDescent="0.25">
      <c r="A624" s="25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083, 19430915, 1, ////, 07</v>
      </c>
    </row>
    <row r="625" spans="1:1" x14ac:dyDescent="0.25">
      <c r="A625" s="25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083, 19430916, 1, ////, 07</v>
      </c>
    </row>
    <row r="626" spans="1:1" x14ac:dyDescent="0.25">
      <c r="A626" s="25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083, 19430917, 1, ////, 07</v>
      </c>
    </row>
    <row r="627" spans="1:1" x14ac:dyDescent="0.25">
      <c r="A627" s="25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083, 19430918, 1, ////, 07</v>
      </c>
    </row>
    <row r="628" spans="1:1" x14ac:dyDescent="0.25">
      <c r="A628" s="25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083, 19430919, 1, ////, 07</v>
      </c>
    </row>
    <row r="629" spans="1:1" x14ac:dyDescent="0.25">
      <c r="A629" s="25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083, 19430920, 1, ////, 07</v>
      </c>
    </row>
    <row r="630" spans="1:1" x14ac:dyDescent="0.25">
      <c r="A630" s="25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083, 19430921, 1, ////, 07</v>
      </c>
    </row>
    <row r="631" spans="1:1" x14ac:dyDescent="0.25">
      <c r="A631" s="25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083, 19430922, 1, ////, 07</v>
      </c>
    </row>
    <row r="632" spans="1:1" x14ac:dyDescent="0.25">
      <c r="A632" s="25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083, 19430923, 1, ////, 07</v>
      </c>
    </row>
    <row r="633" spans="1:1" x14ac:dyDescent="0.25">
      <c r="A633" s="25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083, 19430924, 1, ////, 07</v>
      </c>
    </row>
    <row r="634" spans="1:1" x14ac:dyDescent="0.25">
      <c r="A634" s="25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083, 19430925, 1, ////, 07</v>
      </c>
    </row>
    <row r="635" spans="1:1" x14ac:dyDescent="0.25">
      <c r="A635" s="25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083, 19430926, 1, ////, 07</v>
      </c>
    </row>
    <row r="636" spans="1:1" x14ac:dyDescent="0.25">
      <c r="A636" s="25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083, 19430927, 1, ////, 07</v>
      </c>
    </row>
    <row r="637" spans="1:1" x14ac:dyDescent="0.25">
      <c r="A637" s="25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083, 19430928, 1, ////, 07</v>
      </c>
    </row>
    <row r="638" spans="1:1" x14ac:dyDescent="0.25">
      <c r="A638" s="25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083, 19430929, 1, ////, 07</v>
      </c>
    </row>
    <row r="639" spans="1:1" x14ac:dyDescent="0.25">
      <c r="A639" s="25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083, 19430930, 1, ////, 07</v>
      </c>
    </row>
    <row r="640" spans="1:1" x14ac:dyDescent="0.25">
      <c r="A640" s="25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083, 19431001, 1, ////, 07</v>
      </c>
    </row>
    <row r="641" spans="1:1" x14ac:dyDescent="0.25">
      <c r="A641" s="25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083, 19431002, 1, ////, 07</v>
      </c>
    </row>
    <row r="642" spans="1:1" x14ac:dyDescent="0.25">
      <c r="A642" s="25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083, 19431003, 1, ////, 07</v>
      </c>
    </row>
    <row r="643" spans="1:1" x14ac:dyDescent="0.25">
      <c r="A643" s="25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083, 19431004, 1, ////, 07</v>
      </c>
    </row>
    <row r="644" spans="1:1" x14ac:dyDescent="0.25">
      <c r="A644" s="25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083, 19431005, 1, ////, 07</v>
      </c>
    </row>
    <row r="645" spans="1:1" x14ac:dyDescent="0.25">
      <c r="A645" s="25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083, 19431006, 1, ////, 07</v>
      </c>
    </row>
    <row r="646" spans="1:1" x14ac:dyDescent="0.25">
      <c r="A646" s="25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083, 19431007, 1, ////, 07</v>
      </c>
    </row>
    <row r="647" spans="1:1" x14ac:dyDescent="0.25">
      <c r="A647" s="25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083, 19431008, 1, ////, 07</v>
      </c>
    </row>
    <row r="648" spans="1:1" x14ac:dyDescent="0.25">
      <c r="A648" s="25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083, 19431009, 1, ////, 07</v>
      </c>
    </row>
    <row r="649" spans="1:1" x14ac:dyDescent="0.25">
      <c r="A649" s="25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083, 19431010, 1, ////, 07</v>
      </c>
    </row>
    <row r="650" spans="1:1" x14ac:dyDescent="0.25">
      <c r="A650" s="25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083, 19431011, 1, ////, 07</v>
      </c>
    </row>
    <row r="651" spans="1:1" x14ac:dyDescent="0.25">
      <c r="A651" s="25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083, 19431012, 1, ////, 07</v>
      </c>
    </row>
    <row r="652" spans="1:1" x14ac:dyDescent="0.25">
      <c r="A652" s="25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083, 19431013, 1, ////, 07</v>
      </c>
    </row>
    <row r="653" spans="1:1" x14ac:dyDescent="0.25">
      <c r="A653" s="25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083, 19431014, 1, ////, 07</v>
      </c>
    </row>
    <row r="654" spans="1:1" x14ac:dyDescent="0.25">
      <c r="A654" s="25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083, 19431015, 1, ////, 07</v>
      </c>
    </row>
    <row r="655" spans="1:1" x14ac:dyDescent="0.25">
      <c r="A655" s="25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083, 19431016, 1, ////, 07</v>
      </c>
    </row>
    <row r="656" spans="1:1" x14ac:dyDescent="0.25">
      <c r="A656" s="25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083, 19431017, 1, ////, 07</v>
      </c>
    </row>
    <row r="657" spans="1:1" x14ac:dyDescent="0.25">
      <c r="A657" s="25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083, 19431018, 1, ////, 07</v>
      </c>
    </row>
    <row r="658" spans="1:1" x14ac:dyDescent="0.25">
      <c r="A658" s="25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083, 19431019, 1, ////, 07</v>
      </c>
    </row>
    <row r="659" spans="1:1" x14ac:dyDescent="0.25">
      <c r="A659" s="25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083, 19431020, 1, ////, 07</v>
      </c>
    </row>
    <row r="660" spans="1:1" x14ac:dyDescent="0.25">
      <c r="A660" s="25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083, 19431021, 1, ////, 07</v>
      </c>
    </row>
    <row r="661" spans="1:1" x14ac:dyDescent="0.25">
      <c r="A661" s="25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083, 19431022, 1, ////, 07</v>
      </c>
    </row>
    <row r="662" spans="1:1" x14ac:dyDescent="0.25">
      <c r="A662" s="25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083, 19431023, 1, ////, 07</v>
      </c>
    </row>
    <row r="663" spans="1:1" x14ac:dyDescent="0.25">
      <c r="A663" s="25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083, 19431024, 1, ////, 07</v>
      </c>
    </row>
    <row r="664" spans="1:1" x14ac:dyDescent="0.25">
      <c r="A664" s="25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083, 19431025, 1, ////, 07</v>
      </c>
    </row>
    <row r="665" spans="1:1" x14ac:dyDescent="0.25">
      <c r="A665" s="25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083, 19431026, 1, ////, 07</v>
      </c>
    </row>
    <row r="666" spans="1:1" x14ac:dyDescent="0.25">
      <c r="A666" s="25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083, 19431027, 1, ////, 07</v>
      </c>
    </row>
    <row r="667" spans="1:1" x14ac:dyDescent="0.25">
      <c r="A667" s="25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083, 19431028, 1, ////, 07</v>
      </c>
    </row>
    <row r="668" spans="1:1" x14ac:dyDescent="0.25">
      <c r="A668" s="25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083, 19431029, 1, ////, 07</v>
      </c>
    </row>
    <row r="669" spans="1:1" x14ac:dyDescent="0.25">
      <c r="A669" s="25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083, 19431030, 1, ////, 07</v>
      </c>
    </row>
    <row r="670" spans="1:1" x14ac:dyDescent="0.25">
      <c r="A670" s="25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083, 19431031, 1, ////, 07</v>
      </c>
    </row>
    <row r="671" spans="1:1" x14ac:dyDescent="0.25">
      <c r="A671" s="25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083, 19431101, 1, ////, 07</v>
      </c>
    </row>
    <row r="672" spans="1:1" x14ac:dyDescent="0.25">
      <c r="A672" s="25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083, 19431102, 1, ////, 07</v>
      </c>
    </row>
    <row r="673" spans="1:1" x14ac:dyDescent="0.25">
      <c r="A673" s="25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083, 19431103, 1, ////, 07</v>
      </c>
    </row>
    <row r="674" spans="1:1" x14ac:dyDescent="0.25">
      <c r="A674" s="25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083, 19431104, 1, ////, 07</v>
      </c>
    </row>
    <row r="675" spans="1:1" x14ac:dyDescent="0.25">
      <c r="A675" s="25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083, 19431105, 1, ////, 07</v>
      </c>
    </row>
    <row r="676" spans="1:1" x14ac:dyDescent="0.25">
      <c r="A676" s="25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083, 19431106, 1, ////, 07</v>
      </c>
    </row>
    <row r="677" spans="1:1" x14ac:dyDescent="0.25">
      <c r="A677" s="25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083, 19431107, 1, ////, 07</v>
      </c>
    </row>
    <row r="678" spans="1:1" x14ac:dyDescent="0.25">
      <c r="A678" s="25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083, 19431108, 1, ////, 07</v>
      </c>
    </row>
    <row r="679" spans="1:1" x14ac:dyDescent="0.25">
      <c r="A679" s="25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083, 19431109, 1, ////, 07</v>
      </c>
    </row>
    <row r="680" spans="1:1" x14ac:dyDescent="0.25">
      <c r="A680" s="25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083, 19431110, 1, ////, 07</v>
      </c>
    </row>
    <row r="681" spans="1:1" x14ac:dyDescent="0.25">
      <c r="A681" s="25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083, 19431111, 1, ////, 07</v>
      </c>
    </row>
    <row r="682" spans="1:1" x14ac:dyDescent="0.25">
      <c r="A682" s="25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083, 19431112, 1, ////, 07</v>
      </c>
    </row>
    <row r="683" spans="1:1" x14ac:dyDescent="0.25">
      <c r="A683" s="25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083, 19431113, 1, ////, 07</v>
      </c>
    </row>
    <row r="684" spans="1:1" x14ac:dyDescent="0.25">
      <c r="A684" s="25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083, 19431114, 1, ////, 07</v>
      </c>
    </row>
    <row r="685" spans="1:1" x14ac:dyDescent="0.25">
      <c r="A685" s="25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083, 19431115, 1, ////, 07</v>
      </c>
    </row>
    <row r="686" spans="1:1" x14ac:dyDescent="0.25">
      <c r="A686" s="25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083, 19431116, 1, ////, 07</v>
      </c>
    </row>
    <row r="687" spans="1:1" x14ac:dyDescent="0.25">
      <c r="A687" s="25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083, 19431117, 1, ////, 07</v>
      </c>
    </row>
    <row r="688" spans="1:1" x14ac:dyDescent="0.25">
      <c r="A688" s="25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083, 19431118, 1, ////, 07</v>
      </c>
    </row>
    <row r="689" spans="1:1" x14ac:dyDescent="0.25">
      <c r="A689" s="25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083, 19431119, 1, ////, 07</v>
      </c>
    </row>
    <row r="690" spans="1:1" x14ac:dyDescent="0.25">
      <c r="A690" s="25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083, 19431120, 1, ////, 07</v>
      </c>
    </row>
    <row r="691" spans="1:1" x14ac:dyDescent="0.25">
      <c r="A691" s="25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083, 19431121, 1, ////, 07</v>
      </c>
    </row>
    <row r="692" spans="1:1" x14ac:dyDescent="0.25">
      <c r="A692" s="25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083, 19431122, 1, ////, 07</v>
      </c>
    </row>
    <row r="693" spans="1:1" x14ac:dyDescent="0.25">
      <c r="A693" s="25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083, 19431123, 1, ////, 07</v>
      </c>
    </row>
    <row r="694" spans="1:1" x14ac:dyDescent="0.25">
      <c r="A694" s="25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083, 19431124, 1, ////, 07</v>
      </c>
    </row>
    <row r="695" spans="1:1" x14ac:dyDescent="0.25">
      <c r="A695" s="25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083, 19431125, 1, ////, 07</v>
      </c>
    </row>
    <row r="696" spans="1:1" x14ac:dyDescent="0.25">
      <c r="A696" s="25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083, 19431126, 1, ////, 07</v>
      </c>
    </row>
    <row r="697" spans="1:1" x14ac:dyDescent="0.25">
      <c r="A697" s="25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083, 19431127, 1, ////, 07</v>
      </c>
    </row>
    <row r="698" spans="1:1" x14ac:dyDescent="0.25">
      <c r="A698" s="25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083, 19431128, 1, ////, 07</v>
      </c>
    </row>
    <row r="699" spans="1:1" x14ac:dyDescent="0.25">
      <c r="A699" s="25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083, 19431129, 1, ////, 07</v>
      </c>
    </row>
    <row r="700" spans="1:1" x14ac:dyDescent="0.25">
      <c r="A700" s="25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083, 19431130, 1, ////, 07</v>
      </c>
    </row>
    <row r="701" spans="1:1" x14ac:dyDescent="0.25">
      <c r="A701" s="25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083, 19431201, 1, ////, 07</v>
      </c>
    </row>
    <row r="702" spans="1:1" x14ac:dyDescent="0.25">
      <c r="A702" s="25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083, 19431202, 1, ////, 07</v>
      </c>
    </row>
    <row r="703" spans="1:1" x14ac:dyDescent="0.25">
      <c r="A703" s="25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083, 19431203, 1, ////, 07</v>
      </c>
    </row>
    <row r="704" spans="1:1" x14ac:dyDescent="0.25">
      <c r="A704" s="25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083, 19431204, 1, ////, 07</v>
      </c>
    </row>
    <row r="705" spans="1:1" x14ac:dyDescent="0.25">
      <c r="A705" s="25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083, 19431205, 1, ////, 07</v>
      </c>
    </row>
    <row r="706" spans="1:1" x14ac:dyDescent="0.25">
      <c r="A706" s="25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083, 19431206, 1, ////, 07</v>
      </c>
    </row>
    <row r="707" spans="1:1" x14ac:dyDescent="0.25">
      <c r="A707" s="25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083, 19431207, 1, ////, 07</v>
      </c>
    </row>
    <row r="708" spans="1:1" x14ac:dyDescent="0.25">
      <c r="A708" s="25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083, 19431208, 1, ////, 07</v>
      </c>
    </row>
    <row r="709" spans="1:1" x14ac:dyDescent="0.25">
      <c r="A709" s="25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083, 19431209, 1, ////, 07</v>
      </c>
    </row>
    <row r="710" spans="1:1" x14ac:dyDescent="0.25">
      <c r="A710" s="25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083, 19431210, 1, ////, 07</v>
      </c>
    </row>
    <row r="711" spans="1:1" x14ac:dyDescent="0.25">
      <c r="A711" s="25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083, 19431211, 1, ////, 07</v>
      </c>
    </row>
    <row r="712" spans="1:1" x14ac:dyDescent="0.25">
      <c r="A712" s="25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083, 19431212, 1, ////, 07</v>
      </c>
    </row>
    <row r="713" spans="1:1" x14ac:dyDescent="0.25">
      <c r="A713" s="25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083, 19431213, 1, ////, 07</v>
      </c>
    </row>
    <row r="714" spans="1:1" x14ac:dyDescent="0.25">
      <c r="A714" s="25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083, 19431214, 1, ////, 07</v>
      </c>
    </row>
    <row r="715" spans="1:1" x14ac:dyDescent="0.25">
      <c r="A715" s="25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083, 19431215, 1, ////, 07</v>
      </c>
    </row>
    <row r="716" spans="1:1" x14ac:dyDescent="0.25">
      <c r="A716" s="25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083, 19431216, 1, ////, 07</v>
      </c>
    </row>
    <row r="717" spans="1:1" x14ac:dyDescent="0.25">
      <c r="A717" s="25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083, 19431217, 1, ////, 07</v>
      </c>
    </row>
    <row r="718" spans="1:1" x14ac:dyDescent="0.25">
      <c r="A718" s="25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083, 19431218, 1, ////, 07</v>
      </c>
    </row>
    <row r="719" spans="1:1" x14ac:dyDescent="0.25">
      <c r="A719" s="25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083, 19431219, 1, ////, 07</v>
      </c>
    </row>
    <row r="720" spans="1:1" x14ac:dyDescent="0.25">
      <c r="A720" s="25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083, 19431220, 1, ////, 07</v>
      </c>
    </row>
    <row r="721" spans="1:1" x14ac:dyDescent="0.25">
      <c r="A721" s="25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083, 19431221, 1, ////, 07</v>
      </c>
    </row>
    <row r="722" spans="1:1" x14ac:dyDescent="0.25">
      <c r="A722" s="25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083, 19431222, 1, ////, 07</v>
      </c>
    </row>
    <row r="723" spans="1:1" x14ac:dyDescent="0.25">
      <c r="A723" s="25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083, 19431223, 1, ////, 07</v>
      </c>
    </row>
    <row r="724" spans="1:1" x14ac:dyDescent="0.25">
      <c r="A724" s="25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083, 19431224, 1, ////, 07</v>
      </c>
    </row>
    <row r="725" spans="1:1" x14ac:dyDescent="0.25">
      <c r="A725" s="25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083, 19431225, 1, ////, 07</v>
      </c>
    </row>
    <row r="726" spans="1:1" x14ac:dyDescent="0.25">
      <c r="A726" s="25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083, 19431226, 1, ////, 07</v>
      </c>
    </row>
    <row r="727" spans="1:1" x14ac:dyDescent="0.25">
      <c r="A727" s="25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083, 19431227, 1, ////, 07</v>
      </c>
    </row>
    <row r="728" spans="1:1" x14ac:dyDescent="0.25">
      <c r="A728" s="25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083, 19431228, 1, ////, 07</v>
      </c>
    </row>
    <row r="729" spans="1:1" x14ac:dyDescent="0.25">
      <c r="A729" s="25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083, 19431229, 1, ////, 07</v>
      </c>
    </row>
    <row r="730" spans="1:1" x14ac:dyDescent="0.25">
      <c r="A730" s="25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083, 19431230, 1, ////, 07</v>
      </c>
    </row>
    <row r="731" spans="1:1" x14ac:dyDescent="0.25">
      <c r="A731" s="25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083, 19431231, 1, ////, 07</v>
      </c>
    </row>
    <row r="732" spans="1:1" x14ac:dyDescent="0.25">
      <c r="A732" s="25" t="str">
        <f ca="1">TEXT(Regen!A732,"000\,")&amp;TEXT(Regen!B732,"?00000000")&amp;TEXT(Regen!C732,""",""?0")&amp;SUBSTITUTE(TEXT(Regen!D732,""",""????0;"",""???-0;"",""????0;"", ////"""),"'","""")&amp;SUBSTITUTE(TEXT(Regen!E732,""",""?00;"",""?-00;"",""?00;"", //"""),"'","""")</f>
        <v>082, 19430101, 1, ////, 07</v>
      </c>
    </row>
    <row r="733" spans="1:1" x14ac:dyDescent="0.25">
      <c r="A733" s="25" t="str">
        <f ca="1">TEXT(Regen!A733,"000\,")&amp;TEXT(Regen!B733,"?00000000")&amp;TEXT(Regen!C733,""",""?0")&amp;SUBSTITUTE(TEXT(Regen!D733,""",""????0;"",""???-0;"",""????0;"", ////"""),"'","""")&amp;SUBSTITUTE(TEXT(Regen!E733,""",""?00;"",""?-00;"",""?00;"", //"""),"'","""")</f>
        <v>082, 19430102, 1, ////, 07</v>
      </c>
    </row>
    <row r="734" spans="1:1" x14ac:dyDescent="0.25">
      <c r="A734" s="25" t="str">
        <f ca="1">TEXT(Regen!A734,"000\,")&amp;TEXT(Regen!B734,"?00000000")&amp;TEXT(Regen!C734,""",""?0")&amp;SUBSTITUTE(TEXT(Regen!D734,""",""????0;"",""???-0;"",""????0;"", ////"""),"'","""")&amp;SUBSTITUTE(TEXT(Regen!E734,""",""?00;"",""?-00;"",""?00;"", //"""),"'","""")</f>
        <v>082, 19430103, 1, ////, 07</v>
      </c>
    </row>
    <row r="735" spans="1:1" x14ac:dyDescent="0.25">
      <c r="A735" s="25" t="str">
        <f ca="1">TEXT(Regen!A735,"000\,")&amp;TEXT(Regen!B735,"?00000000")&amp;TEXT(Regen!C735,""",""?0")&amp;SUBSTITUTE(TEXT(Regen!D735,""",""????0;"",""???-0;"",""????0;"", ////"""),"'","""")&amp;SUBSTITUTE(TEXT(Regen!E735,""",""?00;"",""?-00;"",""?00;"", //"""),"'","""")</f>
        <v>082, 19430104, 1, ////, 07</v>
      </c>
    </row>
    <row r="736" spans="1:1" x14ac:dyDescent="0.25">
      <c r="A736" s="25" t="str">
        <f ca="1">TEXT(Regen!A736,"000\,")&amp;TEXT(Regen!B736,"?00000000")&amp;TEXT(Regen!C736,""",""?0")&amp;SUBSTITUTE(TEXT(Regen!D736,""",""????0;"",""???-0;"",""????0;"", ////"""),"'","""")&amp;SUBSTITUTE(TEXT(Regen!E736,""",""?00;"",""?-00;"",""?00;"", //"""),"'","""")</f>
        <v>082, 19430105, 1, ////, 07</v>
      </c>
    </row>
    <row r="737" spans="1:1" x14ac:dyDescent="0.25">
      <c r="A737" s="25" t="str">
        <f ca="1">TEXT(Regen!A737,"000\,")&amp;TEXT(Regen!B737,"?00000000")&amp;TEXT(Regen!C737,""",""?0")&amp;SUBSTITUTE(TEXT(Regen!D737,""",""????0;"",""???-0;"",""????0;"", ////"""),"'","""")&amp;SUBSTITUTE(TEXT(Regen!E737,""",""?00;"",""?-00;"",""?00;"", //"""),"'","""")</f>
        <v>082, 19430106, 1, ////, 07</v>
      </c>
    </row>
    <row r="738" spans="1:1" x14ac:dyDescent="0.25">
      <c r="A738" s="25" t="str">
        <f ca="1">TEXT(Regen!A738,"000\,")&amp;TEXT(Regen!B738,"?00000000")&amp;TEXT(Regen!C738,""",""?0")&amp;SUBSTITUTE(TEXT(Regen!D738,""",""????0;"",""???-0;"",""????0;"", ////"""),"'","""")&amp;SUBSTITUTE(TEXT(Regen!E738,""",""?00;"",""?-00;"",""?00;"", //"""),"'","""")</f>
        <v>082, 19430107, 1, ////, 07</v>
      </c>
    </row>
    <row r="739" spans="1:1" x14ac:dyDescent="0.25">
      <c r="A739" s="25" t="str">
        <f ca="1">TEXT(Regen!A739,"000\,")&amp;TEXT(Regen!B739,"?00000000")&amp;TEXT(Regen!C739,""",""?0")&amp;SUBSTITUTE(TEXT(Regen!D739,""",""????0;"",""???-0;"",""????0;"", ////"""),"'","""")&amp;SUBSTITUTE(TEXT(Regen!E739,""",""?00;"",""?-00;"",""?00;"", //"""),"'","""")</f>
        <v>082, 19430108, 1, ////, 07</v>
      </c>
    </row>
    <row r="740" spans="1:1" x14ac:dyDescent="0.25">
      <c r="A740" s="25" t="str">
        <f ca="1">TEXT(Regen!A740,"000\,")&amp;TEXT(Regen!B740,"?00000000")&amp;TEXT(Regen!C740,""",""?0")&amp;SUBSTITUTE(TEXT(Regen!D740,""",""????0;"",""???-0;"",""????0;"", ////"""),"'","""")&amp;SUBSTITUTE(TEXT(Regen!E740,""",""?00;"",""?-00;"",""?00;"", //"""),"'","""")</f>
        <v>082, 19430109, 1, ////, 07</v>
      </c>
    </row>
    <row r="741" spans="1:1" x14ac:dyDescent="0.25">
      <c r="A741" s="25" t="str">
        <f ca="1">TEXT(Regen!A741,"000\,")&amp;TEXT(Regen!B741,"?00000000")&amp;TEXT(Regen!C741,""",""?0")&amp;SUBSTITUTE(TEXT(Regen!D741,""",""????0;"",""???-0;"",""????0;"", ////"""),"'","""")&amp;SUBSTITUTE(TEXT(Regen!E741,""",""?00;"",""?-00;"",""?00;"", //"""),"'","""")</f>
        <v>082, 19430110, 1, ////, 07</v>
      </c>
    </row>
    <row r="742" spans="1:1" x14ac:dyDescent="0.25">
      <c r="A742" s="25" t="str">
        <f ca="1">TEXT(Regen!A742,"000\,")&amp;TEXT(Regen!B742,"?00000000")&amp;TEXT(Regen!C742,""",""?0")&amp;SUBSTITUTE(TEXT(Regen!D742,""",""????0;"",""???-0;"",""????0;"", ////"""),"'","""")&amp;SUBSTITUTE(TEXT(Regen!E742,""",""?00;"",""?-00;"",""?00;"", //"""),"'","""")</f>
        <v>082, 19430111, 1, ////, 07</v>
      </c>
    </row>
    <row r="743" spans="1:1" x14ac:dyDescent="0.25">
      <c r="A743" s="25" t="str">
        <f ca="1">TEXT(Regen!A743,"000\,")&amp;TEXT(Regen!B743,"?00000000")&amp;TEXT(Regen!C743,""",""?0")&amp;SUBSTITUTE(TEXT(Regen!D743,""",""????0;"",""???-0;"",""????0;"", ////"""),"'","""")&amp;SUBSTITUTE(TEXT(Regen!E743,""",""?00;"",""?-00;"",""?00;"", //"""),"'","""")</f>
        <v>082, 19430112, 1, ////, 07</v>
      </c>
    </row>
    <row r="744" spans="1:1" x14ac:dyDescent="0.25">
      <c r="A744" s="25" t="str">
        <f ca="1">TEXT(Regen!A744,"000\,")&amp;TEXT(Regen!B744,"?00000000")&amp;TEXT(Regen!C744,""",""?0")&amp;SUBSTITUTE(TEXT(Regen!D744,""",""????0;"",""???-0;"",""????0;"", ////"""),"'","""")&amp;SUBSTITUTE(TEXT(Regen!E744,""",""?00;"",""?-00;"",""?00;"", //"""),"'","""")</f>
        <v>082, 19430113, 1, ////, 07</v>
      </c>
    </row>
    <row r="745" spans="1:1" x14ac:dyDescent="0.25">
      <c r="A745" s="25" t="str">
        <f ca="1">TEXT(Regen!A745,"000\,")&amp;TEXT(Regen!B745,"?00000000")&amp;TEXT(Regen!C745,""",""?0")&amp;SUBSTITUTE(TEXT(Regen!D745,""",""????0;"",""???-0;"",""????0;"", ////"""),"'","""")&amp;SUBSTITUTE(TEXT(Regen!E745,""",""?00;"",""?-00;"",""?00;"", //"""),"'","""")</f>
        <v>082, 19430114, 1, ////, 07</v>
      </c>
    </row>
    <row r="746" spans="1:1" x14ac:dyDescent="0.25">
      <c r="A746" s="25" t="str">
        <f ca="1">TEXT(Regen!A746,"000\,")&amp;TEXT(Regen!B746,"?00000000")&amp;TEXT(Regen!C746,""",""?0")&amp;SUBSTITUTE(TEXT(Regen!D746,""",""????0;"",""???-0;"",""????0;"", ////"""),"'","""")&amp;SUBSTITUTE(TEXT(Regen!E746,""",""?00;"",""?-00;"",""?00;"", //"""),"'","""")</f>
        <v>082, 19430115, 1, ////, 07</v>
      </c>
    </row>
    <row r="747" spans="1:1" x14ac:dyDescent="0.25">
      <c r="A747" s="25" t="str">
        <f ca="1">TEXT(Regen!A747,"000\,")&amp;TEXT(Regen!B747,"?00000000")&amp;TEXT(Regen!C747,""",""?0")&amp;SUBSTITUTE(TEXT(Regen!D747,""",""????0;"",""???-0;"",""????0;"", ////"""),"'","""")&amp;SUBSTITUTE(TEXT(Regen!E747,""",""?00;"",""?-00;"",""?00;"", //"""),"'","""")</f>
        <v>082, 19430116, 1, ////, 07</v>
      </c>
    </row>
    <row r="748" spans="1:1" x14ac:dyDescent="0.25">
      <c r="A748" s="25" t="str">
        <f ca="1">TEXT(Regen!A748,"000\,")&amp;TEXT(Regen!B748,"?00000000")&amp;TEXT(Regen!C748,""",""?0")&amp;SUBSTITUTE(TEXT(Regen!D748,""",""????0;"",""???-0;"",""????0;"", ////"""),"'","""")&amp;SUBSTITUTE(TEXT(Regen!E748,""",""?00;"",""?-00;"",""?00;"", //"""),"'","""")</f>
        <v>082, 19430117, 1, ////, 07</v>
      </c>
    </row>
    <row r="749" spans="1:1" x14ac:dyDescent="0.25">
      <c r="A749" s="25" t="str">
        <f ca="1">TEXT(Regen!A749,"000\,")&amp;TEXT(Regen!B749,"?00000000")&amp;TEXT(Regen!C749,""",""?0")&amp;SUBSTITUTE(TEXT(Regen!D749,""",""????0;"",""???-0;"",""????0;"", ////"""),"'","""")&amp;SUBSTITUTE(TEXT(Regen!E749,""",""?00;"",""?-00;"",""?00;"", //"""),"'","""")</f>
        <v>082, 19430118, 1, ////, 07</v>
      </c>
    </row>
    <row r="750" spans="1:1" x14ac:dyDescent="0.25">
      <c r="A750" s="25" t="str">
        <f ca="1">TEXT(Regen!A750,"000\,")&amp;TEXT(Regen!B750,"?00000000")&amp;TEXT(Regen!C750,""",""?0")&amp;SUBSTITUTE(TEXT(Regen!D750,""",""????0;"",""???-0;"",""????0;"", ////"""),"'","""")&amp;SUBSTITUTE(TEXT(Regen!E750,""",""?00;"",""?-00;"",""?00;"", //"""),"'","""")</f>
        <v>082, 19430119, 1, ////, 07</v>
      </c>
    </row>
    <row r="751" spans="1:1" x14ac:dyDescent="0.25">
      <c r="A751" s="25" t="str">
        <f ca="1">TEXT(Regen!A751,"000\,")&amp;TEXT(Regen!B751,"?00000000")&amp;TEXT(Regen!C751,""",""?0")&amp;SUBSTITUTE(TEXT(Regen!D751,""",""????0;"",""???-0;"",""????0;"", ////"""),"'","""")&amp;SUBSTITUTE(TEXT(Regen!E751,""",""?00;"",""?-00;"",""?00;"", //"""),"'","""")</f>
        <v>082, 19430120, 1, ////, 07</v>
      </c>
    </row>
    <row r="752" spans="1:1" x14ac:dyDescent="0.25">
      <c r="A752" s="25" t="str">
        <f ca="1">TEXT(Regen!A752,"000\,")&amp;TEXT(Regen!B752,"?00000000")&amp;TEXT(Regen!C752,""",""?0")&amp;SUBSTITUTE(TEXT(Regen!D752,""",""????0;"",""???-0;"",""????0;"", ////"""),"'","""")&amp;SUBSTITUTE(TEXT(Regen!E752,""",""?00;"",""?-00;"",""?00;"", //"""),"'","""")</f>
        <v>082, 19430121, 1, ////, 07</v>
      </c>
    </row>
    <row r="753" spans="1:1" x14ac:dyDescent="0.25">
      <c r="A753" s="25" t="str">
        <f ca="1">TEXT(Regen!A753,"000\,")&amp;TEXT(Regen!B753,"?00000000")&amp;TEXT(Regen!C753,""",""?0")&amp;SUBSTITUTE(TEXT(Regen!D753,""",""????0;"",""???-0;"",""????0;"", ////"""),"'","""")&amp;SUBSTITUTE(TEXT(Regen!E753,""",""?00;"",""?-00;"",""?00;"", //"""),"'","""")</f>
        <v>082, 19430122, 1, ////, 07</v>
      </c>
    </row>
    <row r="754" spans="1:1" x14ac:dyDescent="0.25">
      <c r="A754" s="25" t="str">
        <f ca="1">TEXT(Regen!A754,"000\,")&amp;TEXT(Regen!B754,"?00000000")&amp;TEXT(Regen!C754,""",""?0")&amp;SUBSTITUTE(TEXT(Regen!D754,""",""????0;"",""???-0;"",""????0;"", ////"""),"'","""")&amp;SUBSTITUTE(TEXT(Regen!E754,""",""?00;"",""?-00;"",""?00;"", //"""),"'","""")</f>
        <v>082, 19430123, 1, ////, 07</v>
      </c>
    </row>
    <row r="755" spans="1:1" x14ac:dyDescent="0.25">
      <c r="A755" s="25" t="str">
        <f ca="1">TEXT(Regen!A755,"000\,")&amp;TEXT(Regen!B755,"?00000000")&amp;TEXT(Regen!C755,""",""?0")&amp;SUBSTITUTE(TEXT(Regen!D755,""",""????0;"",""???-0;"",""????0;"", ////"""),"'","""")&amp;SUBSTITUTE(TEXT(Regen!E755,""",""?00;"",""?-00;"",""?00;"", //"""),"'","""")</f>
        <v>082, 19430124, 1, ////, 07</v>
      </c>
    </row>
    <row r="756" spans="1:1" x14ac:dyDescent="0.25">
      <c r="A756" s="25" t="str">
        <f ca="1">TEXT(Regen!A756,"000\,")&amp;TEXT(Regen!B756,"?00000000")&amp;TEXT(Regen!C756,""",""?0")&amp;SUBSTITUTE(TEXT(Regen!D756,""",""????0;"",""???-0;"",""????0;"", ////"""),"'","""")&amp;SUBSTITUTE(TEXT(Regen!E756,""",""?00;"",""?-00;"",""?00;"", //"""),"'","""")</f>
        <v>082, 19430125, 1, ////, 07</v>
      </c>
    </row>
    <row r="757" spans="1:1" x14ac:dyDescent="0.25">
      <c r="A757" s="25" t="str">
        <f ca="1">TEXT(Regen!A757,"000\,")&amp;TEXT(Regen!B757,"?00000000")&amp;TEXT(Regen!C757,""",""?0")&amp;SUBSTITUTE(TEXT(Regen!D757,""",""????0;"",""???-0;"",""????0;"", ////"""),"'","""")&amp;SUBSTITUTE(TEXT(Regen!E757,""",""?00;"",""?-00;"",""?00;"", //"""),"'","""")</f>
        <v>082, 19430126, 1, ////, 07</v>
      </c>
    </row>
    <row r="758" spans="1:1" x14ac:dyDescent="0.25">
      <c r="A758" s="25" t="str">
        <f ca="1">TEXT(Regen!A758,"000\,")&amp;TEXT(Regen!B758,"?00000000")&amp;TEXT(Regen!C758,""",""?0")&amp;SUBSTITUTE(TEXT(Regen!D758,""",""????0;"",""???-0;"",""????0;"", ////"""),"'","""")&amp;SUBSTITUTE(TEXT(Regen!E758,""",""?00;"",""?-00;"",""?00;"", //"""),"'","""")</f>
        <v>082, 19430127, 1, ////, 07</v>
      </c>
    </row>
    <row r="759" spans="1:1" x14ac:dyDescent="0.25">
      <c r="A759" s="25" t="str">
        <f ca="1">TEXT(Regen!A759,"000\,")&amp;TEXT(Regen!B759,"?00000000")&amp;TEXT(Regen!C759,""",""?0")&amp;SUBSTITUTE(TEXT(Regen!D759,""",""????0;"",""???-0;"",""????0;"", ////"""),"'","""")&amp;SUBSTITUTE(TEXT(Regen!E759,""",""?00;"",""?-00;"",""?00;"", //"""),"'","""")</f>
        <v>082, 19430128, 1, ////, 07</v>
      </c>
    </row>
    <row r="760" spans="1:1" x14ac:dyDescent="0.25">
      <c r="A760" s="25" t="str">
        <f ca="1">TEXT(Regen!A760,"000\,")&amp;TEXT(Regen!B760,"?00000000")&amp;TEXT(Regen!C760,""",""?0")&amp;SUBSTITUTE(TEXT(Regen!D760,""",""????0;"",""???-0;"",""????0;"", ////"""),"'","""")&amp;SUBSTITUTE(TEXT(Regen!E760,""",""?00;"",""?-00;"",""?00;"", //"""),"'","""")</f>
        <v>082, 19430129, 1, ////, 07</v>
      </c>
    </row>
    <row r="761" spans="1:1" x14ac:dyDescent="0.25">
      <c r="A761" s="25" t="str">
        <f ca="1">TEXT(Regen!A761,"000\,")&amp;TEXT(Regen!B761,"?00000000")&amp;TEXT(Regen!C761,""",""?0")&amp;SUBSTITUTE(TEXT(Regen!D761,""",""????0;"",""???-0;"",""????0;"", ////"""),"'","""")&amp;SUBSTITUTE(TEXT(Regen!E761,""",""?00;"",""?-00;"",""?00;"", //"""),"'","""")</f>
        <v>082, 19430130, 1, ////, 07</v>
      </c>
    </row>
    <row r="762" spans="1:1" x14ac:dyDescent="0.25">
      <c r="A762" s="25" t="str">
        <f ca="1">TEXT(Regen!A762,"000\,")&amp;TEXT(Regen!B762,"?00000000")&amp;TEXT(Regen!C762,""",""?0")&amp;SUBSTITUTE(TEXT(Regen!D762,""",""????0;"",""???-0;"",""????0;"", ////"""),"'","""")&amp;SUBSTITUTE(TEXT(Regen!E762,""",""?00;"",""?-00;"",""?00;"", //"""),"'","""")</f>
        <v>082, 19430131, 1, ////, 07</v>
      </c>
    </row>
    <row r="763" spans="1:1" x14ac:dyDescent="0.25">
      <c r="A763" s="25" t="str">
        <f ca="1">TEXT(Regen!A763,"000\,")&amp;TEXT(Regen!B763,"?00000000")&amp;TEXT(Regen!C763,""",""?0")&amp;SUBSTITUTE(TEXT(Regen!D763,""",""????0;"",""???-0;"",""????0;"", ////"""),"'","""")&amp;SUBSTITUTE(TEXT(Regen!E763,""",""?00;"",""?-00;"",""?00;"", //"""),"'","""")</f>
        <v>082, 19430201, 1, ////, 07</v>
      </c>
    </row>
    <row r="764" spans="1:1" x14ac:dyDescent="0.25">
      <c r="A764" s="25" t="str">
        <f ca="1">TEXT(Regen!A764,"000\,")&amp;TEXT(Regen!B764,"?00000000")&amp;TEXT(Regen!C764,""",""?0")&amp;SUBSTITUTE(TEXT(Regen!D764,""",""????0;"",""???-0;"",""????0;"", ////"""),"'","""")&amp;SUBSTITUTE(TEXT(Regen!E764,""",""?00;"",""?-00;"",""?00;"", //"""),"'","""")</f>
        <v>082, 19430202, 1, ////, 07</v>
      </c>
    </row>
    <row r="765" spans="1:1" x14ac:dyDescent="0.25">
      <c r="A765" s="25" t="str">
        <f ca="1">TEXT(Regen!A765,"000\,")&amp;TEXT(Regen!B765,"?00000000")&amp;TEXT(Regen!C765,""",""?0")&amp;SUBSTITUTE(TEXT(Regen!D765,""",""????0;"",""???-0;"",""????0;"", ////"""),"'","""")&amp;SUBSTITUTE(TEXT(Regen!E765,""",""?00;"",""?-00;"",""?00;"", //"""),"'","""")</f>
        <v>082, 19430203, 1, ////, 07</v>
      </c>
    </row>
    <row r="766" spans="1:1" x14ac:dyDescent="0.25">
      <c r="A766" s="25" t="str">
        <f ca="1">TEXT(Regen!A766,"000\,")&amp;TEXT(Regen!B766,"?00000000")&amp;TEXT(Regen!C766,""",""?0")&amp;SUBSTITUTE(TEXT(Regen!D766,""",""????0;"",""???-0;"",""????0;"", ////"""),"'","""")&amp;SUBSTITUTE(TEXT(Regen!E766,""",""?00;"",""?-00;"",""?00;"", //"""),"'","""")</f>
        <v>082, 19430204, 1, ////, 07</v>
      </c>
    </row>
    <row r="767" spans="1:1" x14ac:dyDescent="0.25">
      <c r="A767" s="25" t="str">
        <f ca="1">TEXT(Regen!A767,"000\,")&amp;TEXT(Regen!B767,"?00000000")&amp;TEXT(Regen!C767,""",""?0")&amp;SUBSTITUTE(TEXT(Regen!D767,""",""????0;"",""???-0;"",""????0;"", ////"""),"'","""")&amp;SUBSTITUTE(TEXT(Regen!E767,""",""?00;"",""?-00;"",""?00;"", //"""),"'","""")</f>
        <v>082, 19430205, 1, ////, 07</v>
      </c>
    </row>
    <row r="768" spans="1:1" x14ac:dyDescent="0.25">
      <c r="A768" s="25" t="str">
        <f ca="1">TEXT(Regen!A768,"000\,")&amp;TEXT(Regen!B768,"?00000000")&amp;TEXT(Regen!C768,""",""?0")&amp;SUBSTITUTE(TEXT(Regen!D768,""",""????0;"",""???-0;"",""????0;"", ////"""),"'","""")&amp;SUBSTITUTE(TEXT(Regen!E768,""",""?00;"",""?-00;"",""?00;"", //"""),"'","""")</f>
        <v>082, 19430206, 1, ////, 07</v>
      </c>
    </row>
    <row r="769" spans="1:1" x14ac:dyDescent="0.25">
      <c r="A769" s="25" t="str">
        <f ca="1">TEXT(Regen!A769,"000\,")&amp;TEXT(Regen!B769,"?00000000")&amp;TEXT(Regen!C769,""",""?0")&amp;SUBSTITUTE(TEXT(Regen!D769,""",""????0;"",""???-0;"",""????0;"", ////"""),"'","""")&amp;SUBSTITUTE(TEXT(Regen!E769,""",""?00;"",""?-00;"",""?00;"", //"""),"'","""")</f>
        <v>082, 19430207, 1, ////, 07</v>
      </c>
    </row>
    <row r="770" spans="1:1" x14ac:dyDescent="0.25">
      <c r="A770" s="25" t="str">
        <f ca="1">TEXT(Regen!A770,"000\,")&amp;TEXT(Regen!B770,"?00000000")&amp;TEXT(Regen!C770,""",""?0")&amp;SUBSTITUTE(TEXT(Regen!D770,""",""????0;"",""???-0;"",""????0;"", ////"""),"'","""")&amp;SUBSTITUTE(TEXT(Regen!E770,""",""?00;"",""?-00;"",""?00;"", //"""),"'","""")</f>
        <v>082, 19430208, 1, ////, 07</v>
      </c>
    </row>
    <row r="771" spans="1:1" x14ac:dyDescent="0.25">
      <c r="A771" s="25" t="str">
        <f ca="1">TEXT(Regen!A771,"000\,")&amp;TEXT(Regen!B771,"?00000000")&amp;TEXT(Regen!C771,""",""?0")&amp;SUBSTITUTE(TEXT(Regen!D771,""",""????0;"",""???-0;"",""????0;"", ////"""),"'","""")&amp;SUBSTITUTE(TEXT(Regen!E771,""",""?00;"",""?-00;"",""?00;"", //"""),"'","""")</f>
        <v>082, 19430209, 1, ////, 07</v>
      </c>
    </row>
    <row r="772" spans="1:1" x14ac:dyDescent="0.25">
      <c r="A772" s="25" t="str">
        <f ca="1">TEXT(Regen!A772,"000\,")&amp;TEXT(Regen!B772,"?00000000")&amp;TEXT(Regen!C772,""",""?0")&amp;SUBSTITUTE(TEXT(Regen!D772,""",""????0;"",""???-0;"",""????0;"", ////"""),"'","""")&amp;SUBSTITUTE(TEXT(Regen!E772,""",""?00;"",""?-00;"",""?00;"", //"""),"'","""")</f>
        <v>082, 19430210, 1, ////, 07</v>
      </c>
    </row>
    <row r="773" spans="1:1" x14ac:dyDescent="0.25">
      <c r="A773" s="25" t="str">
        <f ca="1">TEXT(Regen!A773,"000\,")&amp;TEXT(Regen!B773,"?00000000")&amp;TEXT(Regen!C773,""",""?0")&amp;SUBSTITUTE(TEXT(Regen!D773,""",""????0;"",""???-0;"",""????0;"", ////"""),"'","""")&amp;SUBSTITUTE(TEXT(Regen!E773,""",""?00;"",""?-00;"",""?00;"", //"""),"'","""")</f>
        <v>082, 19430211, 1, ////, 07</v>
      </c>
    </row>
    <row r="774" spans="1:1" x14ac:dyDescent="0.25">
      <c r="A774" s="25" t="str">
        <f ca="1">TEXT(Regen!A774,"000\,")&amp;TEXT(Regen!B774,"?00000000")&amp;TEXT(Regen!C774,""",""?0")&amp;SUBSTITUTE(TEXT(Regen!D774,""",""????0;"",""???-0;"",""????0;"", ////"""),"'","""")&amp;SUBSTITUTE(TEXT(Regen!E774,""",""?00;"",""?-00;"",""?00;"", //"""),"'","""")</f>
        <v>082, 19430212, 1, ////, 07</v>
      </c>
    </row>
    <row r="775" spans="1:1" x14ac:dyDescent="0.25">
      <c r="A775" s="25" t="str">
        <f ca="1">TEXT(Regen!A775,"000\,")&amp;TEXT(Regen!B775,"?00000000")&amp;TEXT(Regen!C775,""",""?0")&amp;SUBSTITUTE(TEXT(Regen!D775,""",""????0;"",""???-0;"",""????0;"", ////"""),"'","""")&amp;SUBSTITUTE(TEXT(Regen!E775,""",""?00;"",""?-00;"",""?00;"", //"""),"'","""")</f>
        <v>082, 19430213, 1, ////, 07</v>
      </c>
    </row>
    <row r="776" spans="1:1" x14ac:dyDescent="0.25">
      <c r="A776" s="25" t="str">
        <f ca="1">TEXT(Regen!A776,"000\,")&amp;TEXT(Regen!B776,"?00000000")&amp;TEXT(Regen!C776,""",""?0")&amp;SUBSTITUTE(TEXT(Regen!D776,""",""????0;"",""???-0;"",""????0;"", ////"""),"'","""")&amp;SUBSTITUTE(TEXT(Regen!E776,""",""?00;"",""?-00;"",""?00;"", //"""),"'","""")</f>
        <v>082, 19430214, 1, ////, 07</v>
      </c>
    </row>
    <row r="777" spans="1:1" x14ac:dyDescent="0.25">
      <c r="A777" s="25" t="str">
        <f ca="1">TEXT(Regen!A777,"000\,")&amp;TEXT(Regen!B777,"?00000000")&amp;TEXT(Regen!C777,""",""?0")&amp;SUBSTITUTE(TEXT(Regen!D777,""",""????0;"",""???-0;"",""????0;"", ////"""),"'","""")&amp;SUBSTITUTE(TEXT(Regen!E777,""",""?00;"",""?-00;"",""?00;"", //"""),"'","""")</f>
        <v>082, 19430215, 1, ////, 07</v>
      </c>
    </row>
    <row r="778" spans="1:1" x14ac:dyDescent="0.25">
      <c r="A778" s="25" t="str">
        <f ca="1">TEXT(Regen!A778,"000\,")&amp;TEXT(Regen!B778,"?00000000")&amp;TEXT(Regen!C778,""",""?0")&amp;SUBSTITUTE(TEXT(Regen!D778,""",""????0;"",""???-0;"",""????0;"", ////"""),"'","""")&amp;SUBSTITUTE(TEXT(Regen!E778,""",""?00;"",""?-00;"",""?00;"", //"""),"'","""")</f>
        <v>082, 19430216, 1, ////, 07</v>
      </c>
    </row>
    <row r="779" spans="1:1" x14ac:dyDescent="0.25">
      <c r="A779" s="25" t="str">
        <f ca="1">TEXT(Regen!A779,"000\,")&amp;TEXT(Regen!B779,"?00000000")&amp;TEXT(Regen!C779,""",""?0")&amp;SUBSTITUTE(TEXT(Regen!D779,""",""????0;"",""???-0;"",""????0;"", ////"""),"'","""")&amp;SUBSTITUTE(TEXT(Regen!E779,""",""?00;"",""?-00;"",""?00;"", //"""),"'","""")</f>
        <v>082, 19430217, 1, ////, 07</v>
      </c>
    </row>
    <row r="780" spans="1:1" x14ac:dyDescent="0.25">
      <c r="A780" s="25" t="str">
        <f ca="1">TEXT(Regen!A780,"000\,")&amp;TEXT(Regen!B780,"?00000000")&amp;TEXT(Regen!C780,""",""?0")&amp;SUBSTITUTE(TEXT(Regen!D780,""",""????0;"",""???-0;"",""????0;"", ////"""),"'","""")&amp;SUBSTITUTE(TEXT(Regen!E780,""",""?00;"",""?-00;"",""?00;"", //"""),"'","""")</f>
        <v>082, 19430218, 1, ////, 07</v>
      </c>
    </row>
    <row r="781" spans="1:1" x14ac:dyDescent="0.25">
      <c r="A781" s="25" t="str">
        <f ca="1">TEXT(Regen!A781,"000\,")&amp;TEXT(Regen!B781,"?00000000")&amp;TEXT(Regen!C781,""",""?0")&amp;SUBSTITUTE(TEXT(Regen!D781,""",""????0;"",""???-0;"",""????0;"", ////"""),"'","""")&amp;SUBSTITUTE(TEXT(Regen!E781,""",""?00;"",""?-00;"",""?00;"", //"""),"'","""")</f>
        <v>082, 19430219, 1, ////, 07</v>
      </c>
    </row>
    <row r="782" spans="1:1" x14ac:dyDescent="0.25">
      <c r="A782" s="25" t="str">
        <f ca="1">TEXT(Regen!A782,"000\,")&amp;TEXT(Regen!B782,"?00000000")&amp;TEXT(Regen!C782,""",""?0")&amp;SUBSTITUTE(TEXT(Regen!D782,""",""????0;"",""???-0;"",""????0;"", ////"""),"'","""")&amp;SUBSTITUTE(TEXT(Regen!E782,""",""?00;"",""?-00;"",""?00;"", //"""),"'","""")</f>
        <v>082, 19430220, 1, ////, 07</v>
      </c>
    </row>
    <row r="783" spans="1:1" x14ac:dyDescent="0.25">
      <c r="A783" s="25" t="str">
        <f ca="1">TEXT(Regen!A783,"000\,")&amp;TEXT(Regen!B783,"?00000000")&amp;TEXT(Regen!C783,""",""?0")&amp;SUBSTITUTE(TEXT(Regen!D783,""",""????0;"",""???-0;"",""????0;"", ////"""),"'","""")&amp;SUBSTITUTE(TEXT(Regen!E783,""",""?00;"",""?-00;"",""?00;"", //"""),"'","""")</f>
        <v>082, 19430221, 1, ////, 07</v>
      </c>
    </row>
    <row r="784" spans="1:1" x14ac:dyDescent="0.25">
      <c r="A784" s="25" t="str">
        <f ca="1">TEXT(Regen!A784,"000\,")&amp;TEXT(Regen!B784,"?00000000")&amp;TEXT(Regen!C784,""",""?0")&amp;SUBSTITUTE(TEXT(Regen!D784,""",""????0;"",""???-0;"",""????0;"", ////"""),"'","""")&amp;SUBSTITUTE(TEXT(Regen!E784,""",""?00;"",""?-00;"",""?00;"", //"""),"'","""")</f>
        <v>082, 19430222, 1, ////, 07</v>
      </c>
    </row>
    <row r="785" spans="1:1" x14ac:dyDescent="0.25">
      <c r="A785" s="25" t="str">
        <f ca="1">TEXT(Regen!A785,"000\,")&amp;TEXT(Regen!B785,"?00000000")&amp;TEXT(Regen!C785,""",""?0")&amp;SUBSTITUTE(TEXT(Regen!D785,""",""????0;"",""???-0;"",""????0;"", ////"""),"'","""")&amp;SUBSTITUTE(TEXT(Regen!E785,""",""?00;"",""?-00;"",""?00;"", //"""),"'","""")</f>
        <v>082, 19430223, 1, ////, 07</v>
      </c>
    </row>
    <row r="786" spans="1:1" x14ac:dyDescent="0.25">
      <c r="A786" s="25" t="str">
        <f ca="1">TEXT(Regen!A786,"000\,")&amp;TEXT(Regen!B786,"?00000000")&amp;TEXT(Regen!C786,""",""?0")&amp;SUBSTITUTE(TEXT(Regen!D786,""",""????0;"",""???-0;"",""????0;"", ////"""),"'","""")&amp;SUBSTITUTE(TEXT(Regen!E786,""",""?00;"",""?-00;"",""?00;"", //"""),"'","""")</f>
        <v>082, 19430224, 1, ////, 07</v>
      </c>
    </row>
    <row r="787" spans="1:1" x14ac:dyDescent="0.25">
      <c r="A787" s="25" t="str">
        <f ca="1">TEXT(Regen!A787,"000\,")&amp;TEXT(Regen!B787,"?00000000")&amp;TEXT(Regen!C787,""",""?0")&amp;SUBSTITUTE(TEXT(Regen!D787,""",""????0;"",""???-0;"",""????0;"", ////"""),"'","""")&amp;SUBSTITUTE(TEXT(Regen!E787,""",""?00;"",""?-00;"",""?00;"", //"""),"'","""")</f>
        <v>082, 19430225, 1, ////, 07</v>
      </c>
    </row>
    <row r="788" spans="1:1" x14ac:dyDescent="0.25">
      <c r="A788" s="25" t="str">
        <f ca="1">TEXT(Regen!A788,"000\,")&amp;TEXT(Regen!B788,"?00000000")&amp;TEXT(Regen!C788,""",""?0")&amp;SUBSTITUTE(TEXT(Regen!D788,""",""????0;"",""???-0;"",""????0;"", ////"""),"'","""")&amp;SUBSTITUTE(TEXT(Regen!E788,""",""?00;"",""?-00;"",""?00;"", //"""),"'","""")</f>
        <v>082, 19430226, 1, ////, 07</v>
      </c>
    </row>
    <row r="789" spans="1:1" x14ac:dyDescent="0.25">
      <c r="A789" s="25" t="str">
        <f ca="1">TEXT(Regen!A789,"000\,")&amp;TEXT(Regen!B789,"?00000000")&amp;TEXT(Regen!C789,""",""?0")&amp;SUBSTITUTE(TEXT(Regen!D789,""",""????0;"",""???-0;"",""????0;"", ////"""),"'","""")&amp;SUBSTITUTE(TEXT(Regen!E789,""",""?00;"",""?-00;"",""?00;"", //"""),"'","""")</f>
        <v>082, 19430227, 1, ////, 07</v>
      </c>
    </row>
    <row r="790" spans="1:1" x14ac:dyDescent="0.25">
      <c r="A790" s="25" t="str">
        <f ca="1">TEXT(Regen!A790,"000\,")&amp;TEXT(Regen!B790,"?00000000")&amp;TEXT(Regen!C790,""",""?0")&amp;SUBSTITUTE(TEXT(Regen!D790,""",""????0;"",""???-0;"",""????0;"", ////"""),"'","""")&amp;SUBSTITUTE(TEXT(Regen!E790,""",""?00;"",""?-00;"",""?00;"", //"""),"'","""")</f>
        <v>082, 19430228, 1, ////, 07</v>
      </c>
    </row>
    <row r="791" spans="1:1" x14ac:dyDescent="0.25">
      <c r="A791" s="25" t="str">
        <f ca="1">TEXT(Regen!A791,"000\,")&amp;TEXT(Regen!B791,"?00000000")&amp;TEXT(Regen!C791,""",""?0")&amp;SUBSTITUTE(TEXT(Regen!D791,""",""????0;"",""???-0;"",""????0;"", ////"""),"'","""")&amp;SUBSTITUTE(TEXT(Regen!E791,""",""?00;"",""?-00;"",""?00;"", //"""),"'","""")</f>
        <v>082, 19430301, 1, ////, 07</v>
      </c>
    </row>
    <row r="792" spans="1:1" x14ac:dyDescent="0.25">
      <c r="A792" s="25" t="str">
        <f ca="1">TEXT(Regen!A792,"000\,")&amp;TEXT(Regen!B792,"?00000000")&amp;TEXT(Regen!C792,""",""?0")&amp;SUBSTITUTE(TEXT(Regen!D792,""",""????0;"",""???-0;"",""????0;"", ////"""),"'","""")&amp;SUBSTITUTE(TEXT(Regen!E792,""",""?00;"",""?-00;"",""?00;"", //"""),"'","""")</f>
        <v>082, 19430302, 1, ////, 07</v>
      </c>
    </row>
    <row r="793" spans="1:1" x14ac:dyDescent="0.25">
      <c r="A793" s="25" t="str">
        <f ca="1">TEXT(Regen!A793,"000\,")&amp;TEXT(Regen!B793,"?00000000")&amp;TEXT(Regen!C793,""",""?0")&amp;SUBSTITUTE(TEXT(Regen!D793,""",""????0;"",""???-0;"",""????0;"", ////"""),"'","""")&amp;SUBSTITUTE(TEXT(Regen!E793,""",""?00;"",""?-00;"",""?00;"", //"""),"'","""")</f>
        <v>082, 19430303, 1, ////, 07</v>
      </c>
    </row>
    <row r="794" spans="1:1" x14ac:dyDescent="0.25">
      <c r="A794" s="25" t="str">
        <f ca="1">TEXT(Regen!A794,"000\,")&amp;TEXT(Regen!B794,"?00000000")&amp;TEXT(Regen!C794,""",""?0")&amp;SUBSTITUTE(TEXT(Regen!D794,""",""????0;"",""???-0;"",""????0;"", ////"""),"'","""")&amp;SUBSTITUTE(TEXT(Regen!E794,""",""?00;"",""?-00;"",""?00;"", //"""),"'","""")</f>
        <v>082, 19430304, 1, ////, 07</v>
      </c>
    </row>
    <row r="795" spans="1:1" x14ac:dyDescent="0.25">
      <c r="A795" s="25" t="str">
        <f ca="1">TEXT(Regen!A795,"000\,")&amp;TEXT(Regen!B795,"?00000000")&amp;TEXT(Regen!C795,""",""?0")&amp;SUBSTITUTE(TEXT(Regen!D795,""",""????0;"",""???-0;"",""????0;"", ////"""),"'","""")&amp;SUBSTITUTE(TEXT(Regen!E795,""",""?00;"",""?-00;"",""?00;"", //"""),"'","""")</f>
        <v>082, 19430305, 1, ////, 07</v>
      </c>
    </row>
    <row r="796" spans="1:1" x14ac:dyDescent="0.25">
      <c r="A796" s="25" t="str">
        <f ca="1">TEXT(Regen!A796,"000\,")&amp;TEXT(Regen!B796,"?00000000")&amp;TEXT(Regen!C796,""",""?0")&amp;SUBSTITUTE(TEXT(Regen!D796,""",""????0;"",""???-0;"",""????0;"", ////"""),"'","""")&amp;SUBSTITUTE(TEXT(Regen!E796,""",""?00;"",""?-00;"",""?00;"", //"""),"'","""")</f>
        <v>082, 19430306, 1, ////, 07</v>
      </c>
    </row>
    <row r="797" spans="1:1" x14ac:dyDescent="0.25">
      <c r="A797" s="25" t="str">
        <f ca="1">TEXT(Regen!A797,"000\,")&amp;TEXT(Regen!B797,"?00000000")&amp;TEXT(Regen!C797,""",""?0")&amp;SUBSTITUTE(TEXT(Regen!D797,""",""????0;"",""???-0;"",""????0;"", ////"""),"'","""")&amp;SUBSTITUTE(TEXT(Regen!E797,""",""?00;"",""?-00;"",""?00;"", //"""),"'","""")</f>
        <v>082, 19430307, 1, ////, 07</v>
      </c>
    </row>
    <row r="798" spans="1:1" x14ac:dyDescent="0.25">
      <c r="A798" s="25" t="str">
        <f ca="1">TEXT(Regen!A798,"000\,")&amp;TEXT(Regen!B798,"?00000000")&amp;TEXT(Regen!C798,""",""?0")&amp;SUBSTITUTE(TEXT(Regen!D798,""",""????0;"",""???-0;"",""????0;"", ////"""),"'","""")&amp;SUBSTITUTE(TEXT(Regen!E798,""",""?00;"",""?-00;"",""?00;"", //"""),"'","""")</f>
        <v>082, 19430308, 1, ////, 07</v>
      </c>
    </row>
    <row r="799" spans="1:1" x14ac:dyDescent="0.25">
      <c r="A799" s="25" t="str">
        <f ca="1">TEXT(Regen!A799,"000\,")&amp;TEXT(Regen!B799,"?00000000")&amp;TEXT(Regen!C799,""",""?0")&amp;SUBSTITUTE(TEXT(Regen!D799,""",""????0;"",""???-0;"",""????0;"", ////"""),"'","""")&amp;SUBSTITUTE(TEXT(Regen!E799,""",""?00;"",""?-00;"",""?00;"", //"""),"'","""")</f>
        <v>082, 19430309, 1, ////, 07</v>
      </c>
    </row>
    <row r="800" spans="1:1" x14ac:dyDescent="0.25">
      <c r="A800" s="25" t="str">
        <f ca="1">TEXT(Regen!A800,"000\,")&amp;TEXT(Regen!B800,"?00000000")&amp;TEXT(Regen!C800,""",""?0")&amp;SUBSTITUTE(TEXT(Regen!D800,""",""????0;"",""???-0;"",""????0;"", ////"""),"'","""")&amp;SUBSTITUTE(TEXT(Regen!E800,""",""?00;"",""?-00;"",""?00;"", //"""),"'","""")</f>
        <v>082, 19430310, 1, ////, 07</v>
      </c>
    </row>
    <row r="801" spans="1:1" x14ac:dyDescent="0.25">
      <c r="A801" s="25" t="str">
        <f ca="1">TEXT(Regen!A801,"000\,")&amp;TEXT(Regen!B801,"?00000000")&amp;TEXT(Regen!C801,""",""?0")&amp;SUBSTITUTE(TEXT(Regen!D801,""",""????0;"",""???-0;"",""????0;"", ////"""),"'","""")&amp;SUBSTITUTE(TEXT(Regen!E801,""",""?00;"",""?-00;"",""?00;"", //"""),"'","""")</f>
        <v>082, 19430311, 1, ////, 07</v>
      </c>
    </row>
    <row r="802" spans="1:1" x14ac:dyDescent="0.25">
      <c r="A802" s="25" t="str">
        <f ca="1">TEXT(Regen!A802,"000\,")&amp;TEXT(Regen!B802,"?00000000")&amp;TEXT(Regen!C802,""",""?0")&amp;SUBSTITUTE(TEXT(Regen!D802,""",""????0;"",""???-0;"",""????0;"", ////"""),"'","""")&amp;SUBSTITUTE(TEXT(Regen!E802,""",""?00;"",""?-00;"",""?00;"", //"""),"'","""")</f>
        <v>082, 19430312, 1, ////, 07</v>
      </c>
    </row>
    <row r="803" spans="1:1" x14ac:dyDescent="0.25">
      <c r="A803" s="25" t="str">
        <f ca="1">TEXT(Regen!A803,"000\,")&amp;TEXT(Regen!B803,"?00000000")&amp;TEXT(Regen!C803,""",""?0")&amp;SUBSTITUTE(TEXT(Regen!D803,""",""????0;"",""???-0;"",""????0;"", ////"""),"'","""")&amp;SUBSTITUTE(TEXT(Regen!E803,""",""?00;"",""?-00;"",""?00;"", //"""),"'","""")</f>
        <v>082, 19430313, 1, ////, 07</v>
      </c>
    </row>
    <row r="804" spans="1:1" x14ac:dyDescent="0.25">
      <c r="A804" s="25" t="str">
        <f ca="1">TEXT(Regen!A804,"000\,")&amp;TEXT(Regen!B804,"?00000000")&amp;TEXT(Regen!C804,""",""?0")&amp;SUBSTITUTE(TEXT(Regen!D804,""",""????0;"",""???-0;"",""????0;"", ////"""),"'","""")&amp;SUBSTITUTE(TEXT(Regen!E804,""",""?00;"",""?-00;"",""?00;"", //"""),"'","""")</f>
        <v>082, 19430314, 1, ////, 07</v>
      </c>
    </row>
    <row r="805" spans="1:1" x14ac:dyDescent="0.25">
      <c r="A805" s="25" t="str">
        <f ca="1">TEXT(Regen!A805,"000\,")&amp;TEXT(Regen!B805,"?00000000")&amp;TEXT(Regen!C805,""",""?0")&amp;SUBSTITUTE(TEXT(Regen!D805,""",""????0;"",""???-0;"",""????0;"", ////"""),"'","""")&amp;SUBSTITUTE(TEXT(Regen!E805,""",""?00;"",""?-00;"",""?00;"", //"""),"'","""")</f>
        <v>082, 19430315, 1, ////, 07</v>
      </c>
    </row>
    <row r="806" spans="1:1" x14ac:dyDescent="0.25">
      <c r="A806" s="25" t="str">
        <f ca="1">TEXT(Regen!A806,"000\,")&amp;TEXT(Regen!B806,"?00000000")&amp;TEXT(Regen!C806,""",""?0")&amp;SUBSTITUTE(TEXT(Regen!D806,""",""????0;"",""???-0;"",""????0;"", ////"""),"'","""")&amp;SUBSTITUTE(TEXT(Regen!E806,""",""?00;"",""?-00;"",""?00;"", //"""),"'","""")</f>
        <v>082, 19430316, 1, ////, 07</v>
      </c>
    </row>
    <row r="807" spans="1:1" x14ac:dyDescent="0.25">
      <c r="A807" s="25" t="str">
        <f ca="1">TEXT(Regen!A807,"000\,")&amp;TEXT(Regen!B807,"?00000000")&amp;TEXT(Regen!C807,""",""?0")&amp;SUBSTITUTE(TEXT(Regen!D807,""",""????0;"",""???-0;"",""????0;"", ////"""),"'","""")&amp;SUBSTITUTE(TEXT(Regen!E807,""",""?00;"",""?-00;"",""?00;"", //"""),"'","""")</f>
        <v>082, 19430317, 1, ////, 07</v>
      </c>
    </row>
    <row r="808" spans="1:1" x14ac:dyDescent="0.25">
      <c r="A808" s="25" t="str">
        <f ca="1">TEXT(Regen!A808,"000\,")&amp;TEXT(Regen!B808,"?00000000")&amp;TEXT(Regen!C808,""",""?0")&amp;SUBSTITUTE(TEXT(Regen!D808,""",""????0;"",""???-0;"",""????0;"", ////"""),"'","""")&amp;SUBSTITUTE(TEXT(Regen!E808,""",""?00;"",""?-00;"",""?00;"", //"""),"'","""")</f>
        <v>082, 19430318, 1, ////, 07</v>
      </c>
    </row>
    <row r="809" spans="1:1" x14ac:dyDescent="0.25">
      <c r="A809" s="25" t="str">
        <f ca="1">TEXT(Regen!A809,"000\,")&amp;TEXT(Regen!B809,"?00000000")&amp;TEXT(Regen!C809,""",""?0")&amp;SUBSTITUTE(TEXT(Regen!D809,""",""????0;"",""???-0;"",""????0;"", ////"""),"'","""")&amp;SUBSTITUTE(TEXT(Regen!E809,""",""?00;"",""?-00;"",""?00;"", //"""),"'","""")</f>
        <v>082, 19430319, 1, ////, 07</v>
      </c>
    </row>
    <row r="810" spans="1:1" x14ac:dyDescent="0.25">
      <c r="A810" s="25" t="str">
        <f ca="1">TEXT(Regen!A810,"000\,")&amp;TEXT(Regen!B810,"?00000000")&amp;TEXT(Regen!C810,""",""?0")&amp;SUBSTITUTE(TEXT(Regen!D810,""",""????0;"",""???-0;"",""????0;"", ////"""),"'","""")&amp;SUBSTITUTE(TEXT(Regen!E810,""",""?00;"",""?-00;"",""?00;"", //"""),"'","""")</f>
        <v>082, 19430320, 1, ////, 07</v>
      </c>
    </row>
    <row r="811" spans="1:1" x14ac:dyDescent="0.25">
      <c r="A811" s="25" t="str">
        <f ca="1">TEXT(Regen!A811,"000\,")&amp;TEXT(Regen!B811,"?00000000")&amp;TEXT(Regen!C811,""",""?0")&amp;SUBSTITUTE(TEXT(Regen!D811,""",""????0;"",""???-0;"",""????0;"", ////"""),"'","""")&amp;SUBSTITUTE(TEXT(Regen!E811,""",""?00;"",""?-00;"",""?00;"", //"""),"'","""")</f>
        <v>082, 19430321, 1, ////, 07</v>
      </c>
    </row>
    <row r="812" spans="1:1" x14ac:dyDescent="0.25">
      <c r="A812" s="25" t="str">
        <f ca="1">TEXT(Regen!A812,"000\,")&amp;TEXT(Regen!B812,"?00000000")&amp;TEXT(Regen!C812,""",""?0")&amp;SUBSTITUTE(TEXT(Regen!D812,""",""????0;"",""???-0;"",""????0;"", ////"""),"'","""")&amp;SUBSTITUTE(TEXT(Regen!E812,""",""?00;"",""?-00;"",""?00;"", //"""),"'","""")</f>
        <v>082, 19430322, 1, ////, 07</v>
      </c>
    </row>
    <row r="813" spans="1:1" x14ac:dyDescent="0.25">
      <c r="A813" s="25" t="str">
        <f ca="1">TEXT(Regen!A813,"000\,")&amp;TEXT(Regen!B813,"?00000000")&amp;TEXT(Regen!C813,""",""?0")&amp;SUBSTITUTE(TEXT(Regen!D813,""",""????0;"",""???-0;"",""????0;"", ////"""),"'","""")&amp;SUBSTITUTE(TEXT(Regen!E813,""",""?00;"",""?-00;"",""?00;"", //"""),"'","""")</f>
        <v>082, 19430323, 1, ////, 07</v>
      </c>
    </row>
    <row r="814" spans="1:1" x14ac:dyDescent="0.25">
      <c r="A814" s="25" t="str">
        <f ca="1">TEXT(Regen!A814,"000\,")&amp;TEXT(Regen!B814,"?00000000")&amp;TEXT(Regen!C814,""",""?0")&amp;SUBSTITUTE(TEXT(Regen!D814,""",""????0;"",""???-0;"",""????0;"", ////"""),"'","""")&amp;SUBSTITUTE(TEXT(Regen!E814,""",""?00;"",""?-00;"",""?00;"", //"""),"'","""")</f>
        <v>082, 19430324, 1, ////, 07</v>
      </c>
    </row>
    <row r="815" spans="1:1" x14ac:dyDescent="0.25">
      <c r="A815" s="25" t="str">
        <f ca="1">TEXT(Regen!A815,"000\,")&amp;TEXT(Regen!B815,"?00000000")&amp;TEXT(Regen!C815,""",""?0")&amp;SUBSTITUTE(TEXT(Regen!D815,""",""????0;"",""???-0;"",""????0;"", ////"""),"'","""")&amp;SUBSTITUTE(TEXT(Regen!E815,""",""?00;"",""?-00;"",""?00;"", //"""),"'","""")</f>
        <v>082, 19430325, 1, ////, 07</v>
      </c>
    </row>
    <row r="816" spans="1:1" x14ac:dyDescent="0.25">
      <c r="A816" s="25" t="str">
        <f ca="1">TEXT(Regen!A816,"000\,")&amp;TEXT(Regen!B816,"?00000000")&amp;TEXT(Regen!C816,""",""?0")&amp;SUBSTITUTE(TEXT(Regen!D816,""",""????0;"",""???-0;"",""????0;"", ////"""),"'","""")&amp;SUBSTITUTE(TEXT(Regen!E816,""",""?00;"",""?-00;"",""?00;"", //"""),"'","""")</f>
        <v>082, 19430326, 1, ////, 07</v>
      </c>
    </row>
    <row r="817" spans="1:1" x14ac:dyDescent="0.25">
      <c r="A817" s="25" t="str">
        <f ca="1">TEXT(Regen!A817,"000\,")&amp;TEXT(Regen!B817,"?00000000")&amp;TEXT(Regen!C817,""",""?0")&amp;SUBSTITUTE(TEXT(Regen!D817,""",""????0;"",""???-0;"",""????0;"", ////"""),"'","""")&amp;SUBSTITUTE(TEXT(Regen!E817,""",""?00;"",""?-00;"",""?00;"", //"""),"'","""")</f>
        <v>082, 19430327, 1, ////, 07</v>
      </c>
    </row>
    <row r="818" spans="1:1" x14ac:dyDescent="0.25">
      <c r="A818" s="25" t="str">
        <f ca="1">TEXT(Regen!A818,"000\,")&amp;TEXT(Regen!B818,"?00000000")&amp;TEXT(Regen!C818,""",""?0")&amp;SUBSTITUTE(TEXT(Regen!D818,""",""????0;"",""???-0;"",""????0;"", ////"""),"'","""")&amp;SUBSTITUTE(TEXT(Regen!E818,""",""?00;"",""?-00;"",""?00;"", //"""),"'","""")</f>
        <v>082, 19430328, 1, ////, 07</v>
      </c>
    </row>
    <row r="819" spans="1:1" x14ac:dyDescent="0.25">
      <c r="A819" s="25" t="str">
        <f ca="1">TEXT(Regen!A819,"000\,")&amp;TEXT(Regen!B819,"?00000000")&amp;TEXT(Regen!C819,""",""?0")&amp;SUBSTITUTE(TEXT(Regen!D819,""",""????0;"",""???-0;"",""????0;"", ////"""),"'","""")&amp;SUBSTITUTE(TEXT(Regen!E819,""",""?00;"",""?-00;"",""?00;"", //"""),"'","""")</f>
        <v>082, 19430329, 1, ////, 07</v>
      </c>
    </row>
    <row r="820" spans="1:1" x14ac:dyDescent="0.25">
      <c r="A820" s="25" t="str">
        <f ca="1">TEXT(Regen!A820,"000\,")&amp;TEXT(Regen!B820,"?00000000")&amp;TEXT(Regen!C820,""",""?0")&amp;SUBSTITUTE(TEXT(Regen!D820,""",""????0;"",""???-0;"",""????0;"", ////"""),"'","""")&amp;SUBSTITUTE(TEXT(Regen!E820,""",""?00;"",""?-00;"",""?00;"", //"""),"'","""")</f>
        <v>082, 19430330, 1, ////, 07</v>
      </c>
    </row>
    <row r="821" spans="1:1" x14ac:dyDescent="0.25">
      <c r="A821" s="25" t="str">
        <f ca="1">TEXT(Regen!A821,"000\,")&amp;TEXT(Regen!B821,"?00000000")&amp;TEXT(Regen!C821,""",""?0")&amp;SUBSTITUTE(TEXT(Regen!D821,""",""????0;"",""???-0;"",""????0;"", ////"""),"'","""")&amp;SUBSTITUTE(TEXT(Regen!E821,""",""?00;"",""?-00;"",""?00;"", //"""),"'","""")</f>
        <v>082, 19430331, 1, ////, 07</v>
      </c>
    </row>
    <row r="822" spans="1:1" x14ac:dyDescent="0.25">
      <c r="A822" s="25" t="str">
        <f ca="1">TEXT(Regen!A822,"000\,")&amp;TEXT(Regen!B822,"?00000000")&amp;TEXT(Regen!C822,""",""?0")&amp;SUBSTITUTE(TEXT(Regen!D822,""",""????0;"",""???-0;"",""????0;"", ////"""),"'","""")&amp;SUBSTITUTE(TEXT(Regen!E822,""",""?00;"",""?-00;"",""?00;"", //"""),"'","""")</f>
        <v>082, 19430401, 1,    0, 00</v>
      </c>
    </row>
    <row r="823" spans="1:1" x14ac:dyDescent="0.25">
      <c r="A823" s="25" t="str">
        <f ca="1">TEXT(Regen!A823,"000\,")&amp;TEXT(Regen!B823,"?00000000")&amp;TEXT(Regen!C823,""",""?0")&amp;SUBSTITUTE(TEXT(Regen!D823,""",""????0;"",""???-0;"",""????0;"", ////"""),"'","""")&amp;SUBSTITUTE(TEXT(Regen!E823,""",""?00;"",""?-00;"",""?00;"", //"""),"'","""")</f>
        <v>082, 19430402, 1,    0, 00</v>
      </c>
    </row>
    <row r="824" spans="1:1" x14ac:dyDescent="0.25">
      <c r="A824" s="25" t="str">
        <f ca="1">TEXT(Regen!A824,"000\,")&amp;TEXT(Regen!B824,"?00000000")&amp;TEXT(Regen!C824,""",""?0")&amp;SUBSTITUTE(TEXT(Regen!D824,""",""????0;"",""???-0;"",""????0;"", ////"""),"'","""")&amp;SUBSTITUTE(TEXT(Regen!E824,""",""?00;"",""?-00;"",""?00;"", //"""),"'","""")</f>
        <v>082, 19430403, 1,    0, 00</v>
      </c>
    </row>
    <row r="825" spans="1:1" x14ac:dyDescent="0.25">
      <c r="A825" s="25" t="str">
        <f ca="1">TEXT(Regen!A825,"000\,")&amp;TEXT(Regen!B825,"?00000000")&amp;TEXT(Regen!C825,""",""?0")&amp;SUBSTITUTE(TEXT(Regen!D825,""",""????0;"",""???-0;"",""????0;"", ////"""),"'","""")&amp;SUBSTITUTE(TEXT(Regen!E825,""",""?00;"",""?-00;"",""?00;"", //"""),"'","""")</f>
        <v>082, 19430404, 1,    0, 00</v>
      </c>
    </row>
    <row r="826" spans="1:1" x14ac:dyDescent="0.25">
      <c r="A826" s="25" t="str">
        <f ca="1">TEXT(Regen!A826,"000\,")&amp;TEXT(Regen!B826,"?00000000")&amp;TEXT(Regen!C826,""",""?0")&amp;SUBSTITUTE(TEXT(Regen!D826,""",""????0;"",""???-0;"",""????0;"", ////"""),"'","""")&amp;SUBSTITUTE(TEXT(Regen!E826,""",""?00;"",""?-00;"",""?00;"", //"""),"'","""")</f>
        <v>082, 19430405, 1,    0, 00</v>
      </c>
    </row>
    <row r="827" spans="1:1" x14ac:dyDescent="0.25">
      <c r="A827" s="25" t="str">
        <f ca="1">TEXT(Regen!A827,"000\,")&amp;TEXT(Regen!B827,"?00000000")&amp;TEXT(Regen!C827,""",""?0")&amp;SUBSTITUTE(TEXT(Regen!D827,""",""????0;"",""???-0;"",""????0;"", ////"""),"'","""")&amp;SUBSTITUTE(TEXT(Regen!E827,""",""?00;"",""?-00;"",""?00;"", //"""),"'","""")</f>
        <v>082, 19430406, 1,    0, 00</v>
      </c>
    </row>
    <row r="828" spans="1:1" x14ac:dyDescent="0.25">
      <c r="A828" s="25" t="str">
        <f ca="1">TEXT(Regen!A828,"000\,")&amp;TEXT(Regen!B828,"?00000000")&amp;TEXT(Regen!C828,""",""?0")&amp;SUBSTITUTE(TEXT(Regen!D828,""",""????0;"",""???-0;"",""????0;"", ////"""),"'","""")&amp;SUBSTITUTE(TEXT(Regen!E828,""",""?00;"",""?-00;"",""?00;"", //"""),"'","""")</f>
        <v>082, 19430407, 1,    0, 00</v>
      </c>
    </row>
    <row r="829" spans="1:1" x14ac:dyDescent="0.25">
      <c r="A829" s="25" t="str">
        <f ca="1">TEXT(Regen!A829,"000\,")&amp;TEXT(Regen!B829,"?00000000")&amp;TEXT(Regen!C829,""",""?0")&amp;SUBSTITUTE(TEXT(Regen!D829,""",""????0;"",""???-0;"",""????0;"", ////"""),"'","""")&amp;SUBSTITUTE(TEXT(Regen!E829,""",""?00;"",""?-00;"",""?00;"", //"""),"'","""")</f>
        <v>082, 19430408, 1,    0, 00</v>
      </c>
    </row>
    <row r="830" spans="1:1" x14ac:dyDescent="0.25">
      <c r="A830" s="25" t="str">
        <f ca="1">TEXT(Regen!A830,"000\,")&amp;TEXT(Regen!B830,"?00000000")&amp;TEXT(Regen!C830,""",""?0")&amp;SUBSTITUTE(TEXT(Regen!D830,""",""????0;"",""???-0;"",""????0;"", ////"""),"'","""")&amp;SUBSTITUTE(TEXT(Regen!E830,""",""?00;"",""?-00;"",""?00;"", //"""),"'","""")</f>
        <v>082, 19430409, 1,    0, 00</v>
      </c>
    </row>
    <row r="831" spans="1:1" x14ac:dyDescent="0.25">
      <c r="A831" s="25" t="str">
        <f ca="1">TEXT(Regen!A831,"000\,")&amp;TEXT(Regen!B831,"?00000000")&amp;TEXT(Regen!C831,""",""?0")&amp;SUBSTITUTE(TEXT(Regen!D831,""",""????0;"",""???-0;"",""????0;"", ////"""),"'","""")&amp;SUBSTITUTE(TEXT(Regen!E831,""",""?00;"",""?-00;"",""?00;"", //"""),"'","""")</f>
        <v>082, 19430410, 1,    0, 00</v>
      </c>
    </row>
    <row r="832" spans="1:1" x14ac:dyDescent="0.25">
      <c r="A832" s="25" t="str">
        <f ca="1">TEXT(Regen!A832,"000\,")&amp;TEXT(Regen!B832,"?00000000")&amp;TEXT(Regen!C832,""",""?0")&amp;SUBSTITUTE(TEXT(Regen!D832,""",""????0;"",""???-0;"",""????0;"", ////"""),"'","""")&amp;SUBSTITUTE(TEXT(Regen!E832,""",""?00;"",""?-00;"",""?00;"", //"""),"'","""")</f>
        <v>082, 19430411, 1,    0, 00</v>
      </c>
    </row>
    <row r="833" spans="1:1" x14ac:dyDescent="0.25">
      <c r="A833" s="25" t="str">
        <f ca="1">TEXT(Regen!A833,"000\,")&amp;TEXT(Regen!B833,"?00000000")&amp;TEXT(Regen!C833,""",""?0")&amp;SUBSTITUTE(TEXT(Regen!D833,""",""????0;"",""???-0;"",""????0;"", ////"""),"'","""")&amp;SUBSTITUTE(TEXT(Regen!E833,""",""?00;"",""?-00;"",""?00;"", //"""),"'","""")</f>
        <v>082, 19430412, 1,  225, 00</v>
      </c>
    </row>
    <row r="834" spans="1:1" x14ac:dyDescent="0.25">
      <c r="A834" s="25" t="str">
        <f ca="1">TEXT(Regen!A834,"000\,")&amp;TEXT(Regen!B834,"?00000000")&amp;TEXT(Regen!C834,""",""?0")&amp;SUBSTITUTE(TEXT(Regen!D834,""",""????0;"",""???-0;"",""????0;"", ////"""),"'","""")&amp;SUBSTITUTE(TEXT(Regen!E834,""",""?00;"",""?-00;"",""?00;"", //"""),"'","""")</f>
        <v>082, 19430413, 1,    0, 00</v>
      </c>
    </row>
    <row r="835" spans="1:1" x14ac:dyDescent="0.25">
      <c r="A835" s="25" t="str">
        <f ca="1">TEXT(Regen!A835,"000\,")&amp;TEXT(Regen!B835,"?00000000")&amp;TEXT(Regen!C835,""",""?0")&amp;SUBSTITUTE(TEXT(Regen!D835,""",""????0;"",""???-0;"",""????0;"", ////"""),"'","""")&amp;SUBSTITUTE(TEXT(Regen!E835,""",""?00;"",""?-00;"",""?00;"", //"""),"'","""")</f>
        <v>082, 19430414, 1,    0, 00</v>
      </c>
    </row>
    <row r="836" spans="1:1" x14ac:dyDescent="0.25">
      <c r="A836" s="25" t="str">
        <f ca="1">TEXT(Regen!A836,"000\,")&amp;TEXT(Regen!B836,"?00000000")&amp;TEXT(Regen!C836,""",""?0")&amp;SUBSTITUTE(TEXT(Regen!D836,""",""????0;"",""???-0;"",""????0;"", ////"""),"'","""")&amp;SUBSTITUTE(TEXT(Regen!E836,""",""?00;"",""?-00;"",""?00;"", //"""),"'","""")</f>
        <v>082, 19430415, 1,    0, 00</v>
      </c>
    </row>
    <row r="837" spans="1:1" x14ac:dyDescent="0.25">
      <c r="A837" s="25" t="str">
        <f ca="1">TEXT(Regen!A837,"000\,")&amp;TEXT(Regen!B837,"?00000000")&amp;TEXT(Regen!C837,""",""?0")&amp;SUBSTITUTE(TEXT(Regen!D837,""",""????0;"",""???-0;"",""????0;"", ////"""),"'","""")&amp;SUBSTITUTE(TEXT(Regen!E837,""",""?00;"",""?-00;"",""?00;"", //"""),"'","""")</f>
        <v>082, 19430416, 1,    0, 00</v>
      </c>
    </row>
    <row r="838" spans="1:1" x14ac:dyDescent="0.25">
      <c r="A838" s="25" t="str">
        <f ca="1">TEXT(Regen!A838,"000\,")&amp;TEXT(Regen!B838,"?00000000")&amp;TEXT(Regen!C838,""",""?0")&amp;SUBSTITUTE(TEXT(Regen!D838,""",""????0;"",""???-0;"",""????0;"", ////"""),"'","""")&amp;SUBSTITUTE(TEXT(Regen!E838,""",""?00;"",""?-00;"",""?00;"", //"""),"'","""")</f>
        <v>082, 19430417, 1,    0, 00</v>
      </c>
    </row>
    <row r="839" spans="1:1" x14ac:dyDescent="0.25">
      <c r="A839" s="25" t="str">
        <f ca="1">TEXT(Regen!A839,"000\,")&amp;TEXT(Regen!B839,"?00000000")&amp;TEXT(Regen!C839,""",""?0")&amp;SUBSTITUTE(TEXT(Regen!D839,""",""????0;"",""???-0;"",""????0;"", ////"""),"'","""")&amp;SUBSTITUTE(TEXT(Regen!E839,""",""?00;"",""?-00;"",""?00;"", //"""),"'","""")</f>
        <v>082, 19430418, 1,    0, 00</v>
      </c>
    </row>
    <row r="840" spans="1:1" x14ac:dyDescent="0.25">
      <c r="A840" s="25" t="str">
        <f ca="1">TEXT(Regen!A840,"000\,")&amp;TEXT(Regen!B840,"?00000000")&amp;TEXT(Regen!C840,""",""?0")&amp;SUBSTITUTE(TEXT(Regen!D840,""",""????0;"",""???-0;"",""????0;"", ////"""),"'","""")&amp;SUBSTITUTE(TEXT(Regen!E840,""",""?00;"",""?-00;"",""?00;"", //"""),"'","""")</f>
        <v>082, 19430419, 1,  160, 00</v>
      </c>
    </row>
    <row r="841" spans="1:1" x14ac:dyDescent="0.25">
      <c r="A841" s="25" t="str">
        <f ca="1">TEXT(Regen!A841,"000\,")&amp;TEXT(Regen!B841,"?00000000")&amp;TEXT(Regen!C841,""",""?0")&amp;SUBSTITUTE(TEXT(Regen!D841,""",""????0;"",""???-0;"",""????0;"", ////"""),"'","""")&amp;SUBSTITUTE(TEXT(Regen!E841,""",""?00;"",""?-00;"",""?00;"", //"""),"'","""")</f>
        <v>082, 19430420, 1,    0, 00</v>
      </c>
    </row>
    <row r="842" spans="1:1" x14ac:dyDescent="0.25">
      <c r="A842" s="25" t="str">
        <f ca="1">TEXT(Regen!A842,"000\,")&amp;TEXT(Regen!B842,"?00000000")&amp;TEXT(Regen!C842,""",""?0")&amp;SUBSTITUTE(TEXT(Regen!D842,""",""????0;"",""???-0;"",""????0;"", ////"""),"'","""")&amp;SUBSTITUTE(TEXT(Regen!E842,""",""?00;"",""?-00;"",""?00;"", //"""),"'","""")</f>
        <v>082, 19430421, 1,    0, 00</v>
      </c>
    </row>
    <row r="843" spans="1:1" x14ac:dyDescent="0.25">
      <c r="A843" s="25" t="str">
        <f ca="1">TEXT(Regen!A843,"000\,")&amp;TEXT(Regen!B843,"?00000000")&amp;TEXT(Regen!C843,""",""?0")&amp;SUBSTITUTE(TEXT(Regen!D843,""",""????0;"",""???-0;"",""????0;"", ////"""),"'","""")&amp;SUBSTITUTE(TEXT(Regen!E843,""",""?00;"",""?-00;"",""?00;"", //"""),"'","""")</f>
        <v>082, 19430422, 1,    0, 00</v>
      </c>
    </row>
    <row r="844" spans="1:1" x14ac:dyDescent="0.25">
      <c r="A844" s="25" t="str">
        <f ca="1">TEXT(Regen!A844,"000\,")&amp;TEXT(Regen!B844,"?00000000")&amp;TEXT(Regen!C844,""",""?0")&amp;SUBSTITUTE(TEXT(Regen!D844,""",""????0;"",""???-0;"",""????0;"", ////"""),"'","""")&amp;SUBSTITUTE(TEXT(Regen!E844,""",""?00;"",""?-00;"",""?00;"", //"""),"'","""")</f>
        <v>082, 19430423, 1,    0, 00</v>
      </c>
    </row>
    <row r="845" spans="1:1" x14ac:dyDescent="0.25">
      <c r="A845" s="25" t="str">
        <f ca="1">TEXT(Regen!A845,"000\,")&amp;TEXT(Regen!B845,"?00000000")&amp;TEXT(Regen!C845,""",""?0")&amp;SUBSTITUTE(TEXT(Regen!D845,""",""????0;"",""???-0;"",""????0;"", ////"""),"'","""")&amp;SUBSTITUTE(TEXT(Regen!E845,""",""?00;"",""?-00;"",""?00;"", //"""),"'","""")</f>
        <v>082, 19430424, 1,    0, 00</v>
      </c>
    </row>
    <row r="846" spans="1:1" x14ac:dyDescent="0.25">
      <c r="A846" s="25" t="str">
        <f ca="1">TEXT(Regen!A846,"000\,")&amp;TEXT(Regen!B846,"?00000000")&amp;TEXT(Regen!C846,""",""?0")&amp;SUBSTITUTE(TEXT(Regen!D846,""",""????0;"",""???-0;"",""????0;"", ////"""),"'","""")&amp;SUBSTITUTE(TEXT(Regen!E846,""",""?00;"",""?-00;"",""?00;"", //"""),"'","""")</f>
        <v>082, 19430425, 1,    0, 00</v>
      </c>
    </row>
    <row r="847" spans="1:1" x14ac:dyDescent="0.25">
      <c r="A847" s="25" t="str">
        <f ca="1">TEXT(Regen!A847,"000\,")&amp;TEXT(Regen!B847,"?00000000")&amp;TEXT(Regen!C847,""",""?0")&amp;SUBSTITUTE(TEXT(Regen!D847,""",""????0;"",""???-0;"",""????0;"", ////"""),"'","""")&amp;SUBSTITUTE(TEXT(Regen!E847,""",""?00;"",""?-00;"",""?00;"", //"""),"'","""")</f>
        <v>082, 19430426, 1,    0, 00</v>
      </c>
    </row>
    <row r="848" spans="1:1" x14ac:dyDescent="0.25">
      <c r="A848" s="25" t="str">
        <f ca="1">TEXT(Regen!A848,"000\,")&amp;TEXT(Regen!B848,"?00000000")&amp;TEXT(Regen!C848,""",""?0")&amp;SUBSTITUTE(TEXT(Regen!D848,""",""????0;"",""???-0;"",""????0;"", ////"""),"'","""")&amp;SUBSTITUTE(TEXT(Regen!E848,""",""?00;"",""?-00;"",""?00;"", //"""),"'","""")</f>
        <v>082, 19430427, 1,    0, 00</v>
      </c>
    </row>
    <row r="849" spans="1:1" x14ac:dyDescent="0.25">
      <c r="A849" s="25" t="str">
        <f ca="1">TEXT(Regen!A849,"000\,")&amp;TEXT(Regen!B849,"?00000000")&amp;TEXT(Regen!C849,""",""?0")&amp;SUBSTITUTE(TEXT(Regen!D849,""",""????0;"",""???-0;"",""????0;"", ////"""),"'","""")&amp;SUBSTITUTE(TEXT(Regen!E849,""",""?00;"",""?-00;"",""?00;"", //"""),"'","""")</f>
        <v>082, 19430428, 1,    0, 00</v>
      </c>
    </row>
    <row r="850" spans="1:1" x14ac:dyDescent="0.25">
      <c r="A850" s="25" t="str">
        <f ca="1">TEXT(Regen!A850,"000\,")&amp;TEXT(Regen!B850,"?00000000")&amp;TEXT(Regen!C850,""",""?0")&amp;SUBSTITUTE(TEXT(Regen!D850,""",""????0;"",""???-0;"",""????0;"", ////"""),"'","""")&amp;SUBSTITUTE(TEXT(Regen!E850,""",""?00;"",""?-00;"",""?00;"", //"""),"'","""")</f>
        <v>082, 19430429, 1,    0, 00</v>
      </c>
    </row>
    <row r="851" spans="1:1" x14ac:dyDescent="0.25">
      <c r="A851" s="25" t="str">
        <f ca="1">TEXT(Regen!A851,"000\,")&amp;TEXT(Regen!B851,"?00000000")&amp;TEXT(Regen!C851,""",""?0")&amp;SUBSTITUTE(TEXT(Regen!D851,""",""????0;"",""???-0;"",""????0;"", ////"""),"'","""")&amp;SUBSTITUTE(TEXT(Regen!E851,""",""?00;"",""?-00;"",""?00;"", //"""),"'","""")</f>
        <v>082, 19430430, 1,    0, 00</v>
      </c>
    </row>
    <row r="852" spans="1:1" x14ac:dyDescent="0.25">
      <c r="A852" s="25" t="str">
        <f ca="1">TEXT(Regen!A852,"000\,")&amp;TEXT(Regen!B852,"?00000000")&amp;TEXT(Regen!C852,""",""?0")&amp;SUBSTITUTE(TEXT(Regen!D852,""",""????0;"",""???-0;"",""????0;"", ////"""),"'","""")&amp;SUBSTITUTE(TEXT(Regen!E852,""",""?00;"",""?-00;"",""?00;"", //"""),"'","""")</f>
        <v>082, 19430501, 1, ////, 07</v>
      </c>
    </row>
    <row r="853" spans="1:1" x14ac:dyDescent="0.25">
      <c r="A853" s="25" t="str">
        <f ca="1">TEXT(Regen!A853,"000\,")&amp;TEXT(Regen!B853,"?00000000")&amp;TEXT(Regen!C853,""",""?0")&amp;SUBSTITUTE(TEXT(Regen!D853,""",""????0;"",""???-0;"",""????0;"", ////"""),"'","""")&amp;SUBSTITUTE(TEXT(Regen!E853,""",""?00;"",""?-00;"",""?00;"", //"""),"'","""")</f>
        <v>082, 19430502, 1, ////, 07</v>
      </c>
    </row>
    <row r="854" spans="1:1" x14ac:dyDescent="0.25">
      <c r="A854" s="25" t="str">
        <f ca="1">TEXT(Regen!A854,"000\,")&amp;TEXT(Regen!B854,"?00000000")&amp;TEXT(Regen!C854,""",""?0")&amp;SUBSTITUTE(TEXT(Regen!D854,""",""????0;"",""???-0;"",""????0;"", ////"""),"'","""")&amp;SUBSTITUTE(TEXT(Regen!E854,""",""?00;"",""?-00;"",""?00;"", //"""),"'","""")</f>
        <v>082, 19430503, 1, ////, 07</v>
      </c>
    </row>
    <row r="855" spans="1:1" x14ac:dyDescent="0.25">
      <c r="A855" s="25" t="str">
        <f ca="1">TEXT(Regen!A855,"000\,")&amp;TEXT(Regen!B855,"?00000000")&amp;TEXT(Regen!C855,""",""?0")&amp;SUBSTITUTE(TEXT(Regen!D855,""",""????0;"",""???-0;"",""????0;"", ////"""),"'","""")&amp;SUBSTITUTE(TEXT(Regen!E855,""",""?00;"",""?-00;"",""?00;"", //"""),"'","""")</f>
        <v>082, 19430504, 1, ////, 07</v>
      </c>
    </row>
    <row r="856" spans="1:1" x14ac:dyDescent="0.25">
      <c r="A856" s="25" t="str">
        <f ca="1">TEXT(Regen!A856,"000\,")&amp;TEXT(Regen!B856,"?00000000")&amp;TEXT(Regen!C856,""",""?0")&amp;SUBSTITUTE(TEXT(Regen!D856,""",""????0;"",""???-0;"",""????0;"", ////"""),"'","""")&amp;SUBSTITUTE(TEXT(Regen!E856,""",""?00;"",""?-00;"",""?00;"", //"""),"'","""")</f>
        <v>082, 19430505, 1, ////, 07</v>
      </c>
    </row>
    <row r="857" spans="1:1" x14ac:dyDescent="0.25">
      <c r="A857" s="25" t="str">
        <f ca="1">TEXT(Regen!A857,"000\,")&amp;TEXT(Regen!B857,"?00000000")&amp;TEXT(Regen!C857,""",""?0")&amp;SUBSTITUTE(TEXT(Regen!D857,""",""????0;"",""???-0;"",""????0;"", ////"""),"'","""")&amp;SUBSTITUTE(TEXT(Regen!E857,""",""?00;"",""?-00;"",""?00;"", //"""),"'","""")</f>
        <v>082, 19430506, 1, ////, 07</v>
      </c>
    </row>
    <row r="858" spans="1:1" x14ac:dyDescent="0.25">
      <c r="A858" s="25" t="str">
        <f ca="1">TEXT(Regen!A858,"000\,")&amp;TEXT(Regen!B858,"?00000000")&amp;TEXT(Regen!C858,""",""?0")&amp;SUBSTITUTE(TEXT(Regen!D858,""",""????0;"",""???-0;"",""????0;"", ////"""),"'","""")&amp;SUBSTITUTE(TEXT(Regen!E858,""",""?00;"",""?-00;"",""?00;"", //"""),"'","""")</f>
        <v>082, 19430507, 1, ////, 07</v>
      </c>
    </row>
    <row r="859" spans="1:1" x14ac:dyDescent="0.25">
      <c r="A859" s="25" t="str">
        <f ca="1">TEXT(Regen!A859,"000\,")&amp;TEXT(Regen!B859,"?00000000")&amp;TEXT(Regen!C859,""",""?0")&amp;SUBSTITUTE(TEXT(Regen!D859,""",""????0;"",""???-0;"",""????0;"", ////"""),"'","""")&amp;SUBSTITUTE(TEXT(Regen!E859,""",""?00;"",""?-00;"",""?00;"", //"""),"'","""")</f>
        <v>082, 19430508, 1, ////, 07</v>
      </c>
    </row>
    <row r="860" spans="1:1" x14ac:dyDescent="0.25">
      <c r="A860" s="25" t="str">
        <f ca="1">TEXT(Regen!A860,"000\,")&amp;TEXT(Regen!B860,"?00000000")&amp;TEXT(Regen!C860,""",""?0")&amp;SUBSTITUTE(TEXT(Regen!D860,""",""????0;"",""???-0;"",""????0;"", ////"""),"'","""")&amp;SUBSTITUTE(TEXT(Regen!E860,""",""?00;"",""?-00;"",""?00;"", //"""),"'","""")</f>
        <v>082, 19430509, 1, ////, 07</v>
      </c>
    </row>
    <row r="861" spans="1:1" x14ac:dyDescent="0.25">
      <c r="A861" s="25" t="str">
        <f ca="1">TEXT(Regen!A861,"000\,")&amp;TEXT(Regen!B861,"?00000000")&amp;TEXT(Regen!C861,""",""?0")&amp;SUBSTITUTE(TEXT(Regen!D861,""",""????0;"",""???-0;"",""????0;"", ////"""),"'","""")&amp;SUBSTITUTE(TEXT(Regen!E861,""",""?00;"",""?-00;"",""?00;"", //"""),"'","""")</f>
        <v>082, 19430510, 1, ////, 07</v>
      </c>
    </row>
    <row r="862" spans="1:1" x14ac:dyDescent="0.25">
      <c r="A862" s="25" t="str">
        <f ca="1">TEXT(Regen!A862,"000\,")&amp;TEXT(Regen!B862,"?00000000")&amp;TEXT(Regen!C862,""",""?0")&amp;SUBSTITUTE(TEXT(Regen!D862,""",""????0;"",""???-0;"",""????0;"", ////"""),"'","""")&amp;SUBSTITUTE(TEXT(Regen!E862,""",""?00;"",""?-00;"",""?00;"", //"""),"'","""")</f>
        <v>082, 19430511, 1, ////, 07</v>
      </c>
    </row>
    <row r="863" spans="1:1" x14ac:dyDescent="0.25">
      <c r="A863" s="25" t="str">
        <f ca="1">TEXT(Regen!A863,"000\,")&amp;TEXT(Regen!B863,"?00000000")&amp;TEXT(Regen!C863,""",""?0")&amp;SUBSTITUTE(TEXT(Regen!D863,""",""????0;"",""???-0;"",""????0;"", ////"""),"'","""")&amp;SUBSTITUTE(TEXT(Regen!E863,""",""?00;"",""?-00;"",""?00;"", //"""),"'","""")</f>
        <v>082, 19430512, 1, ////, 07</v>
      </c>
    </row>
    <row r="864" spans="1:1" x14ac:dyDescent="0.25">
      <c r="A864" s="25" t="str">
        <f ca="1">TEXT(Regen!A864,"000\,")&amp;TEXT(Regen!B864,"?00000000")&amp;TEXT(Regen!C864,""",""?0")&amp;SUBSTITUTE(TEXT(Regen!D864,""",""????0;"",""???-0;"",""????0;"", ////"""),"'","""")&amp;SUBSTITUTE(TEXT(Regen!E864,""",""?00;"",""?-00;"",""?00;"", //"""),"'","""")</f>
        <v>082, 19430513, 1, ////, 07</v>
      </c>
    </row>
    <row r="865" spans="1:1" x14ac:dyDescent="0.25">
      <c r="A865" s="25" t="str">
        <f ca="1">TEXT(Regen!A865,"000\,")&amp;TEXT(Regen!B865,"?00000000")&amp;TEXT(Regen!C865,""",""?0")&amp;SUBSTITUTE(TEXT(Regen!D865,""",""????0;"",""???-0;"",""????0;"", ////"""),"'","""")&amp;SUBSTITUTE(TEXT(Regen!E865,""",""?00;"",""?-00;"",""?00;"", //"""),"'","""")</f>
        <v>082, 19430514, 1, ////, 07</v>
      </c>
    </row>
    <row r="866" spans="1:1" x14ac:dyDescent="0.25">
      <c r="A866" s="25" t="str">
        <f ca="1">TEXT(Regen!A866,"000\,")&amp;TEXT(Regen!B866,"?00000000")&amp;TEXT(Regen!C866,""",""?0")&amp;SUBSTITUTE(TEXT(Regen!D866,""",""????0;"",""???-0;"",""????0;"", ////"""),"'","""")&amp;SUBSTITUTE(TEXT(Regen!E866,""",""?00;"",""?-00;"",""?00;"", //"""),"'","""")</f>
        <v>082, 19430515, 1, ////, 07</v>
      </c>
    </row>
    <row r="867" spans="1:1" x14ac:dyDescent="0.25">
      <c r="A867" s="25" t="str">
        <f ca="1">TEXT(Regen!A867,"000\,")&amp;TEXT(Regen!B867,"?00000000")&amp;TEXT(Regen!C867,""",""?0")&amp;SUBSTITUTE(TEXT(Regen!D867,""",""????0;"",""???-0;"",""????0;"", ////"""),"'","""")&amp;SUBSTITUTE(TEXT(Regen!E867,""",""?00;"",""?-00;"",""?00;"", //"""),"'","""")</f>
        <v>082, 19430516, 1, ////, 07</v>
      </c>
    </row>
    <row r="868" spans="1:1" x14ac:dyDescent="0.25">
      <c r="A868" s="25" t="str">
        <f ca="1">TEXT(Regen!A868,"000\,")&amp;TEXT(Regen!B868,"?00000000")&amp;TEXT(Regen!C868,""",""?0")&amp;SUBSTITUTE(TEXT(Regen!D868,""",""????0;"",""???-0;"",""????0;"", ////"""),"'","""")&amp;SUBSTITUTE(TEXT(Regen!E868,""",""?00;"",""?-00;"",""?00;"", //"""),"'","""")</f>
        <v>082, 19430517, 1, ////, 07</v>
      </c>
    </row>
    <row r="869" spans="1:1" x14ac:dyDescent="0.25">
      <c r="A869" s="25" t="str">
        <f ca="1">TEXT(Regen!A869,"000\,")&amp;TEXT(Regen!B869,"?00000000")&amp;TEXT(Regen!C869,""",""?0")&amp;SUBSTITUTE(TEXT(Regen!D869,""",""????0;"",""???-0;"",""????0;"", ////"""),"'","""")&amp;SUBSTITUTE(TEXT(Regen!E869,""",""?00;"",""?-00;"",""?00;"", //"""),"'","""")</f>
        <v>082, 19430518, 1, ////, 07</v>
      </c>
    </row>
    <row r="870" spans="1:1" x14ac:dyDescent="0.25">
      <c r="A870" s="25" t="str">
        <f ca="1">TEXT(Regen!A870,"000\,")&amp;TEXT(Regen!B870,"?00000000")&amp;TEXT(Regen!C870,""",""?0")&amp;SUBSTITUTE(TEXT(Regen!D870,""",""????0;"",""???-0;"",""????0;"", ////"""),"'","""")&amp;SUBSTITUTE(TEXT(Regen!E870,""",""?00;"",""?-00;"",""?00;"", //"""),"'","""")</f>
        <v>082, 19430519, 1, ////, 07</v>
      </c>
    </row>
    <row r="871" spans="1:1" x14ac:dyDescent="0.25">
      <c r="A871" s="25" t="str">
        <f ca="1">TEXT(Regen!A871,"000\,")&amp;TEXT(Regen!B871,"?00000000")&amp;TEXT(Regen!C871,""",""?0")&amp;SUBSTITUTE(TEXT(Regen!D871,""",""????0;"",""???-0;"",""????0;"", ////"""),"'","""")&amp;SUBSTITUTE(TEXT(Regen!E871,""",""?00;"",""?-00;"",""?00;"", //"""),"'","""")</f>
        <v>082, 19430520, 1, ////, 07</v>
      </c>
    </row>
    <row r="872" spans="1:1" x14ac:dyDescent="0.25">
      <c r="A872" s="25" t="str">
        <f ca="1">TEXT(Regen!A872,"000\,")&amp;TEXT(Regen!B872,"?00000000")&amp;TEXT(Regen!C872,""",""?0")&amp;SUBSTITUTE(TEXT(Regen!D872,""",""????0;"",""???-0;"",""????0;"", ////"""),"'","""")&amp;SUBSTITUTE(TEXT(Regen!E872,""",""?00;"",""?-00;"",""?00;"", //"""),"'","""")</f>
        <v>082, 19430521, 1, ////, 07</v>
      </c>
    </row>
    <row r="873" spans="1:1" x14ac:dyDescent="0.25">
      <c r="A873" s="25" t="str">
        <f ca="1">TEXT(Regen!A873,"000\,")&amp;TEXT(Regen!B873,"?00000000")&amp;TEXT(Regen!C873,""",""?0")&amp;SUBSTITUTE(TEXT(Regen!D873,""",""????0;"",""???-0;"",""????0;"", ////"""),"'","""")&amp;SUBSTITUTE(TEXT(Regen!E873,""",""?00;"",""?-00;"",""?00;"", //"""),"'","""")</f>
        <v>082, 19430522, 1, ////, 07</v>
      </c>
    </row>
    <row r="874" spans="1:1" x14ac:dyDescent="0.25">
      <c r="A874" s="25" t="str">
        <f ca="1">TEXT(Regen!A874,"000\,")&amp;TEXT(Regen!B874,"?00000000")&amp;TEXT(Regen!C874,""",""?0")&amp;SUBSTITUTE(TEXT(Regen!D874,""",""????0;"",""???-0;"",""????0;"", ////"""),"'","""")&amp;SUBSTITUTE(TEXT(Regen!E874,""",""?00;"",""?-00;"",""?00;"", //"""),"'","""")</f>
        <v>082, 19430523, 1, ////, 07</v>
      </c>
    </row>
    <row r="875" spans="1:1" x14ac:dyDescent="0.25">
      <c r="A875" s="25" t="str">
        <f ca="1">TEXT(Regen!A875,"000\,")&amp;TEXT(Regen!B875,"?00000000")&amp;TEXT(Regen!C875,""",""?0")&amp;SUBSTITUTE(TEXT(Regen!D875,""",""????0;"",""???-0;"",""????0;"", ////"""),"'","""")&amp;SUBSTITUTE(TEXT(Regen!E875,""",""?00;"",""?-00;"",""?00;"", //"""),"'","""")</f>
        <v>082, 19430524, 1, ////, 07</v>
      </c>
    </row>
    <row r="876" spans="1:1" x14ac:dyDescent="0.25">
      <c r="A876" s="25" t="str">
        <f ca="1">TEXT(Regen!A876,"000\,")&amp;TEXT(Regen!B876,"?00000000")&amp;TEXT(Regen!C876,""",""?0")&amp;SUBSTITUTE(TEXT(Regen!D876,""",""????0;"",""???-0;"",""????0;"", ////"""),"'","""")&amp;SUBSTITUTE(TEXT(Regen!E876,""",""?00;"",""?-00;"",""?00;"", //"""),"'","""")</f>
        <v>082, 19430525, 1, ////, 07</v>
      </c>
    </row>
    <row r="877" spans="1:1" x14ac:dyDescent="0.25">
      <c r="A877" s="25" t="str">
        <f ca="1">TEXT(Regen!A877,"000\,")&amp;TEXT(Regen!B877,"?00000000")&amp;TEXT(Regen!C877,""",""?0")&amp;SUBSTITUTE(TEXT(Regen!D877,""",""????0;"",""???-0;"",""????0;"", ////"""),"'","""")&amp;SUBSTITUTE(TEXT(Regen!E877,""",""?00;"",""?-00;"",""?00;"", //"""),"'","""")</f>
        <v>082, 19430526, 1, ////, 07</v>
      </c>
    </row>
    <row r="878" spans="1:1" x14ac:dyDescent="0.25">
      <c r="A878" s="25" t="str">
        <f ca="1">TEXT(Regen!A878,"000\,")&amp;TEXT(Regen!B878,"?00000000")&amp;TEXT(Regen!C878,""",""?0")&amp;SUBSTITUTE(TEXT(Regen!D878,""",""????0;"",""???-0;"",""????0;"", ////"""),"'","""")&amp;SUBSTITUTE(TEXT(Regen!E878,""",""?00;"",""?-00;"",""?00;"", //"""),"'","""")</f>
        <v>082, 19430527, 1, ////, 07</v>
      </c>
    </row>
    <row r="879" spans="1:1" x14ac:dyDescent="0.25">
      <c r="A879" s="25" t="str">
        <f ca="1">TEXT(Regen!A879,"000\,")&amp;TEXT(Regen!B879,"?00000000")&amp;TEXT(Regen!C879,""",""?0")&amp;SUBSTITUTE(TEXT(Regen!D879,""",""????0;"",""???-0;"",""????0;"", ////"""),"'","""")&amp;SUBSTITUTE(TEXT(Regen!E879,""",""?00;"",""?-00;"",""?00;"", //"""),"'","""")</f>
        <v>082, 19430528, 1, ////, 07</v>
      </c>
    </row>
    <row r="880" spans="1:1" x14ac:dyDescent="0.25">
      <c r="A880" s="25" t="str">
        <f ca="1">TEXT(Regen!A880,"000\,")&amp;TEXT(Regen!B880,"?00000000")&amp;TEXT(Regen!C880,""",""?0")&amp;SUBSTITUTE(TEXT(Regen!D880,""",""????0;"",""???-0;"",""????0;"", ////"""),"'","""")&amp;SUBSTITUTE(TEXT(Regen!E880,""",""?00;"",""?-00;"",""?00;"", //"""),"'","""")</f>
        <v>082, 19430529, 1, ////, 07</v>
      </c>
    </row>
    <row r="881" spans="1:1" x14ac:dyDescent="0.25">
      <c r="A881" s="25" t="str">
        <f ca="1">TEXT(Regen!A881,"000\,")&amp;TEXT(Regen!B881,"?00000000")&amp;TEXT(Regen!C881,""",""?0")&amp;SUBSTITUTE(TEXT(Regen!D881,""",""????0;"",""???-0;"",""????0;"", ////"""),"'","""")&amp;SUBSTITUTE(TEXT(Regen!E881,""",""?00;"",""?-00;"",""?00;"", //"""),"'","""")</f>
        <v>082, 19430530, 1, ////, 07</v>
      </c>
    </row>
    <row r="882" spans="1:1" x14ac:dyDescent="0.25">
      <c r="A882" s="25" t="str">
        <f ca="1">TEXT(Regen!A882,"000\,")&amp;TEXT(Regen!B882,"?00000000")&amp;TEXT(Regen!C882,""",""?0")&amp;SUBSTITUTE(TEXT(Regen!D882,""",""????0;"",""???-0;"",""????0;"", ////"""),"'","""")&amp;SUBSTITUTE(TEXT(Regen!E882,""",""?00;"",""?-00;"",""?00;"", //"""),"'","""")</f>
        <v>082, 19430531, 1, ////, 07</v>
      </c>
    </row>
    <row r="883" spans="1:1" x14ac:dyDescent="0.25">
      <c r="A883" s="25" t="str">
        <f ca="1">TEXT(Regen!A883,"000\,")&amp;TEXT(Regen!B883,"?00000000")&amp;TEXT(Regen!C883,""",""?0")&amp;SUBSTITUTE(TEXT(Regen!D883,""",""????0;"",""???-0;"",""????0;"", ////"""),"'","""")&amp;SUBSTITUTE(TEXT(Regen!E883,""",""?00;"",""?-00;"",""?00;"", //"""),"'","""")</f>
        <v>082, 19430601, 1, ////, 07</v>
      </c>
    </row>
    <row r="884" spans="1:1" x14ac:dyDescent="0.25">
      <c r="A884" s="25" t="str">
        <f ca="1">TEXT(Regen!A884,"000\,")&amp;TEXT(Regen!B884,"?00000000")&amp;TEXT(Regen!C884,""",""?0")&amp;SUBSTITUTE(TEXT(Regen!D884,""",""????0;"",""???-0;"",""????0;"", ////"""),"'","""")&amp;SUBSTITUTE(TEXT(Regen!E884,""",""?00;"",""?-00;"",""?00;"", //"""),"'","""")</f>
        <v>082, 19430602, 1, ////, 07</v>
      </c>
    </row>
    <row r="885" spans="1:1" x14ac:dyDescent="0.25">
      <c r="A885" s="25" t="str">
        <f ca="1">TEXT(Regen!A885,"000\,")&amp;TEXT(Regen!B885,"?00000000")&amp;TEXT(Regen!C885,""",""?0")&amp;SUBSTITUTE(TEXT(Regen!D885,""",""????0;"",""???-0;"",""????0;"", ////"""),"'","""")&amp;SUBSTITUTE(TEXT(Regen!E885,""",""?00;"",""?-00;"",""?00;"", //"""),"'","""")</f>
        <v>082, 19430603, 1, ////, 07</v>
      </c>
    </row>
    <row r="886" spans="1:1" x14ac:dyDescent="0.25">
      <c r="A886" s="25" t="str">
        <f ca="1">TEXT(Regen!A886,"000\,")&amp;TEXT(Regen!B886,"?00000000")&amp;TEXT(Regen!C886,""",""?0")&amp;SUBSTITUTE(TEXT(Regen!D886,""",""????0;"",""???-0;"",""????0;"", ////"""),"'","""")&amp;SUBSTITUTE(TEXT(Regen!E886,""",""?00;"",""?-00;"",""?00;"", //"""),"'","""")</f>
        <v>082, 19430604, 1, ////, 07</v>
      </c>
    </row>
    <row r="887" spans="1:1" x14ac:dyDescent="0.25">
      <c r="A887" s="25" t="str">
        <f ca="1">TEXT(Regen!A887,"000\,")&amp;TEXT(Regen!B887,"?00000000")&amp;TEXT(Regen!C887,""",""?0")&amp;SUBSTITUTE(TEXT(Regen!D887,""",""????0;"",""???-0;"",""????0;"", ////"""),"'","""")&amp;SUBSTITUTE(TEXT(Regen!E887,""",""?00;"",""?-00;"",""?00;"", //"""),"'","""")</f>
        <v>082, 19430605, 1, ////, 07</v>
      </c>
    </row>
    <row r="888" spans="1:1" x14ac:dyDescent="0.25">
      <c r="A888" s="25" t="str">
        <f ca="1">TEXT(Regen!A888,"000\,")&amp;TEXT(Regen!B888,"?00000000")&amp;TEXT(Regen!C888,""",""?0")&amp;SUBSTITUTE(TEXT(Regen!D888,""",""????0;"",""???-0;"",""????0;"", ////"""),"'","""")&amp;SUBSTITUTE(TEXT(Regen!E888,""",""?00;"",""?-00;"",""?00;"", //"""),"'","""")</f>
        <v>082, 19430606, 1, ////, 07</v>
      </c>
    </row>
    <row r="889" spans="1:1" x14ac:dyDescent="0.25">
      <c r="A889" s="25" t="str">
        <f ca="1">TEXT(Regen!A889,"000\,")&amp;TEXT(Regen!B889,"?00000000")&amp;TEXT(Regen!C889,""",""?0")&amp;SUBSTITUTE(TEXT(Regen!D889,""",""????0;"",""???-0;"",""????0;"", ////"""),"'","""")&amp;SUBSTITUTE(TEXT(Regen!E889,""",""?00;"",""?-00;"",""?00;"", //"""),"'","""")</f>
        <v>082, 19430607, 1, ////, 07</v>
      </c>
    </row>
    <row r="890" spans="1:1" x14ac:dyDescent="0.25">
      <c r="A890" s="25" t="str">
        <f ca="1">TEXT(Regen!A890,"000\,")&amp;TEXT(Regen!B890,"?00000000")&amp;TEXT(Regen!C890,""",""?0")&amp;SUBSTITUTE(TEXT(Regen!D890,""",""????0;"",""???-0;"",""????0;"", ////"""),"'","""")&amp;SUBSTITUTE(TEXT(Regen!E890,""",""?00;"",""?-00;"",""?00;"", //"""),"'","""")</f>
        <v>082, 19430608, 1, ////, 07</v>
      </c>
    </row>
    <row r="891" spans="1:1" x14ac:dyDescent="0.25">
      <c r="A891" s="25" t="str">
        <f ca="1">TEXT(Regen!A891,"000\,")&amp;TEXT(Regen!B891,"?00000000")&amp;TEXT(Regen!C891,""",""?0")&amp;SUBSTITUTE(TEXT(Regen!D891,""",""????0;"",""???-0;"",""????0;"", ////"""),"'","""")&amp;SUBSTITUTE(TEXT(Regen!E891,""",""?00;"",""?-00;"",""?00;"", //"""),"'","""")</f>
        <v>082, 19430609, 1, ////, 07</v>
      </c>
    </row>
    <row r="892" spans="1:1" x14ac:dyDescent="0.25">
      <c r="A892" s="25" t="str">
        <f ca="1">TEXT(Regen!A892,"000\,")&amp;TEXT(Regen!B892,"?00000000")&amp;TEXT(Regen!C892,""",""?0")&amp;SUBSTITUTE(TEXT(Regen!D892,""",""????0;"",""???-0;"",""????0;"", ////"""),"'","""")&amp;SUBSTITUTE(TEXT(Regen!E892,""",""?00;"",""?-00;"",""?00;"", //"""),"'","""")</f>
        <v>082, 19430610, 1, ////, 07</v>
      </c>
    </row>
    <row r="893" spans="1:1" x14ac:dyDescent="0.25">
      <c r="A893" s="25" t="str">
        <f ca="1">TEXT(Regen!A893,"000\,")&amp;TEXT(Regen!B893,"?00000000")&amp;TEXT(Regen!C893,""",""?0")&amp;SUBSTITUTE(TEXT(Regen!D893,""",""????0;"",""???-0;"",""????0;"", ////"""),"'","""")&amp;SUBSTITUTE(TEXT(Regen!E893,""",""?00;"",""?-00;"",""?00;"", //"""),"'","""")</f>
        <v>082, 19430611, 1, ////, 07</v>
      </c>
    </row>
    <row r="894" spans="1:1" x14ac:dyDescent="0.25">
      <c r="A894" s="25" t="str">
        <f ca="1">TEXT(Regen!A894,"000\,")&amp;TEXT(Regen!B894,"?00000000")&amp;TEXT(Regen!C894,""",""?0")&amp;SUBSTITUTE(TEXT(Regen!D894,""",""????0;"",""???-0;"",""????0;"", ////"""),"'","""")&amp;SUBSTITUTE(TEXT(Regen!E894,""",""?00;"",""?-00;"",""?00;"", //"""),"'","""")</f>
        <v>082, 19430612, 1, ////, 07</v>
      </c>
    </row>
    <row r="895" spans="1:1" x14ac:dyDescent="0.25">
      <c r="A895" s="25" t="str">
        <f ca="1">TEXT(Regen!A895,"000\,")&amp;TEXT(Regen!B895,"?00000000")&amp;TEXT(Regen!C895,""",""?0")&amp;SUBSTITUTE(TEXT(Regen!D895,""",""????0;"",""???-0;"",""????0;"", ////"""),"'","""")&amp;SUBSTITUTE(TEXT(Regen!E895,""",""?00;"",""?-00;"",""?00;"", //"""),"'","""")</f>
        <v>082, 19430613, 1, ////, 07</v>
      </c>
    </row>
    <row r="896" spans="1:1" x14ac:dyDescent="0.25">
      <c r="A896" s="25" t="str">
        <f ca="1">TEXT(Regen!A896,"000\,")&amp;TEXT(Regen!B896,"?00000000")&amp;TEXT(Regen!C896,""",""?0")&amp;SUBSTITUTE(TEXT(Regen!D896,""",""????0;"",""???-0;"",""????0;"", ////"""),"'","""")&amp;SUBSTITUTE(TEXT(Regen!E896,""",""?00;"",""?-00;"",""?00;"", //"""),"'","""")</f>
        <v>082, 19430614, 1, ////, 07</v>
      </c>
    </row>
    <row r="897" spans="1:1" x14ac:dyDescent="0.25">
      <c r="A897" s="25" t="str">
        <f ca="1">TEXT(Regen!A897,"000\,")&amp;TEXT(Regen!B897,"?00000000")&amp;TEXT(Regen!C897,""",""?0")&amp;SUBSTITUTE(TEXT(Regen!D897,""",""????0;"",""???-0;"",""????0;"", ////"""),"'","""")&amp;SUBSTITUTE(TEXT(Regen!E897,""",""?00;"",""?-00;"",""?00;"", //"""),"'","""")</f>
        <v>082, 19430615, 1, ////, 07</v>
      </c>
    </row>
    <row r="898" spans="1:1" x14ac:dyDescent="0.25">
      <c r="A898" s="25" t="str">
        <f ca="1">TEXT(Regen!A898,"000\,")&amp;TEXT(Regen!B898,"?00000000")&amp;TEXT(Regen!C898,""",""?0")&amp;SUBSTITUTE(TEXT(Regen!D898,""",""????0;"",""???-0;"",""????0;"", ////"""),"'","""")&amp;SUBSTITUTE(TEXT(Regen!E898,""",""?00;"",""?-00;"",""?00;"", //"""),"'","""")</f>
        <v>082, 19430616, 1, ////, 07</v>
      </c>
    </row>
    <row r="899" spans="1:1" x14ac:dyDescent="0.25">
      <c r="A899" s="25" t="str">
        <f ca="1">TEXT(Regen!A899,"000\,")&amp;TEXT(Regen!B899,"?00000000")&amp;TEXT(Regen!C899,""",""?0")&amp;SUBSTITUTE(TEXT(Regen!D899,""",""????0;"",""???-0;"",""????0;"", ////"""),"'","""")&amp;SUBSTITUTE(TEXT(Regen!E899,""",""?00;"",""?-00;"",""?00;"", //"""),"'","""")</f>
        <v>082, 19430617, 1, ////, 07</v>
      </c>
    </row>
    <row r="900" spans="1:1" x14ac:dyDescent="0.25">
      <c r="A900" s="25" t="str">
        <f ca="1">TEXT(Regen!A900,"000\,")&amp;TEXT(Regen!B900,"?00000000")&amp;TEXT(Regen!C900,""",""?0")&amp;SUBSTITUTE(TEXT(Regen!D900,""",""????0;"",""???-0;"",""????0;"", ////"""),"'","""")&amp;SUBSTITUTE(TEXT(Regen!E900,""",""?00;"",""?-00;"",""?00;"", //"""),"'","""")</f>
        <v>082, 19430618, 1, ////, 07</v>
      </c>
    </row>
    <row r="901" spans="1:1" x14ac:dyDescent="0.25">
      <c r="A901" s="25" t="str">
        <f ca="1">TEXT(Regen!A901,"000\,")&amp;TEXT(Regen!B901,"?00000000")&amp;TEXT(Regen!C901,""",""?0")&amp;SUBSTITUTE(TEXT(Regen!D901,""",""????0;"",""???-0;"",""????0;"", ////"""),"'","""")&amp;SUBSTITUTE(TEXT(Regen!E901,""",""?00;"",""?-00;"",""?00;"", //"""),"'","""")</f>
        <v>082, 19430619, 1, ////, 07</v>
      </c>
    </row>
    <row r="902" spans="1:1" x14ac:dyDescent="0.25">
      <c r="A902" s="25" t="str">
        <f ca="1">TEXT(Regen!A902,"000\,")&amp;TEXT(Regen!B902,"?00000000")&amp;TEXT(Regen!C902,""",""?0")&amp;SUBSTITUTE(TEXT(Regen!D902,""",""????0;"",""???-0;"",""????0;"", ////"""),"'","""")&amp;SUBSTITUTE(TEXT(Regen!E902,""",""?00;"",""?-00;"",""?00;"", //"""),"'","""")</f>
        <v>082, 19430620, 1, ////, 07</v>
      </c>
    </row>
    <row r="903" spans="1:1" x14ac:dyDescent="0.25">
      <c r="A903" s="25" t="str">
        <f ca="1">TEXT(Regen!A903,"000\,")&amp;TEXT(Regen!B903,"?00000000")&amp;TEXT(Regen!C903,""",""?0")&amp;SUBSTITUTE(TEXT(Regen!D903,""",""????0;"",""???-0;"",""????0;"", ////"""),"'","""")&amp;SUBSTITUTE(TEXT(Regen!E903,""",""?00;"",""?-00;"",""?00;"", //"""),"'","""")</f>
        <v>082, 19430621, 1, ////, 07</v>
      </c>
    </row>
    <row r="904" spans="1:1" x14ac:dyDescent="0.25">
      <c r="A904" s="25" t="str">
        <f ca="1">TEXT(Regen!A904,"000\,")&amp;TEXT(Regen!B904,"?00000000")&amp;TEXT(Regen!C904,""",""?0")&amp;SUBSTITUTE(TEXT(Regen!D904,""",""????0;"",""???-0;"",""????0;"", ////"""),"'","""")&amp;SUBSTITUTE(TEXT(Regen!E904,""",""?00;"",""?-00;"",""?00;"", //"""),"'","""")</f>
        <v>082, 19430622, 1, ////, 07</v>
      </c>
    </row>
    <row r="905" spans="1:1" x14ac:dyDescent="0.25">
      <c r="A905" s="25" t="str">
        <f ca="1">TEXT(Regen!A905,"000\,")&amp;TEXT(Regen!B905,"?00000000")&amp;TEXT(Regen!C905,""",""?0")&amp;SUBSTITUTE(TEXT(Regen!D905,""",""????0;"",""???-0;"",""????0;"", ////"""),"'","""")&amp;SUBSTITUTE(TEXT(Regen!E905,""",""?00;"",""?-00;"",""?00;"", //"""),"'","""")</f>
        <v>082, 19430623, 1, ////, 07</v>
      </c>
    </row>
    <row r="906" spans="1:1" x14ac:dyDescent="0.25">
      <c r="A906" s="25" t="str">
        <f ca="1">TEXT(Regen!A906,"000\,")&amp;TEXT(Regen!B906,"?00000000")&amp;TEXT(Regen!C906,""",""?0")&amp;SUBSTITUTE(TEXT(Regen!D906,""",""????0;"",""???-0;"",""????0;"", ////"""),"'","""")&amp;SUBSTITUTE(TEXT(Regen!E906,""",""?00;"",""?-00;"",""?00;"", //"""),"'","""")</f>
        <v>082, 19430624, 1, ////, 07</v>
      </c>
    </row>
    <row r="907" spans="1:1" x14ac:dyDescent="0.25">
      <c r="A907" s="25" t="str">
        <f ca="1">TEXT(Regen!A907,"000\,")&amp;TEXT(Regen!B907,"?00000000")&amp;TEXT(Regen!C907,""",""?0")&amp;SUBSTITUTE(TEXT(Regen!D907,""",""????0;"",""???-0;"",""????0;"", ////"""),"'","""")&amp;SUBSTITUTE(TEXT(Regen!E907,""",""?00;"",""?-00;"",""?00;"", //"""),"'","""")</f>
        <v>082, 19430625, 1, ////, 07</v>
      </c>
    </row>
    <row r="908" spans="1:1" x14ac:dyDescent="0.25">
      <c r="A908" s="25" t="str">
        <f ca="1">TEXT(Regen!A908,"000\,")&amp;TEXT(Regen!B908,"?00000000")&amp;TEXT(Regen!C908,""",""?0")&amp;SUBSTITUTE(TEXT(Regen!D908,""",""????0;"",""???-0;"",""????0;"", ////"""),"'","""")&amp;SUBSTITUTE(TEXT(Regen!E908,""",""?00;"",""?-00;"",""?00;"", //"""),"'","""")</f>
        <v>082, 19430626, 1, ////, 07</v>
      </c>
    </row>
    <row r="909" spans="1:1" x14ac:dyDescent="0.25">
      <c r="A909" s="25" t="str">
        <f ca="1">TEXT(Regen!A909,"000\,")&amp;TEXT(Regen!B909,"?00000000")&amp;TEXT(Regen!C909,""",""?0")&amp;SUBSTITUTE(TEXT(Regen!D909,""",""????0;"",""???-0;"",""????0;"", ////"""),"'","""")&amp;SUBSTITUTE(TEXT(Regen!E909,""",""?00;"",""?-00;"",""?00;"", //"""),"'","""")</f>
        <v>082, 19430627, 1, ////, 07</v>
      </c>
    </row>
    <row r="910" spans="1:1" x14ac:dyDescent="0.25">
      <c r="A910" s="25" t="str">
        <f ca="1">TEXT(Regen!A910,"000\,")&amp;TEXT(Regen!B910,"?00000000")&amp;TEXT(Regen!C910,""",""?0")&amp;SUBSTITUTE(TEXT(Regen!D910,""",""????0;"",""???-0;"",""????0;"", ////"""),"'","""")&amp;SUBSTITUTE(TEXT(Regen!E910,""",""?00;"",""?-00;"",""?00;"", //"""),"'","""")</f>
        <v>082, 19430628, 1, ////, 07</v>
      </c>
    </row>
    <row r="911" spans="1:1" x14ac:dyDescent="0.25">
      <c r="A911" s="25" t="str">
        <f ca="1">TEXT(Regen!A911,"000\,")&amp;TEXT(Regen!B911,"?00000000")&amp;TEXT(Regen!C911,""",""?0")&amp;SUBSTITUTE(TEXT(Regen!D911,""",""????0;"",""???-0;"",""????0;"", ////"""),"'","""")&amp;SUBSTITUTE(TEXT(Regen!E911,""",""?00;"",""?-00;"",""?00;"", //"""),"'","""")</f>
        <v>082, 19430629, 1, ////, 07</v>
      </c>
    </row>
    <row r="912" spans="1:1" x14ac:dyDescent="0.25">
      <c r="A912" s="25" t="str">
        <f ca="1">TEXT(Regen!A912,"000\,")&amp;TEXT(Regen!B912,"?00000000")&amp;TEXT(Regen!C912,""",""?0")&amp;SUBSTITUTE(TEXT(Regen!D912,""",""????0;"",""???-0;"",""????0;"", ////"""),"'","""")&amp;SUBSTITUTE(TEXT(Regen!E912,""",""?00;"",""?-00;"",""?00;"", //"""),"'","""")</f>
        <v>082, 19430630, 1, ////, 07</v>
      </c>
    </row>
    <row r="913" spans="1:1" x14ac:dyDescent="0.25">
      <c r="A913" s="25" t="str">
        <f ca="1">TEXT(Regen!A913,"000\,")&amp;TEXT(Regen!B913,"?00000000")&amp;TEXT(Regen!C913,""",""?0")&amp;SUBSTITUTE(TEXT(Regen!D913,""",""????0;"",""???-0;"",""????0;"", ////"""),"'","""")&amp;SUBSTITUTE(TEXT(Regen!E913,""",""?00;"",""?-00;"",""?00;"", //"""),"'","""")</f>
        <v>082, 19430701, 1, ////, 07</v>
      </c>
    </row>
    <row r="914" spans="1:1" x14ac:dyDescent="0.25">
      <c r="A914" s="25" t="str">
        <f ca="1">TEXT(Regen!A914,"000\,")&amp;TEXT(Regen!B914,"?00000000")&amp;TEXT(Regen!C914,""",""?0")&amp;SUBSTITUTE(TEXT(Regen!D914,""",""????0;"",""???-0;"",""????0;"", ////"""),"'","""")&amp;SUBSTITUTE(TEXT(Regen!E914,""",""?00;"",""?-00;"",""?00;"", //"""),"'","""")</f>
        <v>082, 19430702, 1, ////, 07</v>
      </c>
    </row>
    <row r="915" spans="1:1" x14ac:dyDescent="0.25">
      <c r="A915" s="25" t="str">
        <f ca="1">TEXT(Regen!A915,"000\,")&amp;TEXT(Regen!B915,"?00000000")&amp;TEXT(Regen!C915,""",""?0")&amp;SUBSTITUTE(TEXT(Regen!D915,""",""????0;"",""???-0;"",""????0;"", ////"""),"'","""")&amp;SUBSTITUTE(TEXT(Regen!E915,""",""?00;"",""?-00;"",""?00;"", //"""),"'","""")</f>
        <v>082, 19430703, 1, ////, 07</v>
      </c>
    </row>
    <row r="916" spans="1:1" x14ac:dyDescent="0.25">
      <c r="A916" s="25" t="str">
        <f ca="1">TEXT(Regen!A916,"000\,")&amp;TEXT(Regen!B916,"?00000000")&amp;TEXT(Regen!C916,""",""?0")&amp;SUBSTITUTE(TEXT(Regen!D916,""",""????0;"",""???-0;"",""????0;"", ////"""),"'","""")&amp;SUBSTITUTE(TEXT(Regen!E916,""",""?00;"",""?-00;"",""?00;"", //"""),"'","""")</f>
        <v>082, 19430704, 1, ////, 07</v>
      </c>
    </row>
    <row r="917" spans="1:1" x14ac:dyDescent="0.25">
      <c r="A917" s="25" t="str">
        <f ca="1">TEXT(Regen!A917,"000\,")&amp;TEXT(Regen!B917,"?00000000")&amp;TEXT(Regen!C917,""",""?0")&amp;SUBSTITUTE(TEXT(Regen!D917,""",""????0;"",""???-0;"",""????0;"", ////"""),"'","""")&amp;SUBSTITUTE(TEXT(Regen!E917,""",""?00;"",""?-00;"",""?00;"", //"""),"'","""")</f>
        <v>082, 19430705, 1, ////, 07</v>
      </c>
    </row>
    <row r="918" spans="1:1" x14ac:dyDescent="0.25">
      <c r="A918" s="25" t="str">
        <f ca="1">TEXT(Regen!A918,"000\,")&amp;TEXT(Regen!B918,"?00000000")&amp;TEXT(Regen!C918,""",""?0")&amp;SUBSTITUTE(TEXT(Regen!D918,""",""????0;"",""???-0;"",""????0;"", ////"""),"'","""")&amp;SUBSTITUTE(TEXT(Regen!E918,""",""?00;"",""?-00;"",""?00;"", //"""),"'","""")</f>
        <v>082, 19430706, 1, ////, 07</v>
      </c>
    </row>
    <row r="919" spans="1:1" x14ac:dyDescent="0.25">
      <c r="A919" s="25" t="str">
        <f ca="1">TEXT(Regen!A919,"000\,")&amp;TEXT(Regen!B919,"?00000000")&amp;TEXT(Regen!C919,""",""?0")&amp;SUBSTITUTE(TEXT(Regen!D919,""",""????0;"",""???-0;"",""????0;"", ////"""),"'","""")&amp;SUBSTITUTE(TEXT(Regen!E919,""",""?00;"",""?-00;"",""?00;"", //"""),"'","""")</f>
        <v>082, 19430707, 1, ////, 07</v>
      </c>
    </row>
    <row r="920" spans="1:1" x14ac:dyDescent="0.25">
      <c r="A920" s="25" t="str">
        <f ca="1">TEXT(Regen!A920,"000\,")&amp;TEXT(Regen!B920,"?00000000")&amp;TEXT(Regen!C920,""",""?0")&amp;SUBSTITUTE(TEXT(Regen!D920,""",""????0;"",""???-0;"",""????0;"", ////"""),"'","""")&amp;SUBSTITUTE(TEXT(Regen!E920,""",""?00;"",""?-00;"",""?00;"", //"""),"'","""")</f>
        <v>082, 19430708, 1, ////, 07</v>
      </c>
    </row>
    <row r="921" spans="1:1" x14ac:dyDescent="0.25">
      <c r="A921" s="25" t="str">
        <f ca="1">TEXT(Regen!A921,"000\,")&amp;TEXT(Regen!B921,"?00000000")&amp;TEXT(Regen!C921,""",""?0")&amp;SUBSTITUTE(TEXT(Regen!D921,""",""????0;"",""???-0;"",""????0;"", ////"""),"'","""")&amp;SUBSTITUTE(TEXT(Regen!E921,""",""?00;"",""?-00;"",""?00;"", //"""),"'","""")</f>
        <v>082, 19430709, 1, ////, 07</v>
      </c>
    </row>
    <row r="922" spans="1:1" x14ac:dyDescent="0.25">
      <c r="A922" s="25" t="str">
        <f ca="1">TEXT(Regen!A922,"000\,")&amp;TEXT(Regen!B922,"?00000000")&amp;TEXT(Regen!C922,""",""?0")&amp;SUBSTITUTE(TEXT(Regen!D922,""",""????0;"",""???-0;"",""????0;"", ////"""),"'","""")&amp;SUBSTITUTE(TEXT(Regen!E922,""",""?00;"",""?-00;"",""?00;"", //"""),"'","""")</f>
        <v>082, 19430710, 1, ////, 07</v>
      </c>
    </row>
    <row r="923" spans="1:1" x14ac:dyDescent="0.25">
      <c r="A923" s="25" t="str">
        <f ca="1">TEXT(Regen!A923,"000\,")&amp;TEXT(Regen!B923,"?00000000")&amp;TEXT(Regen!C923,""",""?0")&amp;SUBSTITUTE(TEXT(Regen!D923,""",""????0;"",""???-0;"",""????0;"", ////"""),"'","""")&amp;SUBSTITUTE(TEXT(Regen!E923,""",""?00;"",""?-00;"",""?00;"", //"""),"'","""")</f>
        <v>082, 19430711, 1, ////, 07</v>
      </c>
    </row>
    <row r="924" spans="1:1" x14ac:dyDescent="0.25">
      <c r="A924" s="25" t="str">
        <f ca="1">TEXT(Regen!A924,"000\,")&amp;TEXT(Regen!B924,"?00000000")&amp;TEXT(Regen!C924,""",""?0")&amp;SUBSTITUTE(TEXT(Regen!D924,""",""????0;"",""???-0;"",""????0;"", ////"""),"'","""")&amp;SUBSTITUTE(TEXT(Regen!E924,""",""?00;"",""?-00;"",""?00;"", //"""),"'","""")</f>
        <v>082, 19430712, 1, ////, 07</v>
      </c>
    </row>
    <row r="925" spans="1:1" x14ac:dyDescent="0.25">
      <c r="A925" s="25" t="str">
        <f ca="1">TEXT(Regen!A925,"000\,")&amp;TEXT(Regen!B925,"?00000000")&amp;TEXT(Regen!C925,""",""?0")&amp;SUBSTITUTE(TEXT(Regen!D925,""",""????0;"",""???-0;"",""????0;"", ////"""),"'","""")&amp;SUBSTITUTE(TEXT(Regen!E925,""",""?00;"",""?-00;"",""?00;"", //"""),"'","""")</f>
        <v>082, 19430713, 1, ////, 07</v>
      </c>
    </row>
    <row r="926" spans="1:1" x14ac:dyDescent="0.25">
      <c r="A926" s="25" t="str">
        <f ca="1">TEXT(Regen!A926,"000\,")&amp;TEXT(Regen!B926,"?00000000")&amp;TEXT(Regen!C926,""",""?0")&amp;SUBSTITUTE(TEXT(Regen!D926,""",""????0;"",""???-0;"",""????0;"", ////"""),"'","""")&amp;SUBSTITUTE(TEXT(Regen!E926,""",""?00;"",""?-00;"",""?00;"", //"""),"'","""")</f>
        <v>082, 19430714, 1, ////, 07</v>
      </c>
    </row>
    <row r="927" spans="1:1" x14ac:dyDescent="0.25">
      <c r="A927" s="25" t="str">
        <f ca="1">TEXT(Regen!A927,"000\,")&amp;TEXT(Regen!B927,"?00000000")&amp;TEXT(Regen!C927,""",""?0")&amp;SUBSTITUTE(TEXT(Regen!D927,""",""????0;"",""???-0;"",""????0;"", ////"""),"'","""")&amp;SUBSTITUTE(TEXT(Regen!E927,""",""?00;"",""?-00;"",""?00;"", //"""),"'","""")</f>
        <v>082, 19430715, 1, ////, 07</v>
      </c>
    </row>
    <row r="928" spans="1:1" x14ac:dyDescent="0.25">
      <c r="A928" s="25" t="str">
        <f ca="1">TEXT(Regen!A928,"000\,")&amp;TEXT(Regen!B928,"?00000000")&amp;TEXT(Regen!C928,""",""?0")&amp;SUBSTITUTE(TEXT(Regen!D928,""",""????0;"",""???-0;"",""????0;"", ////"""),"'","""")&amp;SUBSTITUTE(TEXT(Regen!E928,""",""?00;"",""?-00;"",""?00;"", //"""),"'","""")</f>
        <v>082, 19430716, 1, ////, 07</v>
      </c>
    </row>
    <row r="929" spans="1:1" x14ac:dyDescent="0.25">
      <c r="A929" s="25" t="str">
        <f ca="1">TEXT(Regen!A929,"000\,")&amp;TEXT(Regen!B929,"?00000000")&amp;TEXT(Regen!C929,""",""?0")&amp;SUBSTITUTE(TEXT(Regen!D929,""",""????0;"",""???-0;"",""????0;"", ////"""),"'","""")&amp;SUBSTITUTE(TEXT(Regen!E929,""",""?00;"",""?-00;"",""?00;"", //"""),"'","""")</f>
        <v>082, 19430717, 1, ////, 07</v>
      </c>
    </row>
    <row r="930" spans="1:1" x14ac:dyDescent="0.25">
      <c r="A930" s="25" t="str">
        <f ca="1">TEXT(Regen!A930,"000\,")&amp;TEXT(Regen!B930,"?00000000")&amp;TEXT(Regen!C930,""",""?0")&amp;SUBSTITUTE(TEXT(Regen!D930,""",""????0;"",""???-0;"",""????0;"", ////"""),"'","""")&amp;SUBSTITUTE(TEXT(Regen!E930,""",""?00;"",""?-00;"",""?00;"", //"""),"'","""")</f>
        <v>082, 19430718, 1, ////, 07</v>
      </c>
    </row>
    <row r="931" spans="1:1" x14ac:dyDescent="0.25">
      <c r="A931" s="25" t="str">
        <f ca="1">TEXT(Regen!A931,"000\,")&amp;TEXT(Regen!B931,"?00000000")&amp;TEXT(Regen!C931,""",""?0")&amp;SUBSTITUTE(TEXT(Regen!D931,""",""????0;"",""???-0;"",""????0;"", ////"""),"'","""")&amp;SUBSTITUTE(TEXT(Regen!E931,""",""?00;"",""?-00;"",""?00;"", //"""),"'","""")</f>
        <v>082, 19430719, 1, ////, 07</v>
      </c>
    </row>
    <row r="932" spans="1:1" x14ac:dyDescent="0.25">
      <c r="A932" s="25" t="str">
        <f ca="1">TEXT(Regen!A932,"000\,")&amp;TEXT(Regen!B932,"?00000000")&amp;TEXT(Regen!C932,""",""?0")&amp;SUBSTITUTE(TEXT(Regen!D932,""",""????0;"",""???-0;"",""????0;"", ////"""),"'","""")&amp;SUBSTITUTE(TEXT(Regen!E932,""",""?00;"",""?-00;"",""?00;"", //"""),"'","""")</f>
        <v>082, 19430720, 1, ////, 07</v>
      </c>
    </row>
    <row r="933" spans="1:1" x14ac:dyDescent="0.25">
      <c r="A933" s="25" t="str">
        <f ca="1">TEXT(Regen!A933,"000\,")&amp;TEXT(Regen!B933,"?00000000")&amp;TEXT(Regen!C933,""",""?0")&amp;SUBSTITUTE(TEXT(Regen!D933,""",""????0;"",""???-0;"",""????0;"", ////"""),"'","""")&amp;SUBSTITUTE(TEXT(Regen!E933,""",""?00;"",""?-00;"",""?00;"", //"""),"'","""")</f>
        <v>082, 19430721, 1, ////, 07</v>
      </c>
    </row>
    <row r="934" spans="1:1" x14ac:dyDescent="0.25">
      <c r="A934" s="25" t="str">
        <f ca="1">TEXT(Regen!A934,"000\,")&amp;TEXT(Regen!B934,"?00000000")&amp;TEXT(Regen!C934,""",""?0")&amp;SUBSTITUTE(TEXT(Regen!D934,""",""????0;"",""???-0;"",""????0;"", ////"""),"'","""")&amp;SUBSTITUTE(TEXT(Regen!E934,""",""?00;"",""?-00;"",""?00;"", //"""),"'","""")</f>
        <v>082, 19430722, 1, ////, 07</v>
      </c>
    </row>
    <row r="935" spans="1:1" x14ac:dyDescent="0.25">
      <c r="A935" s="25" t="str">
        <f ca="1">TEXT(Regen!A935,"000\,")&amp;TEXT(Regen!B935,"?00000000")&amp;TEXT(Regen!C935,""",""?0")&amp;SUBSTITUTE(TEXT(Regen!D935,""",""????0;"",""???-0;"",""????0;"", ////"""),"'","""")&amp;SUBSTITUTE(TEXT(Regen!E935,""",""?00;"",""?-00;"",""?00;"", //"""),"'","""")</f>
        <v>082, 19430723, 1, ////, 07</v>
      </c>
    </row>
    <row r="936" spans="1:1" x14ac:dyDescent="0.25">
      <c r="A936" s="25" t="str">
        <f ca="1">TEXT(Regen!A936,"000\,")&amp;TEXT(Regen!B936,"?00000000")&amp;TEXT(Regen!C936,""",""?0")&amp;SUBSTITUTE(TEXT(Regen!D936,""",""????0;"",""???-0;"",""????0;"", ////"""),"'","""")&amp;SUBSTITUTE(TEXT(Regen!E936,""",""?00;"",""?-00;"",""?00;"", //"""),"'","""")</f>
        <v>082, 19430724, 1, ////, 07</v>
      </c>
    </row>
    <row r="937" spans="1:1" x14ac:dyDescent="0.25">
      <c r="A937" s="25" t="str">
        <f ca="1">TEXT(Regen!A937,"000\,")&amp;TEXT(Regen!B937,"?00000000")&amp;TEXT(Regen!C937,""",""?0")&amp;SUBSTITUTE(TEXT(Regen!D937,""",""????0;"",""???-0;"",""????0;"", ////"""),"'","""")&amp;SUBSTITUTE(TEXT(Regen!E937,""",""?00;"",""?-00;"",""?00;"", //"""),"'","""")</f>
        <v>082, 19430725, 1, ////, 07</v>
      </c>
    </row>
    <row r="938" spans="1:1" x14ac:dyDescent="0.25">
      <c r="A938" s="25" t="str">
        <f ca="1">TEXT(Regen!A938,"000\,")&amp;TEXT(Regen!B938,"?00000000")&amp;TEXT(Regen!C938,""",""?0")&amp;SUBSTITUTE(TEXT(Regen!D938,""",""????0;"",""???-0;"",""????0;"", ////"""),"'","""")&amp;SUBSTITUTE(TEXT(Regen!E938,""",""?00;"",""?-00;"",""?00;"", //"""),"'","""")</f>
        <v>082, 19430726, 1, ////, 07</v>
      </c>
    </row>
    <row r="939" spans="1:1" x14ac:dyDescent="0.25">
      <c r="A939" s="25" t="str">
        <f ca="1">TEXT(Regen!A939,"000\,")&amp;TEXT(Regen!B939,"?00000000")&amp;TEXT(Regen!C939,""",""?0")&amp;SUBSTITUTE(TEXT(Regen!D939,""",""????0;"",""???-0;"",""????0;"", ////"""),"'","""")&amp;SUBSTITUTE(TEXT(Regen!E939,""",""?00;"",""?-00;"",""?00;"", //"""),"'","""")</f>
        <v>082, 19430727, 1, ////, 07</v>
      </c>
    </row>
    <row r="940" spans="1:1" x14ac:dyDescent="0.25">
      <c r="A940" s="25" t="str">
        <f ca="1">TEXT(Regen!A940,"000\,")&amp;TEXT(Regen!B940,"?00000000")&amp;TEXT(Regen!C940,""",""?0")&amp;SUBSTITUTE(TEXT(Regen!D940,""",""????0;"",""???-0;"",""????0;"", ////"""),"'","""")&amp;SUBSTITUTE(TEXT(Regen!E940,""",""?00;"",""?-00;"",""?00;"", //"""),"'","""")</f>
        <v>082, 19430728, 1, ////, 07</v>
      </c>
    </row>
    <row r="941" spans="1:1" x14ac:dyDescent="0.25">
      <c r="A941" s="25" t="str">
        <f ca="1">TEXT(Regen!A941,"000\,")&amp;TEXT(Regen!B941,"?00000000")&amp;TEXT(Regen!C941,""",""?0")&amp;SUBSTITUTE(TEXT(Regen!D941,""",""????0;"",""???-0;"",""????0;"", ////"""),"'","""")&amp;SUBSTITUTE(TEXT(Regen!E941,""",""?00;"",""?-00;"",""?00;"", //"""),"'","""")</f>
        <v>082, 19430729, 1, ////, 07</v>
      </c>
    </row>
    <row r="942" spans="1:1" x14ac:dyDescent="0.25">
      <c r="A942" s="25" t="str">
        <f ca="1">TEXT(Regen!A942,"000\,")&amp;TEXT(Regen!B942,"?00000000")&amp;TEXT(Regen!C942,""",""?0")&amp;SUBSTITUTE(TEXT(Regen!D942,""",""????0;"",""???-0;"",""????0;"", ////"""),"'","""")&amp;SUBSTITUTE(TEXT(Regen!E942,""",""?00;"",""?-00;"",""?00;"", //"""),"'","""")</f>
        <v>082, 19430730, 1, ////, 07</v>
      </c>
    </row>
    <row r="943" spans="1:1" x14ac:dyDescent="0.25">
      <c r="A943" s="25" t="str">
        <f ca="1">TEXT(Regen!A943,"000\,")&amp;TEXT(Regen!B943,"?00000000")&amp;TEXT(Regen!C943,""",""?0")&amp;SUBSTITUTE(TEXT(Regen!D943,""",""????0;"",""???-0;"",""????0;"", ////"""),"'","""")&amp;SUBSTITUTE(TEXT(Regen!E943,""",""?00;"",""?-00;"",""?00;"", //"""),"'","""")</f>
        <v>082, 19430731, 1, ////, 07</v>
      </c>
    </row>
    <row r="944" spans="1:1" x14ac:dyDescent="0.25">
      <c r="A944" s="25" t="str">
        <f ca="1">TEXT(Regen!A944,"000\,")&amp;TEXT(Regen!B944,"?00000000")&amp;TEXT(Regen!C944,""",""?0")&amp;SUBSTITUTE(TEXT(Regen!D944,""",""????0;"",""???-0;"",""????0;"", ////"""),"'","""")&amp;SUBSTITUTE(TEXT(Regen!E944,""",""?00;"",""?-00;"",""?00;"", //"""),"'","""")</f>
        <v>082, 19430801, 1, ////, 07</v>
      </c>
    </row>
    <row r="945" spans="1:1" x14ac:dyDescent="0.25">
      <c r="A945" s="25" t="str">
        <f ca="1">TEXT(Regen!A945,"000\,")&amp;TEXT(Regen!B945,"?00000000")&amp;TEXT(Regen!C945,""",""?0")&amp;SUBSTITUTE(TEXT(Regen!D945,""",""????0;"",""???-0;"",""????0;"", ////"""),"'","""")&amp;SUBSTITUTE(TEXT(Regen!E945,""",""?00;"",""?-00;"",""?00;"", //"""),"'","""")</f>
        <v>082, 19430802, 1, ////, 07</v>
      </c>
    </row>
    <row r="946" spans="1:1" x14ac:dyDescent="0.25">
      <c r="A946" s="25" t="str">
        <f ca="1">TEXT(Regen!A946,"000\,")&amp;TEXT(Regen!B946,"?00000000")&amp;TEXT(Regen!C946,""",""?0")&amp;SUBSTITUTE(TEXT(Regen!D946,""",""????0;"",""???-0;"",""????0;"", ////"""),"'","""")&amp;SUBSTITUTE(TEXT(Regen!E946,""",""?00;"",""?-00;"",""?00;"", //"""),"'","""")</f>
        <v>082, 19430803, 1, ////, 07</v>
      </c>
    </row>
    <row r="947" spans="1:1" x14ac:dyDescent="0.25">
      <c r="A947" s="25" t="str">
        <f ca="1">TEXT(Regen!A947,"000\,")&amp;TEXT(Regen!B947,"?00000000")&amp;TEXT(Regen!C947,""",""?0")&amp;SUBSTITUTE(TEXT(Regen!D947,""",""????0;"",""???-0;"",""????0;"", ////"""),"'","""")&amp;SUBSTITUTE(TEXT(Regen!E947,""",""?00;"",""?-00;"",""?00;"", //"""),"'","""")</f>
        <v>082, 19430804, 1, ////, 07</v>
      </c>
    </row>
    <row r="948" spans="1:1" x14ac:dyDescent="0.25">
      <c r="A948" s="25" t="str">
        <f ca="1">TEXT(Regen!A948,"000\,")&amp;TEXT(Regen!B948,"?00000000")&amp;TEXT(Regen!C948,""",""?0")&amp;SUBSTITUTE(TEXT(Regen!D948,""",""????0;"",""???-0;"",""????0;"", ////"""),"'","""")&amp;SUBSTITUTE(TEXT(Regen!E948,""",""?00;"",""?-00;"",""?00;"", //"""),"'","""")</f>
        <v>082, 19430805, 1, ////, 07</v>
      </c>
    </row>
    <row r="949" spans="1:1" x14ac:dyDescent="0.25">
      <c r="A949" s="25" t="str">
        <f ca="1">TEXT(Regen!A949,"000\,")&amp;TEXT(Regen!B949,"?00000000")&amp;TEXT(Regen!C949,""",""?0")&amp;SUBSTITUTE(TEXT(Regen!D949,""",""????0;"",""???-0;"",""????0;"", ////"""),"'","""")&amp;SUBSTITUTE(TEXT(Regen!E949,""",""?00;"",""?-00;"",""?00;"", //"""),"'","""")</f>
        <v>082, 19430806, 1, ////, 07</v>
      </c>
    </row>
    <row r="950" spans="1:1" x14ac:dyDescent="0.25">
      <c r="A950" s="25" t="str">
        <f ca="1">TEXT(Regen!A950,"000\,")&amp;TEXT(Regen!B950,"?00000000")&amp;TEXT(Regen!C950,""",""?0")&amp;SUBSTITUTE(TEXT(Regen!D950,""",""????0;"",""???-0;"",""????0;"", ////"""),"'","""")&amp;SUBSTITUTE(TEXT(Regen!E950,""",""?00;"",""?-00;"",""?00;"", //"""),"'","""")</f>
        <v>082, 19430807, 1, ////, 07</v>
      </c>
    </row>
    <row r="951" spans="1:1" x14ac:dyDescent="0.25">
      <c r="A951" s="25" t="str">
        <f ca="1">TEXT(Regen!A951,"000\,")&amp;TEXT(Regen!B951,"?00000000")&amp;TEXT(Regen!C951,""",""?0")&amp;SUBSTITUTE(TEXT(Regen!D951,""",""????0;"",""???-0;"",""????0;"", ////"""),"'","""")&amp;SUBSTITUTE(TEXT(Regen!E951,""",""?00;"",""?-00;"",""?00;"", //"""),"'","""")</f>
        <v>082, 19430808, 1, ////, 07</v>
      </c>
    </row>
    <row r="952" spans="1:1" x14ac:dyDescent="0.25">
      <c r="A952" s="25" t="str">
        <f ca="1">TEXT(Regen!A952,"000\,")&amp;TEXT(Regen!B952,"?00000000")&amp;TEXT(Regen!C952,""",""?0")&amp;SUBSTITUTE(TEXT(Regen!D952,""",""????0;"",""???-0;"",""????0;"", ////"""),"'","""")&amp;SUBSTITUTE(TEXT(Regen!E952,""",""?00;"",""?-00;"",""?00;"", //"""),"'","""")</f>
        <v>082, 19430809, 1, ////, 07</v>
      </c>
    </row>
    <row r="953" spans="1:1" x14ac:dyDescent="0.25">
      <c r="A953" s="25" t="str">
        <f ca="1">TEXT(Regen!A953,"000\,")&amp;TEXT(Regen!B953,"?00000000")&amp;TEXT(Regen!C953,""",""?0")&amp;SUBSTITUTE(TEXT(Regen!D953,""",""????0;"",""???-0;"",""????0;"", ////"""),"'","""")&amp;SUBSTITUTE(TEXT(Regen!E953,""",""?00;"",""?-00;"",""?00;"", //"""),"'","""")</f>
        <v>082, 19430810, 1, ////, 07</v>
      </c>
    </row>
    <row r="954" spans="1:1" x14ac:dyDescent="0.25">
      <c r="A954" s="25" t="str">
        <f ca="1">TEXT(Regen!A954,"000\,")&amp;TEXT(Regen!B954,"?00000000")&amp;TEXT(Regen!C954,""",""?0")&amp;SUBSTITUTE(TEXT(Regen!D954,""",""????0;"",""???-0;"",""????0;"", ////"""),"'","""")&amp;SUBSTITUTE(TEXT(Regen!E954,""",""?00;"",""?-00;"",""?00;"", //"""),"'","""")</f>
        <v>082, 19430811, 1, ////, 07</v>
      </c>
    </row>
    <row r="955" spans="1:1" x14ac:dyDescent="0.25">
      <c r="A955" s="25" t="str">
        <f ca="1">TEXT(Regen!A955,"000\,")&amp;TEXT(Regen!B955,"?00000000")&amp;TEXT(Regen!C955,""",""?0")&amp;SUBSTITUTE(TEXT(Regen!D955,""",""????0;"",""???-0;"",""????0;"", ////"""),"'","""")&amp;SUBSTITUTE(TEXT(Regen!E955,""",""?00;"",""?-00;"",""?00;"", //"""),"'","""")</f>
        <v>082, 19430812, 1, ////, 07</v>
      </c>
    </row>
    <row r="956" spans="1:1" x14ac:dyDescent="0.25">
      <c r="A956" s="25" t="str">
        <f ca="1">TEXT(Regen!A956,"000\,")&amp;TEXT(Regen!B956,"?00000000")&amp;TEXT(Regen!C956,""",""?0")&amp;SUBSTITUTE(TEXT(Regen!D956,""",""????0;"",""???-0;"",""????0;"", ////"""),"'","""")&amp;SUBSTITUTE(TEXT(Regen!E956,""",""?00;"",""?-00;"",""?00;"", //"""),"'","""")</f>
        <v>082, 19430813, 1, ////, 07</v>
      </c>
    </row>
    <row r="957" spans="1:1" x14ac:dyDescent="0.25">
      <c r="A957" s="25" t="str">
        <f ca="1">TEXT(Regen!A957,"000\,")&amp;TEXT(Regen!B957,"?00000000")&amp;TEXT(Regen!C957,""",""?0")&amp;SUBSTITUTE(TEXT(Regen!D957,""",""????0;"",""???-0;"",""????0;"", ////"""),"'","""")&amp;SUBSTITUTE(TEXT(Regen!E957,""",""?00;"",""?-00;"",""?00;"", //"""),"'","""")</f>
        <v>082, 19430814, 1, ////, 07</v>
      </c>
    </row>
    <row r="958" spans="1:1" x14ac:dyDescent="0.25">
      <c r="A958" s="25" t="str">
        <f ca="1">TEXT(Regen!A958,"000\,")&amp;TEXT(Regen!B958,"?00000000")&amp;TEXT(Regen!C958,""",""?0")&amp;SUBSTITUTE(TEXT(Regen!D958,""",""????0;"",""???-0;"",""????0;"", ////"""),"'","""")&amp;SUBSTITUTE(TEXT(Regen!E958,""",""?00;"",""?-00;"",""?00;"", //"""),"'","""")</f>
        <v>082, 19430815, 1, ////, 07</v>
      </c>
    </row>
    <row r="959" spans="1:1" x14ac:dyDescent="0.25">
      <c r="A959" s="25" t="str">
        <f ca="1">TEXT(Regen!A959,"000\,")&amp;TEXT(Regen!B959,"?00000000")&amp;TEXT(Regen!C959,""",""?0")&amp;SUBSTITUTE(TEXT(Regen!D959,""",""????0;"",""???-0;"",""????0;"", ////"""),"'","""")&amp;SUBSTITUTE(TEXT(Regen!E959,""",""?00;"",""?-00;"",""?00;"", //"""),"'","""")</f>
        <v>082, 19430816, 1, ////, 07</v>
      </c>
    </row>
    <row r="960" spans="1:1" x14ac:dyDescent="0.25">
      <c r="A960" s="25" t="str">
        <f ca="1">TEXT(Regen!A960,"000\,")&amp;TEXT(Regen!B960,"?00000000")&amp;TEXT(Regen!C960,""",""?0")&amp;SUBSTITUTE(TEXT(Regen!D960,""",""????0;"",""???-0;"",""????0;"", ////"""),"'","""")&amp;SUBSTITUTE(TEXT(Regen!E960,""",""?00;"",""?-00;"",""?00;"", //"""),"'","""")</f>
        <v>082, 19430817, 1, ////, 07</v>
      </c>
    </row>
    <row r="961" spans="1:1" x14ac:dyDescent="0.25">
      <c r="A961" s="25" t="str">
        <f ca="1">TEXT(Regen!A961,"000\,")&amp;TEXT(Regen!B961,"?00000000")&amp;TEXT(Regen!C961,""",""?0")&amp;SUBSTITUTE(TEXT(Regen!D961,""",""????0;"",""???-0;"",""????0;"", ////"""),"'","""")&amp;SUBSTITUTE(TEXT(Regen!E961,""",""?00;"",""?-00;"",""?00;"", //"""),"'","""")</f>
        <v>082, 19430818, 1, ////, 07</v>
      </c>
    </row>
    <row r="962" spans="1:1" x14ac:dyDescent="0.25">
      <c r="A962" s="25" t="str">
        <f ca="1">TEXT(Regen!A962,"000\,")&amp;TEXT(Regen!B962,"?00000000")&amp;TEXT(Regen!C962,""",""?0")&amp;SUBSTITUTE(TEXT(Regen!D962,""",""????0;"",""???-0;"",""????0;"", ////"""),"'","""")&amp;SUBSTITUTE(TEXT(Regen!E962,""",""?00;"",""?-00;"",""?00;"", //"""),"'","""")</f>
        <v>082, 19430819, 1, ////, 07</v>
      </c>
    </row>
    <row r="963" spans="1:1" x14ac:dyDescent="0.25">
      <c r="A963" s="25" t="str">
        <f ca="1">TEXT(Regen!A963,"000\,")&amp;TEXT(Regen!B963,"?00000000")&amp;TEXT(Regen!C963,""",""?0")&amp;SUBSTITUTE(TEXT(Regen!D963,""",""????0;"",""???-0;"",""????0;"", ////"""),"'","""")&amp;SUBSTITUTE(TEXT(Regen!E963,""",""?00;"",""?-00;"",""?00;"", //"""),"'","""")</f>
        <v>082, 19430820, 1, ////, 07</v>
      </c>
    </row>
    <row r="964" spans="1:1" x14ac:dyDescent="0.25">
      <c r="A964" s="25" t="str">
        <f ca="1">TEXT(Regen!A964,"000\,")&amp;TEXT(Regen!B964,"?00000000")&amp;TEXT(Regen!C964,""",""?0")&amp;SUBSTITUTE(TEXT(Regen!D964,""",""????0;"",""???-0;"",""????0;"", ////"""),"'","""")&amp;SUBSTITUTE(TEXT(Regen!E964,""",""?00;"",""?-00;"",""?00;"", //"""),"'","""")</f>
        <v>082, 19430821, 1, ////, 07</v>
      </c>
    </row>
    <row r="965" spans="1:1" x14ac:dyDescent="0.25">
      <c r="A965" s="25" t="str">
        <f ca="1">TEXT(Regen!A965,"000\,")&amp;TEXT(Regen!B965,"?00000000")&amp;TEXT(Regen!C965,""",""?0")&amp;SUBSTITUTE(TEXT(Regen!D965,""",""????0;"",""???-0;"",""????0;"", ////"""),"'","""")&amp;SUBSTITUTE(TEXT(Regen!E965,""",""?00;"",""?-00;"",""?00;"", //"""),"'","""")</f>
        <v>082, 19430822, 1, ////, 07</v>
      </c>
    </row>
    <row r="966" spans="1:1" x14ac:dyDescent="0.25">
      <c r="A966" s="25" t="str">
        <f ca="1">TEXT(Regen!A966,"000\,")&amp;TEXT(Regen!B966,"?00000000")&amp;TEXT(Regen!C966,""",""?0")&amp;SUBSTITUTE(TEXT(Regen!D966,""",""????0;"",""???-0;"",""????0;"", ////"""),"'","""")&amp;SUBSTITUTE(TEXT(Regen!E966,""",""?00;"",""?-00;"",""?00;"", //"""),"'","""")</f>
        <v>082, 19430823, 1, ////, 07</v>
      </c>
    </row>
    <row r="967" spans="1:1" x14ac:dyDescent="0.25">
      <c r="A967" s="25" t="str">
        <f ca="1">TEXT(Regen!A967,"000\,")&amp;TEXT(Regen!B967,"?00000000")&amp;TEXT(Regen!C967,""",""?0")&amp;SUBSTITUTE(TEXT(Regen!D967,""",""????0;"",""???-0;"",""????0;"", ////"""),"'","""")&amp;SUBSTITUTE(TEXT(Regen!E967,""",""?00;"",""?-00;"",""?00;"", //"""),"'","""")</f>
        <v>082, 19430824, 1, ////, 07</v>
      </c>
    </row>
    <row r="968" spans="1:1" x14ac:dyDescent="0.25">
      <c r="A968" s="25" t="str">
        <f ca="1">TEXT(Regen!A968,"000\,")&amp;TEXT(Regen!B968,"?00000000")&amp;TEXT(Regen!C968,""",""?0")&amp;SUBSTITUTE(TEXT(Regen!D968,""",""????0;"",""???-0;"",""????0;"", ////"""),"'","""")&amp;SUBSTITUTE(TEXT(Regen!E968,""",""?00;"",""?-00;"",""?00;"", //"""),"'","""")</f>
        <v>082, 19430825, 1, ////, 07</v>
      </c>
    </row>
    <row r="969" spans="1:1" x14ac:dyDescent="0.25">
      <c r="A969" s="25" t="str">
        <f ca="1">TEXT(Regen!A969,"000\,")&amp;TEXT(Regen!B969,"?00000000")&amp;TEXT(Regen!C969,""",""?0")&amp;SUBSTITUTE(TEXT(Regen!D969,""",""????0;"",""???-0;"",""????0;"", ////"""),"'","""")&amp;SUBSTITUTE(TEXT(Regen!E969,""",""?00;"",""?-00;"",""?00;"", //"""),"'","""")</f>
        <v>082, 19430826, 1, ////, 07</v>
      </c>
    </row>
    <row r="970" spans="1:1" x14ac:dyDescent="0.25">
      <c r="A970" s="25" t="str">
        <f ca="1">TEXT(Regen!A970,"000\,")&amp;TEXT(Regen!B970,"?00000000")&amp;TEXT(Regen!C970,""",""?0")&amp;SUBSTITUTE(TEXT(Regen!D970,""",""????0;"",""???-0;"",""????0;"", ////"""),"'","""")&amp;SUBSTITUTE(TEXT(Regen!E970,""",""?00;"",""?-00;"",""?00;"", //"""),"'","""")</f>
        <v>082, 19430827, 1, ////, 07</v>
      </c>
    </row>
    <row r="971" spans="1:1" x14ac:dyDescent="0.25">
      <c r="A971" s="25" t="str">
        <f ca="1">TEXT(Regen!A971,"000\,")&amp;TEXT(Regen!B971,"?00000000")&amp;TEXT(Regen!C971,""",""?0")&amp;SUBSTITUTE(TEXT(Regen!D971,""",""????0;"",""???-0;"",""????0;"", ////"""),"'","""")&amp;SUBSTITUTE(TEXT(Regen!E971,""",""?00;"",""?-00;"",""?00;"", //"""),"'","""")</f>
        <v>082, 19430828, 1, ////, 07</v>
      </c>
    </row>
    <row r="972" spans="1:1" x14ac:dyDescent="0.25">
      <c r="A972" s="25" t="str">
        <f ca="1">TEXT(Regen!A972,"000\,")&amp;TEXT(Regen!B972,"?00000000")&amp;TEXT(Regen!C972,""",""?0")&amp;SUBSTITUTE(TEXT(Regen!D972,""",""????0;"",""???-0;"",""????0;"", ////"""),"'","""")&amp;SUBSTITUTE(TEXT(Regen!E972,""",""?00;"",""?-00;"",""?00;"", //"""),"'","""")</f>
        <v>082, 19430829, 1, ////, 07</v>
      </c>
    </row>
    <row r="973" spans="1:1" x14ac:dyDescent="0.25">
      <c r="A973" s="25" t="str">
        <f ca="1">TEXT(Regen!A973,"000\,")&amp;TEXT(Regen!B973,"?00000000")&amp;TEXT(Regen!C973,""",""?0")&amp;SUBSTITUTE(TEXT(Regen!D973,""",""????0;"",""???-0;"",""????0;"", ////"""),"'","""")&amp;SUBSTITUTE(TEXT(Regen!E973,""",""?00;"",""?-00;"",""?00;"", //"""),"'","""")</f>
        <v>082, 19430830, 1, ////, 07</v>
      </c>
    </row>
    <row r="974" spans="1:1" x14ac:dyDescent="0.25">
      <c r="A974" s="25" t="str">
        <f ca="1">TEXT(Regen!A974,"000\,")&amp;TEXT(Regen!B974,"?00000000")&amp;TEXT(Regen!C974,""",""?0")&amp;SUBSTITUTE(TEXT(Regen!D974,""",""????0;"",""???-0;"",""????0;"", ////"""),"'","""")&amp;SUBSTITUTE(TEXT(Regen!E974,""",""?00;"",""?-00;"",""?00;"", //"""),"'","""")</f>
        <v>082, 19430831, 1, ////, 07</v>
      </c>
    </row>
    <row r="975" spans="1:1" x14ac:dyDescent="0.25">
      <c r="A975" s="25" t="str">
        <f ca="1">TEXT(Regen!A975,"000\,")&amp;TEXT(Regen!B975,"?00000000")&amp;TEXT(Regen!C975,""",""?0")&amp;SUBSTITUTE(TEXT(Regen!D975,""",""????0;"",""???-0;"",""????0;"", ////"""),"'","""")&amp;SUBSTITUTE(TEXT(Regen!E975,""",""?00;"",""?-00;"",""?00;"", //"""),"'","""")</f>
        <v>082, 19430901, 1, ////, 07</v>
      </c>
    </row>
    <row r="976" spans="1:1" x14ac:dyDescent="0.25">
      <c r="A976" s="25" t="str">
        <f ca="1">TEXT(Regen!A976,"000\,")&amp;TEXT(Regen!B976,"?00000000")&amp;TEXT(Regen!C976,""",""?0")&amp;SUBSTITUTE(TEXT(Regen!D976,""",""????0;"",""???-0;"",""????0;"", ////"""),"'","""")&amp;SUBSTITUTE(TEXT(Regen!E976,""",""?00;"",""?-00;"",""?00;"", //"""),"'","""")</f>
        <v>082, 19430902, 1, ////, 07</v>
      </c>
    </row>
    <row r="977" spans="1:1" x14ac:dyDescent="0.25">
      <c r="A977" s="25" t="str">
        <f ca="1">TEXT(Regen!A977,"000\,")&amp;TEXT(Regen!B977,"?00000000")&amp;TEXT(Regen!C977,""",""?0")&amp;SUBSTITUTE(TEXT(Regen!D977,""",""????0;"",""???-0;"",""????0;"", ////"""),"'","""")&amp;SUBSTITUTE(TEXT(Regen!E977,""",""?00;"",""?-00;"",""?00;"", //"""),"'","""")</f>
        <v>082, 19430903, 1, ////, 07</v>
      </c>
    </row>
    <row r="978" spans="1:1" x14ac:dyDescent="0.25">
      <c r="A978" s="25" t="str">
        <f ca="1">TEXT(Regen!A978,"000\,")&amp;TEXT(Regen!B978,"?00000000")&amp;TEXT(Regen!C978,""",""?0")&amp;SUBSTITUTE(TEXT(Regen!D978,""",""????0;"",""???-0;"",""????0;"", ////"""),"'","""")&amp;SUBSTITUTE(TEXT(Regen!E978,""",""?00;"",""?-00;"",""?00;"", //"""),"'","""")</f>
        <v>082, 19430904, 1, ////, 07</v>
      </c>
    </row>
    <row r="979" spans="1:1" x14ac:dyDescent="0.25">
      <c r="A979" s="25" t="str">
        <f ca="1">TEXT(Regen!A979,"000\,")&amp;TEXT(Regen!B979,"?00000000")&amp;TEXT(Regen!C979,""",""?0")&amp;SUBSTITUTE(TEXT(Regen!D979,""",""????0;"",""???-0;"",""????0;"", ////"""),"'","""")&amp;SUBSTITUTE(TEXT(Regen!E979,""",""?00;"",""?-00;"",""?00;"", //"""),"'","""")</f>
        <v>082, 19430905, 1, ////, 07</v>
      </c>
    </row>
    <row r="980" spans="1:1" x14ac:dyDescent="0.25">
      <c r="A980" s="25" t="str">
        <f ca="1">TEXT(Regen!A980,"000\,")&amp;TEXT(Regen!B980,"?00000000")&amp;TEXT(Regen!C980,""",""?0")&amp;SUBSTITUTE(TEXT(Regen!D980,""",""????0;"",""???-0;"",""????0;"", ////"""),"'","""")&amp;SUBSTITUTE(TEXT(Regen!E980,""",""?00;"",""?-00;"",""?00;"", //"""),"'","""")</f>
        <v>082, 19430906, 1, ////, 07</v>
      </c>
    </row>
    <row r="981" spans="1:1" x14ac:dyDescent="0.25">
      <c r="A981" s="25" t="str">
        <f ca="1">TEXT(Regen!A981,"000\,")&amp;TEXT(Regen!B981,"?00000000")&amp;TEXT(Regen!C981,""",""?0")&amp;SUBSTITUTE(TEXT(Regen!D981,""",""????0;"",""???-0;"",""????0;"", ////"""),"'","""")&amp;SUBSTITUTE(TEXT(Regen!E981,""",""?00;"",""?-00;"",""?00;"", //"""),"'","""")</f>
        <v>082, 19430907, 1, ////, 07</v>
      </c>
    </row>
    <row r="982" spans="1:1" x14ac:dyDescent="0.25">
      <c r="A982" s="25" t="str">
        <f ca="1">TEXT(Regen!A982,"000\,")&amp;TEXT(Regen!B982,"?00000000")&amp;TEXT(Regen!C982,""",""?0")&amp;SUBSTITUTE(TEXT(Regen!D982,""",""????0;"",""???-0;"",""????0;"", ////"""),"'","""")&amp;SUBSTITUTE(TEXT(Regen!E982,""",""?00;"",""?-00;"",""?00;"", //"""),"'","""")</f>
        <v>082, 19430908, 1, ////, 07</v>
      </c>
    </row>
    <row r="983" spans="1:1" x14ac:dyDescent="0.25">
      <c r="A983" s="25" t="str">
        <f ca="1">TEXT(Regen!A983,"000\,")&amp;TEXT(Regen!B983,"?00000000")&amp;TEXT(Regen!C983,""",""?0")&amp;SUBSTITUTE(TEXT(Regen!D983,""",""????0;"",""???-0;"",""????0;"", ////"""),"'","""")&amp;SUBSTITUTE(TEXT(Regen!E983,""",""?00;"",""?-00;"",""?00;"", //"""),"'","""")</f>
        <v>082, 19430909, 1, ////, 07</v>
      </c>
    </row>
    <row r="984" spans="1:1" x14ac:dyDescent="0.25">
      <c r="A984" s="25" t="str">
        <f ca="1">TEXT(Regen!A984,"000\,")&amp;TEXT(Regen!B984,"?00000000")&amp;TEXT(Regen!C984,""",""?0")&amp;SUBSTITUTE(TEXT(Regen!D984,""",""????0;"",""???-0;"",""????0;"", ////"""),"'","""")&amp;SUBSTITUTE(TEXT(Regen!E984,""",""?00;"",""?-00;"",""?00;"", //"""),"'","""")</f>
        <v>082, 19430910, 1, ////, 07</v>
      </c>
    </row>
    <row r="985" spans="1:1" x14ac:dyDescent="0.25">
      <c r="A985" s="25" t="str">
        <f ca="1">TEXT(Regen!A985,"000\,")&amp;TEXT(Regen!B985,"?00000000")&amp;TEXT(Regen!C985,""",""?0")&amp;SUBSTITUTE(TEXT(Regen!D985,""",""????0;"",""???-0;"",""????0;"", ////"""),"'","""")&amp;SUBSTITUTE(TEXT(Regen!E985,""",""?00;"",""?-00;"",""?00;"", //"""),"'","""")</f>
        <v>082, 19430911, 1, ////, 07</v>
      </c>
    </row>
    <row r="986" spans="1:1" x14ac:dyDescent="0.25">
      <c r="A986" s="25" t="str">
        <f ca="1">TEXT(Regen!A986,"000\,")&amp;TEXT(Regen!B986,"?00000000")&amp;TEXT(Regen!C986,""",""?0")&amp;SUBSTITUTE(TEXT(Regen!D986,""",""????0;"",""???-0;"",""????0;"", ////"""),"'","""")&amp;SUBSTITUTE(TEXT(Regen!E986,""",""?00;"",""?-00;"",""?00;"", //"""),"'","""")</f>
        <v>082, 19430912, 1, ////, 07</v>
      </c>
    </row>
    <row r="987" spans="1:1" x14ac:dyDescent="0.25">
      <c r="A987" s="25" t="str">
        <f ca="1">TEXT(Regen!A987,"000\,")&amp;TEXT(Regen!B987,"?00000000")&amp;TEXT(Regen!C987,""",""?0")&amp;SUBSTITUTE(TEXT(Regen!D987,""",""????0;"",""???-0;"",""????0;"", ////"""),"'","""")&amp;SUBSTITUTE(TEXT(Regen!E987,""",""?00;"",""?-00;"",""?00;"", //"""),"'","""")</f>
        <v>082, 19430913, 1, ////, 07</v>
      </c>
    </row>
    <row r="988" spans="1:1" x14ac:dyDescent="0.25">
      <c r="A988" s="25" t="str">
        <f ca="1">TEXT(Regen!A988,"000\,")&amp;TEXT(Regen!B988,"?00000000")&amp;TEXT(Regen!C988,""",""?0")&amp;SUBSTITUTE(TEXT(Regen!D988,""",""????0;"",""???-0;"",""????0;"", ////"""),"'","""")&amp;SUBSTITUTE(TEXT(Regen!E988,""",""?00;"",""?-00;"",""?00;"", //"""),"'","""")</f>
        <v>082, 19430914, 1, ////, 07</v>
      </c>
    </row>
    <row r="989" spans="1:1" x14ac:dyDescent="0.25">
      <c r="A989" s="25" t="str">
        <f ca="1">TEXT(Regen!A989,"000\,")&amp;TEXT(Regen!B989,"?00000000")&amp;TEXT(Regen!C989,""",""?0")&amp;SUBSTITUTE(TEXT(Regen!D989,""",""????0;"",""???-0;"",""????0;"", ////"""),"'","""")&amp;SUBSTITUTE(TEXT(Regen!E989,""",""?00;"",""?-00;"",""?00;"", //"""),"'","""")</f>
        <v>082, 19430915, 1, ////, 07</v>
      </c>
    </row>
    <row r="990" spans="1:1" x14ac:dyDescent="0.25">
      <c r="A990" s="25" t="str">
        <f ca="1">TEXT(Regen!A990,"000\,")&amp;TEXT(Regen!B990,"?00000000")&amp;TEXT(Regen!C990,""",""?0")&amp;SUBSTITUTE(TEXT(Regen!D990,""",""????0;"",""???-0;"",""????0;"", ////"""),"'","""")&amp;SUBSTITUTE(TEXT(Regen!E990,""",""?00;"",""?-00;"",""?00;"", //"""),"'","""")</f>
        <v>082, 19430916, 1, ////, 07</v>
      </c>
    </row>
    <row r="991" spans="1:1" x14ac:dyDescent="0.25">
      <c r="A991" s="25" t="str">
        <f ca="1">TEXT(Regen!A991,"000\,")&amp;TEXT(Regen!B991,"?00000000")&amp;TEXT(Regen!C991,""",""?0")&amp;SUBSTITUTE(TEXT(Regen!D991,""",""????0;"",""???-0;"",""????0;"", ////"""),"'","""")&amp;SUBSTITUTE(TEXT(Regen!E991,""",""?00;"",""?-00;"",""?00;"", //"""),"'","""")</f>
        <v>082, 19430917, 1, ////, 07</v>
      </c>
    </row>
    <row r="992" spans="1:1" x14ac:dyDescent="0.25">
      <c r="A992" s="25" t="str">
        <f ca="1">TEXT(Regen!A992,"000\,")&amp;TEXT(Regen!B992,"?00000000")&amp;TEXT(Regen!C992,""",""?0")&amp;SUBSTITUTE(TEXT(Regen!D992,""",""????0;"",""???-0;"",""????0;"", ////"""),"'","""")&amp;SUBSTITUTE(TEXT(Regen!E992,""",""?00;"",""?-00;"",""?00;"", //"""),"'","""")</f>
        <v>082, 19430918, 1, ////, 07</v>
      </c>
    </row>
    <row r="993" spans="1:1" x14ac:dyDescent="0.25">
      <c r="A993" s="25" t="str">
        <f ca="1">TEXT(Regen!A993,"000\,")&amp;TEXT(Regen!B993,"?00000000")&amp;TEXT(Regen!C993,""",""?0")&amp;SUBSTITUTE(TEXT(Regen!D993,""",""????0;"",""???-0;"",""????0;"", ////"""),"'","""")&amp;SUBSTITUTE(TEXT(Regen!E993,""",""?00;"",""?-00;"",""?00;"", //"""),"'","""")</f>
        <v>082, 19430919, 1, ////, 07</v>
      </c>
    </row>
    <row r="994" spans="1:1" x14ac:dyDescent="0.25">
      <c r="A994" s="25" t="str">
        <f ca="1">TEXT(Regen!A994,"000\,")&amp;TEXT(Regen!B994,"?00000000")&amp;TEXT(Regen!C994,""",""?0")&amp;SUBSTITUTE(TEXT(Regen!D994,""",""????0;"",""???-0;"",""????0;"", ////"""),"'","""")&amp;SUBSTITUTE(TEXT(Regen!E994,""",""?00;"",""?-00;"",""?00;"", //"""),"'","""")</f>
        <v>082, 19430920, 1, ////, 07</v>
      </c>
    </row>
    <row r="995" spans="1:1" x14ac:dyDescent="0.25">
      <c r="A995" s="25" t="str">
        <f ca="1">TEXT(Regen!A995,"000\,")&amp;TEXT(Regen!B995,"?00000000")&amp;TEXT(Regen!C995,""",""?0")&amp;SUBSTITUTE(TEXT(Regen!D995,""",""????0;"",""???-0;"",""????0;"", ////"""),"'","""")&amp;SUBSTITUTE(TEXT(Regen!E995,""",""?00;"",""?-00;"",""?00;"", //"""),"'","""")</f>
        <v>082, 19430921, 1, ////, 07</v>
      </c>
    </row>
    <row r="996" spans="1:1" x14ac:dyDescent="0.25">
      <c r="A996" s="25" t="str">
        <f ca="1">TEXT(Regen!A996,"000\,")&amp;TEXT(Regen!B996,"?00000000")&amp;TEXT(Regen!C996,""",""?0")&amp;SUBSTITUTE(TEXT(Regen!D996,""",""????0;"",""???-0;"",""????0;"", ////"""),"'","""")&amp;SUBSTITUTE(TEXT(Regen!E996,""",""?00;"",""?-00;"",""?00;"", //"""),"'","""")</f>
        <v>082, 19430922, 1, ////, 07</v>
      </c>
    </row>
    <row r="997" spans="1:1" x14ac:dyDescent="0.25">
      <c r="A997" s="25" t="str">
        <f ca="1">TEXT(Regen!A997,"000\,")&amp;TEXT(Regen!B997,"?00000000")&amp;TEXT(Regen!C997,""",""?0")&amp;SUBSTITUTE(TEXT(Regen!D997,""",""????0;"",""???-0;"",""????0;"", ////"""),"'","""")&amp;SUBSTITUTE(TEXT(Regen!E997,""",""?00;"",""?-00;"",""?00;"", //"""),"'","""")</f>
        <v>082, 19430923, 1, ////, 07</v>
      </c>
    </row>
    <row r="998" spans="1:1" x14ac:dyDescent="0.25">
      <c r="A998" s="25" t="str">
        <f ca="1">TEXT(Regen!A998,"000\,")&amp;TEXT(Regen!B998,"?00000000")&amp;TEXT(Regen!C998,""",""?0")&amp;SUBSTITUTE(TEXT(Regen!D998,""",""????0;"",""???-0;"",""????0;"", ////"""),"'","""")&amp;SUBSTITUTE(TEXT(Regen!E998,""",""?00;"",""?-00;"",""?00;"", //"""),"'","""")</f>
        <v>082, 19430924, 1, ////, 07</v>
      </c>
    </row>
    <row r="999" spans="1:1" x14ac:dyDescent="0.25">
      <c r="A999" s="25" t="str">
        <f ca="1">TEXT(Regen!A999,"000\,")&amp;TEXT(Regen!B999,"?00000000")&amp;TEXT(Regen!C999,""",""?0")&amp;SUBSTITUTE(TEXT(Regen!D999,""",""????0;"",""???-0;"",""????0;"", ////"""),"'","""")&amp;SUBSTITUTE(TEXT(Regen!E999,""",""?00;"",""?-00;"",""?00;"", //"""),"'","""")</f>
        <v>082, 19430925, 1, ////, 07</v>
      </c>
    </row>
    <row r="1000" spans="1:1" x14ac:dyDescent="0.25">
      <c r="A1000" s="25" t="str">
        <f ca="1">TEXT(Regen!A1000,"000\,")&amp;TEXT(Regen!B1000,"?00000000")&amp;TEXT(Regen!C1000,""",""?0")&amp;SUBSTITUTE(TEXT(Regen!D1000,""",""????0;"",""???-0;"",""????0;"", ////"""),"'","""")&amp;SUBSTITUTE(TEXT(Regen!E1000,""",""?00;"",""?-00;"",""?00;"", //"""),"'","""")</f>
        <v>082, 19430926, 1, ////, 07</v>
      </c>
    </row>
    <row r="1001" spans="1:1" x14ac:dyDescent="0.25">
      <c r="A1001" s="25" t="str">
        <f ca="1">TEXT(Regen!A1001,"000\,")&amp;TEXT(Regen!B1001,"?00000000")&amp;TEXT(Regen!C1001,""",""?0")&amp;SUBSTITUTE(TEXT(Regen!D1001,""",""????0;"",""???-0;"",""????0;"", ////"""),"'","""")&amp;SUBSTITUTE(TEXT(Regen!E1001,""",""?00;"",""?-00;"",""?00;"", //"""),"'","""")</f>
        <v>082, 19430927, 1, ////, 07</v>
      </c>
    </row>
    <row r="1002" spans="1:1" x14ac:dyDescent="0.25">
      <c r="A1002" s="25" t="str">
        <f ca="1">TEXT(Regen!A1002,"000\,")&amp;TEXT(Regen!B1002,"?00000000")&amp;TEXT(Regen!C1002,""",""?0")&amp;SUBSTITUTE(TEXT(Regen!D1002,""",""????0;"",""???-0;"",""????0;"", ////"""),"'","""")&amp;SUBSTITUTE(TEXT(Regen!E1002,""",""?00;"",""?-00;"",""?00;"", //"""),"'","""")</f>
        <v>082, 19430928, 1, ////, 07</v>
      </c>
    </row>
    <row r="1003" spans="1:1" x14ac:dyDescent="0.25">
      <c r="A1003" s="25" t="str">
        <f ca="1">TEXT(Regen!A1003,"000\,")&amp;TEXT(Regen!B1003,"?00000000")&amp;TEXT(Regen!C1003,""",""?0")&amp;SUBSTITUTE(TEXT(Regen!D1003,""",""????0;"",""???-0;"",""????0;"", ////"""),"'","""")&amp;SUBSTITUTE(TEXT(Regen!E1003,""",""?00;"",""?-00;"",""?00;"", //"""),"'","""")</f>
        <v>082, 19430929, 1, ////, 07</v>
      </c>
    </row>
    <row r="1004" spans="1:1" x14ac:dyDescent="0.25">
      <c r="A1004" s="25" t="str">
        <f ca="1">TEXT(Regen!A1004,"000\,")&amp;TEXT(Regen!B1004,"?00000000")&amp;TEXT(Regen!C1004,""",""?0")&amp;SUBSTITUTE(TEXT(Regen!D1004,""",""????0;"",""???-0;"",""????0;"", ////"""),"'","""")&amp;SUBSTITUTE(TEXT(Regen!E1004,""",""?00;"",""?-00;"",""?00;"", //"""),"'","""")</f>
        <v>082, 19430930, 1, ////, 07</v>
      </c>
    </row>
    <row r="1005" spans="1:1" x14ac:dyDescent="0.25">
      <c r="A1005" s="25" t="str">
        <f ca="1">TEXT(Regen!A1005,"000\,")&amp;TEXT(Regen!B1005,"?00000000")&amp;TEXT(Regen!C1005,""",""?0")&amp;SUBSTITUTE(TEXT(Regen!D1005,""",""????0;"",""???-0;"",""????0;"", ////"""),"'","""")&amp;SUBSTITUTE(TEXT(Regen!E1005,""",""?00;"",""?-00;"",""?00;"", //"""),"'","""")</f>
        <v>082, 19431001, 1, ////, 07</v>
      </c>
    </row>
    <row r="1006" spans="1:1" x14ac:dyDescent="0.25">
      <c r="A1006" s="25" t="str">
        <f ca="1">TEXT(Regen!A1006,"000\,")&amp;TEXT(Regen!B1006,"?00000000")&amp;TEXT(Regen!C1006,""",""?0")&amp;SUBSTITUTE(TEXT(Regen!D1006,""",""????0;"",""???-0;"",""????0;"", ////"""),"'","""")&amp;SUBSTITUTE(TEXT(Regen!E1006,""",""?00;"",""?-00;"",""?00;"", //"""),"'","""")</f>
        <v>082, 19431002, 1, ////, 07</v>
      </c>
    </row>
    <row r="1007" spans="1:1" x14ac:dyDescent="0.25">
      <c r="A1007" s="25" t="str">
        <f ca="1">TEXT(Regen!A1007,"000\,")&amp;TEXT(Regen!B1007,"?00000000")&amp;TEXT(Regen!C1007,""",""?0")&amp;SUBSTITUTE(TEXT(Regen!D1007,""",""????0;"",""???-0;"",""????0;"", ////"""),"'","""")&amp;SUBSTITUTE(TEXT(Regen!E1007,""",""?00;"",""?-00;"",""?00;"", //"""),"'","""")</f>
        <v>082, 19431003, 1, ////, 07</v>
      </c>
    </row>
    <row r="1008" spans="1:1" x14ac:dyDescent="0.25">
      <c r="A1008" s="25" t="str">
        <f ca="1">TEXT(Regen!A1008,"000\,")&amp;TEXT(Regen!B1008,"?00000000")&amp;TEXT(Regen!C1008,""",""?0")&amp;SUBSTITUTE(TEXT(Regen!D1008,""",""????0;"",""???-0;"",""????0;"", ////"""),"'","""")&amp;SUBSTITUTE(TEXT(Regen!E1008,""",""?00;"",""?-00;"",""?00;"", //"""),"'","""")</f>
        <v>082, 19431004, 1, ////, 07</v>
      </c>
    </row>
    <row r="1009" spans="1:1" x14ac:dyDescent="0.25">
      <c r="A1009" s="25" t="str">
        <f ca="1">TEXT(Regen!A1009,"000\,")&amp;TEXT(Regen!B1009,"?00000000")&amp;TEXT(Regen!C1009,""",""?0")&amp;SUBSTITUTE(TEXT(Regen!D1009,""",""????0;"",""???-0;"",""????0;"", ////"""),"'","""")&amp;SUBSTITUTE(TEXT(Regen!E1009,""",""?00;"",""?-00;"",""?00;"", //"""),"'","""")</f>
        <v>082, 19431005, 1, ////, 07</v>
      </c>
    </row>
    <row r="1010" spans="1:1" x14ac:dyDescent="0.25">
      <c r="A1010" s="25" t="str">
        <f ca="1">TEXT(Regen!A1010,"000\,")&amp;TEXT(Regen!B1010,"?00000000")&amp;TEXT(Regen!C1010,""",""?0")&amp;SUBSTITUTE(TEXT(Regen!D1010,""",""????0;"",""???-0;"",""????0;"", ////"""),"'","""")&amp;SUBSTITUTE(TEXT(Regen!E1010,""",""?00;"",""?-00;"",""?00;"", //"""),"'","""")</f>
        <v>082, 19431006, 1, ////, 07</v>
      </c>
    </row>
    <row r="1011" spans="1:1" x14ac:dyDescent="0.25">
      <c r="A1011" s="25" t="str">
        <f ca="1">TEXT(Regen!A1011,"000\,")&amp;TEXT(Regen!B1011,"?00000000")&amp;TEXT(Regen!C1011,""",""?0")&amp;SUBSTITUTE(TEXT(Regen!D1011,""",""????0;"",""???-0;"",""????0;"", ////"""),"'","""")&amp;SUBSTITUTE(TEXT(Regen!E1011,""",""?00;"",""?-00;"",""?00;"", //"""),"'","""")</f>
        <v>082, 19431007, 1, ////, 07</v>
      </c>
    </row>
    <row r="1012" spans="1:1" x14ac:dyDescent="0.25">
      <c r="A1012" s="25" t="str">
        <f ca="1">TEXT(Regen!A1012,"000\,")&amp;TEXT(Regen!B1012,"?00000000")&amp;TEXT(Regen!C1012,""",""?0")&amp;SUBSTITUTE(TEXT(Regen!D1012,""",""????0;"",""???-0;"",""????0;"", ////"""),"'","""")&amp;SUBSTITUTE(TEXT(Regen!E1012,""",""?00;"",""?-00;"",""?00;"", //"""),"'","""")</f>
        <v>082, 19431008, 1, ////, 07</v>
      </c>
    </row>
    <row r="1013" spans="1:1" x14ac:dyDescent="0.25">
      <c r="A1013" s="25" t="str">
        <f ca="1">TEXT(Regen!A1013,"000\,")&amp;TEXT(Regen!B1013,"?00000000")&amp;TEXT(Regen!C1013,""",""?0")&amp;SUBSTITUTE(TEXT(Regen!D1013,""",""????0;"",""???-0;"",""????0;"", ////"""),"'","""")&amp;SUBSTITUTE(TEXT(Regen!E1013,""",""?00;"",""?-00;"",""?00;"", //"""),"'","""")</f>
        <v>082, 19431009, 1, ////, 07</v>
      </c>
    </row>
    <row r="1014" spans="1:1" x14ac:dyDescent="0.25">
      <c r="A1014" s="25" t="str">
        <f ca="1">TEXT(Regen!A1014,"000\,")&amp;TEXT(Regen!B1014,"?00000000")&amp;TEXT(Regen!C1014,""",""?0")&amp;SUBSTITUTE(TEXT(Regen!D1014,""",""????0;"",""???-0;"",""????0;"", ////"""),"'","""")&amp;SUBSTITUTE(TEXT(Regen!E1014,""",""?00;"",""?-00;"",""?00;"", //"""),"'","""")</f>
        <v>082, 19431010, 1, ////, 07</v>
      </c>
    </row>
    <row r="1015" spans="1:1" x14ac:dyDescent="0.25">
      <c r="A1015" s="25" t="str">
        <f ca="1">TEXT(Regen!A1015,"000\,")&amp;TEXT(Regen!B1015,"?00000000")&amp;TEXT(Regen!C1015,""",""?0")&amp;SUBSTITUTE(TEXT(Regen!D1015,""",""????0;"",""???-0;"",""????0;"", ////"""),"'","""")&amp;SUBSTITUTE(TEXT(Regen!E1015,""",""?00;"",""?-00;"",""?00;"", //"""),"'","""")</f>
        <v>082, 19431011, 1, ////, 07</v>
      </c>
    </row>
    <row r="1016" spans="1:1" x14ac:dyDescent="0.25">
      <c r="A1016" s="25" t="str">
        <f ca="1">TEXT(Regen!A1016,"000\,")&amp;TEXT(Regen!B1016,"?00000000")&amp;TEXT(Regen!C1016,""",""?0")&amp;SUBSTITUTE(TEXT(Regen!D1016,""",""????0;"",""???-0;"",""????0;"", ////"""),"'","""")&amp;SUBSTITUTE(TEXT(Regen!E1016,""",""?00;"",""?-00;"",""?00;"", //"""),"'","""")</f>
        <v>082, 19431012, 1, ////, 07</v>
      </c>
    </row>
    <row r="1017" spans="1:1" x14ac:dyDescent="0.25">
      <c r="A1017" s="25" t="str">
        <f ca="1">TEXT(Regen!A1017,"000\,")&amp;TEXT(Regen!B1017,"?00000000")&amp;TEXT(Regen!C1017,""",""?0")&amp;SUBSTITUTE(TEXT(Regen!D1017,""",""????0;"",""???-0;"",""????0;"", ////"""),"'","""")&amp;SUBSTITUTE(TEXT(Regen!E1017,""",""?00;"",""?-00;"",""?00;"", //"""),"'","""")</f>
        <v>082, 19431013, 1, ////, 07</v>
      </c>
    </row>
    <row r="1018" spans="1:1" x14ac:dyDescent="0.25">
      <c r="A1018" s="25" t="str">
        <f ca="1">TEXT(Regen!A1018,"000\,")&amp;TEXT(Regen!B1018,"?00000000")&amp;TEXT(Regen!C1018,""",""?0")&amp;SUBSTITUTE(TEXT(Regen!D1018,""",""????0;"",""???-0;"",""????0;"", ////"""),"'","""")&amp;SUBSTITUTE(TEXT(Regen!E1018,""",""?00;"",""?-00;"",""?00;"", //"""),"'","""")</f>
        <v>082, 19431014, 1, ////, 07</v>
      </c>
    </row>
    <row r="1019" spans="1:1" x14ac:dyDescent="0.25">
      <c r="A1019" s="25" t="str">
        <f ca="1">TEXT(Regen!A1019,"000\,")&amp;TEXT(Regen!B1019,"?00000000")&amp;TEXT(Regen!C1019,""",""?0")&amp;SUBSTITUTE(TEXT(Regen!D1019,""",""????0;"",""???-0;"",""????0;"", ////"""),"'","""")&amp;SUBSTITUTE(TEXT(Regen!E1019,""",""?00;"",""?-00;"",""?00;"", //"""),"'","""")</f>
        <v>082, 19431015, 1, ////, 07</v>
      </c>
    </row>
    <row r="1020" spans="1:1" x14ac:dyDescent="0.25">
      <c r="A1020" s="25" t="str">
        <f ca="1">TEXT(Regen!A1020,"000\,")&amp;TEXT(Regen!B1020,"?00000000")&amp;TEXT(Regen!C1020,""",""?0")&amp;SUBSTITUTE(TEXT(Regen!D1020,""",""????0;"",""???-0;"",""????0;"", ////"""),"'","""")&amp;SUBSTITUTE(TEXT(Regen!E1020,""",""?00;"",""?-00;"",""?00;"", //"""),"'","""")</f>
        <v>082, 19431016, 1, ////, 07</v>
      </c>
    </row>
    <row r="1021" spans="1:1" x14ac:dyDescent="0.25">
      <c r="A1021" s="25" t="str">
        <f ca="1">TEXT(Regen!A1021,"000\,")&amp;TEXT(Regen!B1021,"?00000000")&amp;TEXT(Regen!C1021,""",""?0")&amp;SUBSTITUTE(TEXT(Regen!D1021,""",""????0;"",""???-0;"",""????0;"", ////"""),"'","""")&amp;SUBSTITUTE(TEXT(Regen!E1021,""",""?00;"",""?-00;"",""?00;"", //"""),"'","""")</f>
        <v>082, 19431017, 1, ////, 07</v>
      </c>
    </row>
    <row r="1022" spans="1:1" x14ac:dyDescent="0.25">
      <c r="A1022" s="25" t="str">
        <f ca="1">TEXT(Regen!A1022,"000\,")&amp;TEXT(Regen!B1022,"?00000000")&amp;TEXT(Regen!C1022,""",""?0")&amp;SUBSTITUTE(TEXT(Regen!D1022,""",""????0;"",""???-0;"",""????0;"", ////"""),"'","""")&amp;SUBSTITUTE(TEXT(Regen!E1022,""",""?00;"",""?-00;"",""?00;"", //"""),"'","""")</f>
        <v>082, 19431018, 1, ////, 07</v>
      </c>
    </row>
    <row r="1023" spans="1:1" x14ac:dyDescent="0.25">
      <c r="A1023" s="25" t="str">
        <f ca="1">TEXT(Regen!A1023,"000\,")&amp;TEXT(Regen!B1023,"?00000000")&amp;TEXT(Regen!C1023,""",""?0")&amp;SUBSTITUTE(TEXT(Regen!D1023,""",""????0;"",""???-0;"",""????0;"", ////"""),"'","""")&amp;SUBSTITUTE(TEXT(Regen!E1023,""",""?00;"",""?-00;"",""?00;"", //"""),"'","""")</f>
        <v>082, 19431019, 1, ////, 07</v>
      </c>
    </row>
    <row r="1024" spans="1:1" x14ac:dyDescent="0.25">
      <c r="A1024" s="25" t="str">
        <f ca="1">TEXT(Regen!A1024,"000\,")&amp;TEXT(Regen!B1024,"?00000000")&amp;TEXT(Regen!C1024,""",""?0")&amp;SUBSTITUTE(TEXT(Regen!D1024,""",""????0;"",""???-0;"",""????0;"", ////"""),"'","""")&amp;SUBSTITUTE(TEXT(Regen!E1024,""",""?00;"",""?-00;"",""?00;"", //"""),"'","""")</f>
        <v>082, 19431020, 1, ////, 07</v>
      </c>
    </row>
    <row r="1025" spans="1:1" x14ac:dyDescent="0.25">
      <c r="A1025" s="25" t="str">
        <f ca="1">TEXT(Regen!A1025,"000\,")&amp;TEXT(Regen!B1025,"?00000000")&amp;TEXT(Regen!C1025,""",""?0")&amp;SUBSTITUTE(TEXT(Regen!D1025,""",""????0;"",""???-0;"",""????0;"", ////"""),"'","""")&amp;SUBSTITUTE(TEXT(Regen!E1025,""",""?00;"",""?-00;"",""?00;"", //"""),"'","""")</f>
        <v>082, 19431021, 1, ////, 07</v>
      </c>
    </row>
    <row r="1026" spans="1:1" x14ac:dyDescent="0.25">
      <c r="A1026" s="25" t="str">
        <f ca="1">TEXT(Regen!A1026,"000\,")&amp;TEXT(Regen!B1026,"?00000000")&amp;TEXT(Regen!C1026,""",""?0")&amp;SUBSTITUTE(TEXT(Regen!D1026,""",""????0;"",""???-0;"",""????0;"", ////"""),"'","""")&amp;SUBSTITUTE(TEXT(Regen!E1026,""",""?00;"",""?-00;"",""?00;"", //"""),"'","""")</f>
        <v>082, 19431022, 1, ////, 07</v>
      </c>
    </row>
    <row r="1027" spans="1:1" x14ac:dyDescent="0.25">
      <c r="A1027" s="25" t="str">
        <f ca="1">TEXT(Regen!A1027,"000\,")&amp;TEXT(Regen!B1027,"?00000000")&amp;TEXT(Regen!C1027,""",""?0")&amp;SUBSTITUTE(TEXT(Regen!D1027,""",""????0;"",""???-0;"",""????0;"", ////"""),"'","""")&amp;SUBSTITUTE(TEXT(Regen!E1027,""",""?00;"",""?-00;"",""?00;"", //"""),"'","""")</f>
        <v>082, 19431023, 1, ////, 07</v>
      </c>
    </row>
    <row r="1028" spans="1:1" x14ac:dyDescent="0.25">
      <c r="A1028" s="25" t="str">
        <f ca="1">TEXT(Regen!A1028,"000\,")&amp;TEXT(Regen!B1028,"?00000000")&amp;TEXT(Regen!C1028,""",""?0")&amp;SUBSTITUTE(TEXT(Regen!D1028,""",""????0;"",""???-0;"",""????0;"", ////"""),"'","""")&amp;SUBSTITUTE(TEXT(Regen!E1028,""",""?00;"",""?-00;"",""?00;"", //"""),"'","""")</f>
        <v>082, 19431024, 1, ////, 07</v>
      </c>
    </row>
    <row r="1029" spans="1:1" x14ac:dyDescent="0.25">
      <c r="A1029" s="25" t="str">
        <f ca="1">TEXT(Regen!A1029,"000\,")&amp;TEXT(Regen!B1029,"?00000000")&amp;TEXT(Regen!C1029,""",""?0")&amp;SUBSTITUTE(TEXT(Regen!D1029,""",""????0;"",""???-0;"",""????0;"", ////"""),"'","""")&amp;SUBSTITUTE(TEXT(Regen!E1029,""",""?00;"",""?-00;"",""?00;"", //"""),"'","""")</f>
        <v>082, 19431025, 1, ////, 07</v>
      </c>
    </row>
    <row r="1030" spans="1:1" x14ac:dyDescent="0.25">
      <c r="A1030" s="25" t="str">
        <f ca="1">TEXT(Regen!A1030,"000\,")&amp;TEXT(Regen!B1030,"?00000000")&amp;TEXT(Regen!C1030,""",""?0")&amp;SUBSTITUTE(TEXT(Regen!D1030,""",""????0;"",""???-0;"",""????0;"", ////"""),"'","""")&amp;SUBSTITUTE(TEXT(Regen!E1030,""",""?00;"",""?-00;"",""?00;"", //"""),"'","""")</f>
        <v>082, 19431026, 1, ////, 07</v>
      </c>
    </row>
    <row r="1031" spans="1:1" x14ac:dyDescent="0.25">
      <c r="A1031" s="25" t="str">
        <f ca="1">TEXT(Regen!A1031,"000\,")&amp;TEXT(Regen!B1031,"?00000000")&amp;TEXT(Regen!C1031,""",""?0")&amp;SUBSTITUTE(TEXT(Regen!D1031,""",""????0;"",""???-0;"",""????0;"", ////"""),"'","""")&amp;SUBSTITUTE(TEXT(Regen!E1031,""",""?00;"",""?-00;"",""?00;"", //"""),"'","""")</f>
        <v>082, 19431027, 1, ////, 07</v>
      </c>
    </row>
    <row r="1032" spans="1:1" x14ac:dyDescent="0.25">
      <c r="A1032" s="25" t="str">
        <f ca="1">TEXT(Regen!A1032,"000\,")&amp;TEXT(Regen!B1032,"?00000000")&amp;TEXT(Regen!C1032,""",""?0")&amp;SUBSTITUTE(TEXT(Regen!D1032,""",""????0;"",""???-0;"",""????0;"", ////"""),"'","""")&amp;SUBSTITUTE(TEXT(Regen!E1032,""",""?00;"",""?-00;"",""?00;"", //"""),"'","""")</f>
        <v>082, 19431028, 1, ////, 07</v>
      </c>
    </row>
    <row r="1033" spans="1:1" x14ac:dyDescent="0.25">
      <c r="A1033" s="25" t="str">
        <f ca="1">TEXT(Regen!A1033,"000\,")&amp;TEXT(Regen!B1033,"?00000000")&amp;TEXT(Regen!C1033,""",""?0")&amp;SUBSTITUTE(TEXT(Regen!D1033,""",""????0;"",""???-0;"",""????0;"", ////"""),"'","""")&amp;SUBSTITUTE(TEXT(Regen!E1033,""",""?00;"",""?-00;"",""?00;"", //"""),"'","""")</f>
        <v>082, 19431029, 1, ////, 07</v>
      </c>
    </row>
    <row r="1034" spans="1:1" x14ac:dyDescent="0.25">
      <c r="A1034" s="25" t="str">
        <f ca="1">TEXT(Regen!A1034,"000\,")&amp;TEXT(Regen!B1034,"?00000000")&amp;TEXT(Regen!C1034,""",""?0")&amp;SUBSTITUTE(TEXT(Regen!D1034,""",""????0;"",""???-0;"",""????0;"", ////"""),"'","""")&amp;SUBSTITUTE(TEXT(Regen!E1034,""",""?00;"",""?-00;"",""?00;"", //"""),"'","""")</f>
        <v>082, 19431030, 1, ////, 07</v>
      </c>
    </row>
    <row r="1035" spans="1:1" x14ac:dyDescent="0.25">
      <c r="A1035" s="25" t="str">
        <f ca="1">TEXT(Regen!A1035,"000\,")&amp;TEXT(Regen!B1035,"?00000000")&amp;TEXT(Regen!C1035,""",""?0")&amp;SUBSTITUTE(TEXT(Regen!D1035,""",""????0;"",""???-0;"",""????0;"", ////"""),"'","""")&amp;SUBSTITUTE(TEXT(Regen!E1035,""",""?00;"",""?-00;"",""?00;"", //"""),"'","""")</f>
        <v>082, 19431031, 1, ////, 07</v>
      </c>
    </row>
    <row r="1036" spans="1:1" x14ac:dyDescent="0.25">
      <c r="A1036" s="25" t="str">
        <f ca="1">TEXT(Regen!A1036,"000\,")&amp;TEXT(Regen!B1036,"?00000000")&amp;TEXT(Regen!C1036,""",""?0")&amp;SUBSTITUTE(TEXT(Regen!D1036,""",""????0;"",""???-0;"",""????0;"", ////"""),"'","""")&amp;SUBSTITUTE(TEXT(Regen!E1036,""",""?00;"",""?-00;"",""?00;"", //"""),"'","""")</f>
        <v>082, 19431101, 1, ////, 07</v>
      </c>
    </row>
    <row r="1037" spans="1:1" x14ac:dyDescent="0.25">
      <c r="A1037" s="25" t="str">
        <f ca="1">TEXT(Regen!A1037,"000\,")&amp;TEXT(Regen!B1037,"?00000000")&amp;TEXT(Regen!C1037,""",""?0")&amp;SUBSTITUTE(TEXT(Regen!D1037,""",""????0;"",""???-0;"",""????0;"", ////"""),"'","""")&amp;SUBSTITUTE(TEXT(Regen!E1037,""",""?00;"",""?-00;"",""?00;"", //"""),"'","""")</f>
        <v>082, 19431102, 1, ////, 07</v>
      </c>
    </row>
    <row r="1038" spans="1:1" x14ac:dyDescent="0.25">
      <c r="A1038" s="25" t="str">
        <f ca="1">TEXT(Regen!A1038,"000\,")&amp;TEXT(Regen!B1038,"?00000000")&amp;TEXT(Regen!C1038,""",""?0")&amp;SUBSTITUTE(TEXT(Regen!D1038,""",""????0;"",""???-0;"",""????0;"", ////"""),"'","""")&amp;SUBSTITUTE(TEXT(Regen!E1038,""",""?00;"",""?-00;"",""?00;"", //"""),"'","""")</f>
        <v>082, 19431103, 1, ////, 07</v>
      </c>
    </row>
    <row r="1039" spans="1:1" x14ac:dyDescent="0.25">
      <c r="A1039" s="25" t="str">
        <f ca="1">TEXT(Regen!A1039,"000\,")&amp;TEXT(Regen!B1039,"?00000000")&amp;TEXT(Regen!C1039,""",""?0")&amp;SUBSTITUTE(TEXT(Regen!D1039,""",""????0;"",""???-0;"",""????0;"", ////"""),"'","""")&amp;SUBSTITUTE(TEXT(Regen!E1039,""",""?00;"",""?-00;"",""?00;"", //"""),"'","""")</f>
        <v>082, 19431104, 1, ////, 07</v>
      </c>
    </row>
    <row r="1040" spans="1:1" x14ac:dyDescent="0.25">
      <c r="A1040" s="25" t="str">
        <f ca="1">TEXT(Regen!A1040,"000\,")&amp;TEXT(Regen!B1040,"?00000000")&amp;TEXT(Regen!C1040,""",""?0")&amp;SUBSTITUTE(TEXT(Regen!D1040,""",""????0;"",""???-0;"",""????0;"", ////"""),"'","""")&amp;SUBSTITUTE(TEXT(Regen!E1040,""",""?00;"",""?-00;"",""?00;"", //"""),"'","""")</f>
        <v>082, 19431105, 1, ////, 07</v>
      </c>
    </row>
    <row r="1041" spans="1:1" x14ac:dyDescent="0.25">
      <c r="A1041" s="25" t="str">
        <f ca="1">TEXT(Regen!A1041,"000\,")&amp;TEXT(Regen!B1041,"?00000000")&amp;TEXT(Regen!C1041,""",""?0")&amp;SUBSTITUTE(TEXT(Regen!D1041,""",""????0;"",""???-0;"",""????0;"", ////"""),"'","""")&amp;SUBSTITUTE(TEXT(Regen!E1041,""",""?00;"",""?-00;"",""?00;"", //"""),"'","""")</f>
        <v>082, 19431106, 1, ////, 07</v>
      </c>
    </row>
    <row r="1042" spans="1:1" x14ac:dyDescent="0.25">
      <c r="A1042" s="25" t="str">
        <f ca="1">TEXT(Regen!A1042,"000\,")&amp;TEXT(Regen!B1042,"?00000000")&amp;TEXT(Regen!C1042,""",""?0")&amp;SUBSTITUTE(TEXT(Regen!D1042,""",""????0;"",""???-0;"",""????0;"", ////"""),"'","""")&amp;SUBSTITUTE(TEXT(Regen!E1042,""",""?00;"",""?-00;"",""?00;"", //"""),"'","""")</f>
        <v>082, 19431107, 1, ////, 07</v>
      </c>
    </row>
    <row r="1043" spans="1:1" x14ac:dyDescent="0.25">
      <c r="A1043" s="25" t="str">
        <f ca="1">TEXT(Regen!A1043,"000\,")&amp;TEXT(Regen!B1043,"?00000000")&amp;TEXT(Regen!C1043,""",""?0")&amp;SUBSTITUTE(TEXT(Regen!D1043,""",""????0;"",""???-0;"",""????0;"", ////"""),"'","""")&amp;SUBSTITUTE(TEXT(Regen!E1043,""",""?00;"",""?-00;"",""?00;"", //"""),"'","""")</f>
        <v>082, 19431108, 1, ////, 07</v>
      </c>
    </row>
    <row r="1044" spans="1:1" x14ac:dyDescent="0.25">
      <c r="A1044" s="25" t="str">
        <f ca="1">TEXT(Regen!A1044,"000\,")&amp;TEXT(Regen!B1044,"?00000000")&amp;TEXT(Regen!C1044,""",""?0")&amp;SUBSTITUTE(TEXT(Regen!D1044,""",""????0;"",""???-0;"",""????0;"", ////"""),"'","""")&amp;SUBSTITUTE(TEXT(Regen!E1044,""",""?00;"",""?-00;"",""?00;"", //"""),"'","""")</f>
        <v>082, 19431109, 1, ////, 07</v>
      </c>
    </row>
    <row r="1045" spans="1:1" x14ac:dyDescent="0.25">
      <c r="A1045" s="25" t="str">
        <f ca="1">TEXT(Regen!A1045,"000\,")&amp;TEXT(Regen!B1045,"?00000000")&amp;TEXT(Regen!C1045,""",""?0")&amp;SUBSTITUTE(TEXT(Regen!D1045,""",""????0;"",""???-0;"",""????0;"", ////"""),"'","""")&amp;SUBSTITUTE(TEXT(Regen!E1045,""",""?00;"",""?-00;"",""?00;"", //"""),"'","""")</f>
        <v>082, 19431110, 1, ////, 07</v>
      </c>
    </row>
    <row r="1046" spans="1:1" x14ac:dyDescent="0.25">
      <c r="A1046" s="25" t="str">
        <f ca="1">TEXT(Regen!A1046,"000\,")&amp;TEXT(Regen!B1046,"?00000000")&amp;TEXT(Regen!C1046,""",""?0")&amp;SUBSTITUTE(TEXT(Regen!D1046,""",""????0;"",""???-0;"",""????0;"", ////"""),"'","""")&amp;SUBSTITUTE(TEXT(Regen!E1046,""",""?00;"",""?-00;"",""?00;"", //"""),"'","""")</f>
        <v>082, 19431111, 1, ////, 07</v>
      </c>
    </row>
    <row r="1047" spans="1:1" x14ac:dyDescent="0.25">
      <c r="A1047" s="25" t="str">
        <f ca="1">TEXT(Regen!A1047,"000\,")&amp;TEXT(Regen!B1047,"?00000000")&amp;TEXT(Regen!C1047,""",""?0")&amp;SUBSTITUTE(TEXT(Regen!D1047,""",""????0;"",""???-0;"",""????0;"", ////"""),"'","""")&amp;SUBSTITUTE(TEXT(Regen!E1047,""",""?00;"",""?-00;"",""?00;"", //"""),"'","""")</f>
        <v>082, 19431112, 1, ////, 07</v>
      </c>
    </row>
    <row r="1048" spans="1:1" x14ac:dyDescent="0.25">
      <c r="A1048" s="25" t="str">
        <f ca="1">TEXT(Regen!A1048,"000\,")&amp;TEXT(Regen!B1048,"?00000000")&amp;TEXT(Regen!C1048,""",""?0")&amp;SUBSTITUTE(TEXT(Regen!D1048,""",""????0;"",""???-0;"",""????0;"", ////"""),"'","""")&amp;SUBSTITUTE(TEXT(Regen!E1048,""",""?00;"",""?-00;"",""?00;"", //"""),"'","""")</f>
        <v>082, 19431113, 1, ////, 07</v>
      </c>
    </row>
    <row r="1049" spans="1:1" x14ac:dyDescent="0.25">
      <c r="A1049" s="25" t="str">
        <f ca="1">TEXT(Regen!A1049,"000\,")&amp;TEXT(Regen!B1049,"?00000000")&amp;TEXT(Regen!C1049,""",""?0")&amp;SUBSTITUTE(TEXT(Regen!D1049,""",""????0;"",""???-0;"",""????0;"", ////"""),"'","""")&amp;SUBSTITUTE(TEXT(Regen!E1049,""",""?00;"",""?-00;"",""?00;"", //"""),"'","""")</f>
        <v>082, 19431114, 1, ////, 07</v>
      </c>
    </row>
    <row r="1050" spans="1:1" x14ac:dyDescent="0.25">
      <c r="A1050" s="25" t="str">
        <f ca="1">TEXT(Regen!A1050,"000\,")&amp;TEXT(Regen!B1050,"?00000000")&amp;TEXT(Regen!C1050,""",""?0")&amp;SUBSTITUTE(TEXT(Regen!D1050,""",""????0;"",""???-0;"",""????0;"", ////"""),"'","""")&amp;SUBSTITUTE(TEXT(Regen!E1050,""",""?00;"",""?-00;"",""?00;"", //"""),"'","""")</f>
        <v>082, 19431115, 1, ////, 07</v>
      </c>
    </row>
    <row r="1051" spans="1:1" x14ac:dyDescent="0.25">
      <c r="A1051" s="25" t="str">
        <f ca="1">TEXT(Regen!A1051,"000\,")&amp;TEXT(Regen!B1051,"?00000000")&amp;TEXT(Regen!C1051,""",""?0")&amp;SUBSTITUTE(TEXT(Regen!D1051,""",""????0;"",""???-0;"",""????0;"", ////"""),"'","""")&amp;SUBSTITUTE(TEXT(Regen!E1051,""",""?00;"",""?-00;"",""?00;"", //"""),"'","""")</f>
        <v>082, 19431116, 1, ////, 07</v>
      </c>
    </row>
    <row r="1052" spans="1:1" x14ac:dyDescent="0.25">
      <c r="A1052" s="25" t="str">
        <f ca="1">TEXT(Regen!A1052,"000\,")&amp;TEXT(Regen!B1052,"?00000000")&amp;TEXT(Regen!C1052,""",""?0")&amp;SUBSTITUTE(TEXT(Regen!D1052,""",""????0;"",""???-0;"",""????0;"", ////"""),"'","""")&amp;SUBSTITUTE(TEXT(Regen!E1052,""",""?00;"",""?-00;"",""?00;"", //"""),"'","""")</f>
        <v>082, 19431117, 1, ////, 07</v>
      </c>
    </row>
    <row r="1053" spans="1:1" x14ac:dyDescent="0.25">
      <c r="A1053" s="25" t="str">
        <f ca="1">TEXT(Regen!A1053,"000\,")&amp;TEXT(Regen!B1053,"?00000000")&amp;TEXT(Regen!C1053,""",""?0")&amp;SUBSTITUTE(TEXT(Regen!D1053,""",""????0;"",""???-0;"",""????0;"", ////"""),"'","""")&amp;SUBSTITUTE(TEXT(Regen!E1053,""",""?00;"",""?-00;"",""?00;"", //"""),"'","""")</f>
        <v>082, 19431118, 1, ////, 07</v>
      </c>
    </row>
    <row r="1054" spans="1:1" x14ac:dyDescent="0.25">
      <c r="A1054" s="25" t="str">
        <f ca="1">TEXT(Regen!A1054,"000\,")&amp;TEXT(Regen!B1054,"?00000000")&amp;TEXT(Regen!C1054,""",""?0")&amp;SUBSTITUTE(TEXT(Regen!D1054,""",""????0;"",""???-0;"",""????0;"", ////"""),"'","""")&amp;SUBSTITUTE(TEXT(Regen!E1054,""",""?00;"",""?-00;"",""?00;"", //"""),"'","""")</f>
        <v>082, 19431119, 1, ////, 07</v>
      </c>
    </row>
    <row r="1055" spans="1:1" x14ac:dyDescent="0.25">
      <c r="A1055" s="25" t="str">
        <f ca="1">TEXT(Regen!A1055,"000\,")&amp;TEXT(Regen!B1055,"?00000000")&amp;TEXT(Regen!C1055,""",""?0")&amp;SUBSTITUTE(TEXT(Regen!D1055,""",""????0;"",""???-0;"",""????0;"", ////"""),"'","""")&amp;SUBSTITUTE(TEXT(Regen!E1055,""",""?00;"",""?-00;"",""?00;"", //"""),"'","""")</f>
        <v>082, 19431120, 1, ////, 07</v>
      </c>
    </row>
    <row r="1056" spans="1:1" x14ac:dyDescent="0.25">
      <c r="A1056" s="25" t="str">
        <f ca="1">TEXT(Regen!A1056,"000\,")&amp;TEXT(Regen!B1056,"?00000000")&amp;TEXT(Regen!C1056,""",""?0")&amp;SUBSTITUTE(TEXT(Regen!D1056,""",""????0;"",""???-0;"",""????0;"", ////"""),"'","""")&amp;SUBSTITUTE(TEXT(Regen!E1056,""",""?00;"",""?-00;"",""?00;"", //"""),"'","""")</f>
        <v>082, 19431121, 1, ////, 07</v>
      </c>
    </row>
    <row r="1057" spans="1:1" x14ac:dyDescent="0.25">
      <c r="A1057" s="25" t="str">
        <f ca="1">TEXT(Regen!A1057,"000\,")&amp;TEXT(Regen!B1057,"?00000000")&amp;TEXT(Regen!C1057,""",""?0")&amp;SUBSTITUTE(TEXT(Regen!D1057,""",""????0;"",""???-0;"",""????0;"", ////"""),"'","""")&amp;SUBSTITUTE(TEXT(Regen!E1057,""",""?00;"",""?-00;"",""?00;"", //"""),"'","""")</f>
        <v>082, 19431122, 1, ////, 07</v>
      </c>
    </row>
    <row r="1058" spans="1:1" x14ac:dyDescent="0.25">
      <c r="A1058" s="25" t="str">
        <f ca="1">TEXT(Regen!A1058,"000\,")&amp;TEXT(Regen!B1058,"?00000000")&amp;TEXT(Regen!C1058,""",""?0")&amp;SUBSTITUTE(TEXT(Regen!D1058,""",""????0;"",""???-0;"",""????0;"", ////"""),"'","""")&amp;SUBSTITUTE(TEXT(Regen!E1058,""",""?00;"",""?-00;"",""?00;"", //"""),"'","""")</f>
        <v>082, 19431123, 1, ////, 07</v>
      </c>
    </row>
    <row r="1059" spans="1:1" x14ac:dyDescent="0.25">
      <c r="A1059" s="25" t="str">
        <f ca="1">TEXT(Regen!A1059,"000\,")&amp;TEXT(Regen!B1059,"?00000000")&amp;TEXT(Regen!C1059,""",""?0")&amp;SUBSTITUTE(TEXT(Regen!D1059,""",""????0;"",""???-0;"",""????0;"", ////"""),"'","""")&amp;SUBSTITUTE(TEXT(Regen!E1059,""",""?00;"",""?-00;"",""?00;"", //"""),"'","""")</f>
        <v>082, 19431124, 1, ////, 07</v>
      </c>
    </row>
    <row r="1060" spans="1:1" x14ac:dyDescent="0.25">
      <c r="A1060" s="25" t="str">
        <f ca="1">TEXT(Regen!A1060,"000\,")&amp;TEXT(Regen!B1060,"?00000000")&amp;TEXT(Regen!C1060,""",""?0")&amp;SUBSTITUTE(TEXT(Regen!D1060,""",""????0;"",""???-0;"",""????0;"", ////"""),"'","""")&amp;SUBSTITUTE(TEXT(Regen!E1060,""",""?00;"",""?-00;"",""?00;"", //"""),"'","""")</f>
        <v>082, 19431125, 1, ////, 07</v>
      </c>
    </row>
    <row r="1061" spans="1:1" x14ac:dyDescent="0.25">
      <c r="A1061" s="25" t="str">
        <f ca="1">TEXT(Regen!A1061,"000\,")&amp;TEXT(Regen!B1061,"?00000000")&amp;TEXT(Regen!C1061,""",""?0")&amp;SUBSTITUTE(TEXT(Regen!D1061,""",""????0;"",""???-0;"",""????0;"", ////"""),"'","""")&amp;SUBSTITUTE(TEXT(Regen!E1061,""",""?00;"",""?-00;"",""?00;"", //"""),"'","""")</f>
        <v>082, 19431126, 1, ////, 07</v>
      </c>
    </row>
    <row r="1062" spans="1:1" x14ac:dyDescent="0.25">
      <c r="A1062" s="25" t="str">
        <f ca="1">TEXT(Regen!A1062,"000\,")&amp;TEXT(Regen!B1062,"?00000000")&amp;TEXT(Regen!C1062,""",""?0")&amp;SUBSTITUTE(TEXT(Regen!D1062,""",""????0;"",""???-0;"",""????0;"", ////"""),"'","""")&amp;SUBSTITUTE(TEXT(Regen!E1062,""",""?00;"",""?-00;"",""?00;"", //"""),"'","""")</f>
        <v>082, 19431127, 1, ////, 07</v>
      </c>
    </row>
    <row r="1063" spans="1:1" x14ac:dyDescent="0.25">
      <c r="A1063" s="25" t="str">
        <f ca="1">TEXT(Regen!A1063,"000\,")&amp;TEXT(Regen!B1063,"?00000000")&amp;TEXT(Regen!C1063,""",""?0")&amp;SUBSTITUTE(TEXT(Regen!D1063,""",""????0;"",""???-0;"",""????0;"", ////"""),"'","""")&amp;SUBSTITUTE(TEXT(Regen!E1063,""",""?00;"",""?-00;"",""?00;"", //"""),"'","""")</f>
        <v>082, 19431128, 1, ////, 07</v>
      </c>
    </row>
    <row r="1064" spans="1:1" x14ac:dyDescent="0.25">
      <c r="A1064" s="25" t="str">
        <f ca="1">TEXT(Regen!A1064,"000\,")&amp;TEXT(Regen!B1064,"?00000000")&amp;TEXT(Regen!C1064,""",""?0")&amp;SUBSTITUTE(TEXT(Regen!D1064,""",""????0;"",""???-0;"",""????0;"", ////"""),"'","""")&amp;SUBSTITUTE(TEXT(Regen!E1064,""",""?00;"",""?-00;"",""?00;"", //"""),"'","""")</f>
        <v>082, 19431129, 1, ////, 07</v>
      </c>
    </row>
    <row r="1065" spans="1:1" x14ac:dyDescent="0.25">
      <c r="A1065" s="25" t="str">
        <f ca="1">TEXT(Regen!A1065,"000\,")&amp;TEXT(Regen!B1065,"?00000000")&amp;TEXT(Regen!C1065,""",""?0")&amp;SUBSTITUTE(TEXT(Regen!D1065,""",""????0;"",""???-0;"",""????0;"", ////"""),"'","""")&amp;SUBSTITUTE(TEXT(Regen!E1065,""",""?00;"",""?-00;"",""?00;"", //"""),"'","""")</f>
        <v>082, 19431130, 1, ////, 07</v>
      </c>
    </row>
    <row r="1066" spans="1:1" x14ac:dyDescent="0.25">
      <c r="A1066" s="25" t="str">
        <f ca="1">TEXT(Regen!A1066,"000\,")&amp;TEXT(Regen!B1066,"?00000000")&amp;TEXT(Regen!C1066,""",""?0")&amp;SUBSTITUTE(TEXT(Regen!D1066,""",""????0;"",""???-0;"",""????0;"", ////"""),"'","""")&amp;SUBSTITUTE(TEXT(Regen!E1066,""",""?00;"",""?-00;"",""?00;"", //"""),"'","""")</f>
        <v>082, 19431201, 1, ////, 07</v>
      </c>
    </row>
    <row r="1067" spans="1:1" x14ac:dyDescent="0.25">
      <c r="A1067" s="25" t="str">
        <f ca="1">TEXT(Regen!A1067,"000\,")&amp;TEXT(Regen!B1067,"?00000000")&amp;TEXT(Regen!C1067,""",""?0")&amp;SUBSTITUTE(TEXT(Regen!D1067,""",""????0;"",""???-0;"",""????0;"", ////"""),"'","""")&amp;SUBSTITUTE(TEXT(Regen!E1067,""",""?00;"",""?-00;"",""?00;"", //"""),"'","""")</f>
        <v>082, 19431202, 1, ////, 07</v>
      </c>
    </row>
    <row r="1068" spans="1:1" x14ac:dyDescent="0.25">
      <c r="A1068" s="25" t="str">
        <f ca="1">TEXT(Regen!A1068,"000\,")&amp;TEXT(Regen!B1068,"?00000000")&amp;TEXT(Regen!C1068,""",""?0")&amp;SUBSTITUTE(TEXT(Regen!D1068,""",""????0;"",""???-0;"",""????0;"", ////"""),"'","""")&amp;SUBSTITUTE(TEXT(Regen!E1068,""",""?00;"",""?-00;"",""?00;"", //"""),"'","""")</f>
        <v>082, 19431203, 1, ////, 07</v>
      </c>
    </row>
    <row r="1069" spans="1:1" x14ac:dyDescent="0.25">
      <c r="A1069" s="25" t="str">
        <f ca="1">TEXT(Regen!A1069,"000\,")&amp;TEXT(Regen!B1069,"?00000000")&amp;TEXT(Regen!C1069,""",""?0")&amp;SUBSTITUTE(TEXT(Regen!D1069,""",""????0;"",""???-0;"",""????0;"", ////"""),"'","""")&amp;SUBSTITUTE(TEXT(Regen!E1069,""",""?00;"",""?-00;"",""?00;"", //"""),"'","""")</f>
        <v>082, 19431204, 1, ////, 07</v>
      </c>
    </row>
    <row r="1070" spans="1:1" x14ac:dyDescent="0.25">
      <c r="A1070" s="25" t="str">
        <f ca="1">TEXT(Regen!A1070,"000\,")&amp;TEXT(Regen!B1070,"?00000000")&amp;TEXT(Regen!C1070,""",""?0")&amp;SUBSTITUTE(TEXT(Regen!D1070,""",""????0;"",""???-0;"",""????0;"", ////"""),"'","""")&amp;SUBSTITUTE(TEXT(Regen!E1070,""",""?00;"",""?-00;"",""?00;"", //"""),"'","""")</f>
        <v>082, 19431205, 1, ////, 07</v>
      </c>
    </row>
    <row r="1071" spans="1:1" x14ac:dyDescent="0.25">
      <c r="A1071" s="25" t="str">
        <f ca="1">TEXT(Regen!A1071,"000\,")&amp;TEXT(Regen!B1071,"?00000000")&amp;TEXT(Regen!C1071,""",""?0")&amp;SUBSTITUTE(TEXT(Regen!D1071,""",""????0;"",""???-0;"",""????0;"", ////"""),"'","""")&amp;SUBSTITUTE(TEXT(Regen!E1071,""",""?00;"",""?-00;"",""?00;"", //"""),"'","""")</f>
        <v>082, 19431206, 1, ////, 07</v>
      </c>
    </row>
    <row r="1072" spans="1:1" x14ac:dyDescent="0.25">
      <c r="A1072" s="25" t="str">
        <f ca="1">TEXT(Regen!A1072,"000\,")&amp;TEXT(Regen!B1072,"?00000000")&amp;TEXT(Regen!C1072,""",""?0")&amp;SUBSTITUTE(TEXT(Regen!D1072,""",""????0;"",""???-0;"",""????0;"", ////"""),"'","""")&amp;SUBSTITUTE(TEXT(Regen!E1072,""",""?00;"",""?-00;"",""?00;"", //"""),"'","""")</f>
        <v>082, 19431207, 1, ////, 07</v>
      </c>
    </row>
    <row r="1073" spans="1:1" x14ac:dyDescent="0.25">
      <c r="A1073" s="25" t="str">
        <f ca="1">TEXT(Regen!A1073,"000\,")&amp;TEXT(Regen!B1073,"?00000000")&amp;TEXT(Regen!C1073,""",""?0")&amp;SUBSTITUTE(TEXT(Regen!D1073,""",""????0;"",""???-0;"",""????0;"", ////"""),"'","""")&amp;SUBSTITUTE(TEXT(Regen!E1073,""",""?00;"",""?-00;"",""?00;"", //"""),"'","""")</f>
        <v>082, 19431208, 1, ////, 07</v>
      </c>
    </row>
    <row r="1074" spans="1:1" x14ac:dyDescent="0.25">
      <c r="A1074" s="25" t="str">
        <f ca="1">TEXT(Regen!A1074,"000\,")&amp;TEXT(Regen!B1074,"?00000000")&amp;TEXT(Regen!C1074,""",""?0")&amp;SUBSTITUTE(TEXT(Regen!D1074,""",""????0;"",""???-0;"",""????0;"", ////"""),"'","""")&amp;SUBSTITUTE(TEXT(Regen!E1074,""",""?00;"",""?-00;"",""?00;"", //"""),"'","""")</f>
        <v>082, 19431209, 1, ////, 07</v>
      </c>
    </row>
    <row r="1075" spans="1:1" x14ac:dyDescent="0.25">
      <c r="A1075" s="25" t="str">
        <f ca="1">TEXT(Regen!A1075,"000\,")&amp;TEXT(Regen!B1075,"?00000000")&amp;TEXT(Regen!C1075,""",""?0")&amp;SUBSTITUTE(TEXT(Regen!D1075,""",""????0;"",""???-0;"",""????0;"", ////"""),"'","""")&amp;SUBSTITUTE(TEXT(Regen!E1075,""",""?00;"",""?-00;"",""?00;"", //"""),"'","""")</f>
        <v>082, 19431210, 1, ////, 07</v>
      </c>
    </row>
    <row r="1076" spans="1:1" x14ac:dyDescent="0.25">
      <c r="A1076" s="25" t="str">
        <f ca="1">TEXT(Regen!A1076,"000\,")&amp;TEXT(Regen!B1076,"?00000000")&amp;TEXT(Regen!C1076,""",""?0")&amp;SUBSTITUTE(TEXT(Regen!D1076,""",""????0;"",""???-0;"",""????0;"", ////"""),"'","""")&amp;SUBSTITUTE(TEXT(Regen!E1076,""",""?00;"",""?-00;"",""?00;"", //"""),"'","""")</f>
        <v>082, 19431211, 1, ////, 07</v>
      </c>
    </row>
    <row r="1077" spans="1:1" x14ac:dyDescent="0.25">
      <c r="A1077" s="25" t="str">
        <f ca="1">TEXT(Regen!A1077,"000\,")&amp;TEXT(Regen!B1077,"?00000000")&amp;TEXT(Regen!C1077,""",""?0")&amp;SUBSTITUTE(TEXT(Regen!D1077,""",""????0;"",""???-0;"",""????0;"", ////"""),"'","""")&amp;SUBSTITUTE(TEXT(Regen!E1077,""",""?00;"",""?-00;"",""?00;"", //"""),"'","""")</f>
        <v>082, 19431212, 1, ////, 07</v>
      </c>
    </row>
    <row r="1078" spans="1:1" x14ac:dyDescent="0.25">
      <c r="A1078" s="25" t="str">
        <f ca="1">TEXT(Regen!A1078,"000\,")&amp;TEXT(Regen!B1078,"?00000000")&amp;TEXT(Regen!C1078,""",""?0")&amp;SUBSTITUTE(TEXT(Regen!D1078,""",""????0;"",""???-0;"",""????0;"", ////"""),"'","""")&amp;SUBSTITUTE(TEXT(Regen!E1078,""",""?00;"",""?-00;"",""?00;"", //"""),"'","""")</f>
        <v>082, 19431213, 1, ////, 07</v>
      </c>
    </row>
    <row r="1079" spans="1:1" x14ac:dyDescent="0.25">
      <c r="A1079" s="25" t="str">
        <f ca="1">TEXT(Regen!A1079,"000\,")&amp;TEXT(Regen!B1079,"?00000000")&amp;TEXT(Regen!C1079,""",""?0")&amp;SUBSTITUTE(TEXT(Regen!D1079,""",""????0;"",""???-0;"",""????0;"", ////"""),"'","""")&amp;SUBSTITUTE(TEXT(Regen!E1079,""",""?00;"",""?-00;"",""?00;"", //"""),"'","""")</f>
        <v>082, 19431214, 1, ////, 07</v>
      </c>
    </row>
    <row r="1080" spans="1:1" x14ac:dyDescent="0.25">
      <c r="A1080" s="25" t="str">
        <f ca="1">TEXT(Regen!A1080,"000\,")&amp;TEXT(Regen!B1080,"?00000000")&amp;TEXT(Regen!C1080,""",""?0")&amp;SUBSTITUTE(TEXT(Regen!D1080,""",""????0;"",""???-0;"",""????0;"", ////"""),"'","""")&amp;SUBSTITUTE(TEXT(Regen!E1080,""",""?00;"",""?-00;"",""?00;"", //"""),"'","""")</f>
        <v>082, 19431215, 1, ////, 07</v>
      </c>
    </row>
    <row r="1081" spans="1:1" x14ac:dyDescent="0.25">
      <c r="A1081" s="25" t="str">
        <f ca="1">TEXT(Regen!A1081,"000\,")&amp;TEXT(Regen!B1081,"?00000000")&amp;TEXT(Regen!C1081,""",""?0")&amp;SUBSTITUTE(TEXT(Regen!D1081,""",""????0;"",""???-0;"",""????0;"", ////"""),"'","""")&amp;SUBSTITUTE(TEXT(Regen!E1081,""",""?00;"",""?-00;"",""?00;"", //"""),"'","""")</f>
        <v>082, 19431216, 1, ////, 07</v>
      </c>
    </row>
    <row r="1082" spans="1:1" x14ac:dyDescent="0.25">
      <c r="A1082" s="25" t="str">
        <f ca="1">TEXT(Regen!A1082,"000\,")&amp;TEXT(Regen!B1082,"?00000000")&amp;TEXT(Regen!C1082,""",""?0")&amp;SUBSTITUTE(TEXT(Regen!D1082,""",""????0;"",""???-0;"",""????0;"", ////"""),"'","""")&amp;SUBSTITUTE(TEXT(Regen!E1082,""",""?00;"",""?-00;"",""?00;"", //"""),"'","""")</f>
        <v>082, 19431217, 1, ////, 07</v>
      </c>
    </row>
    <row r="1083" spans="1:1" x14ac:dyDescent="0.25">
      <c r="A1083" s="25" t="str">
        <f ca="1">TEXT(Regen!A1083,"000\,")&amp;TEXT(Regen!B1083,"?00000000")&amp;TEXT(Regen!C1083,""",""?0")&amp;SUBSTITUTE(TEXT(Regen!D1083,""",""????0;"",""???-0;"",""????0;"", ////"""),"'","""")&amp;SUBSTITUTE(TEXT(Regen!E1083,""",""?00;"",""?-00;"",""?00;"", //"""),"'","""")</f>
        <v>082, 19431218, 1, ////, 07</v>
      </c>
    </row>
    <row r="1084" spans="1:1" x14ac:dyDescent="0.25">
      <c r="A1084" s="25" t="str">
        <f ca="1">TEXT(Regen!A1084,"000\,")&amp;TEXT(Regen!B1084,"?00000000")&amp;TEXT(Regen!C1084,""",""?0")&amp;SUBSTITUTE(TEXT(Regen!D1084,""",""????0;"",""???-0;"",""????0;"", ////"""),"'","""")&amp;SUBSTITUTE(TEXT(Regen!E1084,""",""?00;"",""?-00;"",""?00;"", //"""),"'","""")</f>
        <v>082, 19431219, 1, ////, 07</v>
      </c>
    </row>
    <row r="1085" spans="1:1" x14ac:dyDescent="0.25">
      <c r="A1085" s="25" t="str">
        <f ca="1">TEXT(Regen!A1085,"000\,")&amp;TEXT(Regen!B1085,"?00000000")&amp;TEXT(Regen!C1085,""",""?0")&amp;SUBSTITUTE(TEXT(Regen!D1085,""",""????0;"",""???-0;"",""????0;"", ////"""),"'","""")&amp;SUBSTITUTE(TEXT(Regen!E1085,""",""?00;"",""?-00;"",""?00;"", //"""),"'","""")</f>
        <v>082, 19431220, 1, ////, 07</v>
      </c>
    </row>
    <row r="1086" spans="1:1" x14ac:dyDescent="0.25">
      <c r="A1086" s="25" t="str">
        <f ca="1">TEXT(Regen!A1086,"000\,")&amp;TEXT(Regen!B1086,"?00000000")&amp;TEXT(Regen!C1086,""",""?0")&amp;SUBSTITUTE(TEXT(Regen!D1086,""",""????0;"",""???-0;"",""????0;"", ////"""),"'","""")&amp;SUBSTITUTE(TEXT(Regen!E1086,""",""?00;"",""?-00;"",""?00;"", //"""),"'","""")</f>
        <v>082, 19431221, 1, ////, 07</v>
      </c>
    </row>
    <row r="1087" spans="1:1" x14ac:dyDescent="0.25">
      <c r="A1087" s="25" t="str">
        <f ca="1">TEXT(Regen!A1087,"000\,")&amp;TEXT(Regen!B1087,"?00000000")&amp;TEXT(Regen!C1087,""",""?0")&amp;SUBSTITUTE(TEXT(Regen!D1087,""",""????0;"",""???-0;"",""????0;"", ////"""),"'","""")&amp;SUBSTITUTE(TEXT(Regen!E1087,""",""?00;"",""?-00;"",""?00;"", //"""),"'","""")</f>
        <v>082, 19431222, 1, ////, 07</v>
      </c>
    </row>
    <row r="1088" spans="1:1" x14ac:dyDescent="0.25">
      <c r="A1088" s="25" t="str">
        <f ca="1">TEXT(Regen!A1088,"000\,")&amp;TEXT(Regen!B1088,"?00000000")&amp;TEXT(Regen!C1088,""",""?0")&amp;SUBSTITUTE(TEXT(Regen!D1088,""",""????0;"",""???-0;"",""????0;"", ////"""),"'","""")&amp;SUBSTITUTE(TEXT(Regen!E1088,""",""?00;"",""?-00;"",""?00;"", //"""),"'","""")</f>
        <v>082, 19431223, 1, ////, 07</v>
      </c>
    </row>
    <row r="1089" spans="1:1" x14ac:dyDescent="0.25">
      <c r="A1089" s="25" t="str">
        <f ca="1">TEXT(Regen!A1089,"000\,")&amp;TEXT(Regen!B1089,"?00000000")&amp;TEXT(Regen!C1089,""",""?0")&amp;SUBSTITUTE(TEXT(Regen!D1089,""",""????0;"",""???-0;"",""????0;"", ////"""),"'","""")&amp;SUBSTITUTE(TEXT(Regen!E1089,""",""?00;"",""?-00;"",""?00;"", //"""),"'","""")</f>
        <v>082, 19431224, 1, ////, 07</v>
      </c>
    </row>
    <row r="1090" spans="1:1" x14ac:dyDescent="0.25">
      <c r="A1090" s="25" t="str">
        <f ca="1">TEXT(Regen!A1090,"000\,")&amp;TEXT(Regen!B1090,"?00000000")&amp;TEXT(Regen!C1090,""",""?0")&amp;SUBSTITUTE(TEXT(Regen!D1090,""",""????0;"",""???-0;"",""????0;"", ////"""),"'","""")&amp;SUBSTITUTE(TEXT(Regen!E1090,""",""?00;"",""?-00;"",""?00;"", //"""),"'","""")</f>
        <v>082, 19431225, 1, ////, 07</v>
      </c>
    </row>
    <row r="1091" spans="1:1" x14ac:dyDescent="0.25">
      <c r="A1091" s="25" t="str">
        <f ca="1">TEXT(Regen!A1091,"000\,")&amp;TEXT(Regen!B1091,"?00000000")&amp;TEXT(Regen!C1091,""",""?0")&amp;SUBSTITUTE(TEXT(Regen!D1091,""",""????0;"",""???-0;"",""????0;"", ////"""),"'","""")&amp;SUBSTITUTE(TEXT(Regen!E1091,""",""?00;"",""?-00;"",""?00;"", //"""),"'","""")</f>
        <v>082, 19431226, 1, ////, 07</v>
      </c>
    </row>
    <row r="1092" spans="1:1" x14ac:dyDescent="0.25">
      <c r="A1092" s="25" t="str">
        <f ca="1">TEXT(Regen!A1092,"000\,")&amp;TEXT(Regen!B1092,"?00000000")&amp;TEXT(Regen!C1092,""",""?0")&amp;SUBSTITUTE(TEXT(Regen!D1092,""",""????0;"",""???-0;"",""????0;"", ////"""),"'","""")&amp;SUBSTITUTE(TEXT(Regen!E1092,""",""?00;"",""?-00;"",""?00;"", //"""),"'","""")</f>
        <v>082, 19431227, 1, ////, 07</v>
      </c>
    </row>
    <row r="1093" spans="1:1" x14ac:dyDescent="0.25">
      <c r="A1093" s="25" t="str">
        <f ca="1">TEXT(Regen!A1093,"000\,")&amp;TEXT(Regen!B1093,"?00000000")&amp;TEXT(Regen!C1093,""",""?0")&amp;SUBSTITUTE(TEXT(Regen!D1093,""",""????0;"",""???-0;"",""????0;"", ////"""),"'","""")&amp;SUBSTITUTE(TEXT(Regen!E1093,""",""?00;"",""?-00;"",""?00;"", //"""),"'","""")</f>
        <v>082, 19431228, 1, ////, 07</v>
      </c>
    </row>
    <row r="1094" spans="1:1" x14ac:dyDescent="0.25">
      <c r="A1094" s="25" t="str">
        <f ca="1">TEXT(Regen!A1094,"000\,")&amp;TEXT(Regen!B1094,"?00000000")&amp;TEXT(Regen!C1094,""",""?0")&amp;SUBSTITUTE(TEXT(Regen!D1094,""",""????0;"",""???-0;"",""????0;"", ////"""),"'","""")&amp;SUBSTITUTE(TEXT(Regen!E1094,""",""?00;"",""?-00;"",""?00;"", //"""),"'","""")</f>
        <v>082, 19431229, 1, ////, 07</v>
      </c>
    </row>
    <row r="1095" spans="1:1" x14ac:dyDescent="0.25">
      <c r="A1095" s="25" t="str">
        <f ca="1">TEXT(Regen!A1095,"000\,")&amp;TEXT(Regen!B1095,"?00000000")&amp;TEXT(Regen!C1095,""",""?0")&amp;SUBSTITUTE(TEXT(Regen!D1095,""",""????0;"",""???-0;"",""????0;"", ////"""),"'","""")&amp;SUBSTITUTE(TEXT(Regen!E1095,""",""?00;"",""?-00;"",""?00;"", //"""),"'","""")</f>
        <v>082, 19431230, 1, ////, 07</v>
      </c>
    </row>
    <row r="1096" spans="1:1" x14ac:dyDescent="0.25">
      <c r="A1096" s="25" t="str">
        <f ca="1">TEXT(Regen!A1096,"000\,")&amp;TEXT(Regen!B1096,"?00000000")&amp;TEXT(Regen!C1096,""",""?0")&amp;SUBSTITUTE(TEXT(Regen!D1096,""",""????0;"",""???-0;"",""????0;"", ////"""),"'","""")&amp;SUBSTITUTE(TEXT(Regen!E1096,""",""?00;"",""?-00;"",""?00;"", //"""),"'","""")</f>
        <v>082, 19431231, 1, ////, 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25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25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081, 19430101, 07.45, ////, 07, ////, 07</v>
      </c>
    </row>
    <row r="3" spans="1:1" x14ac:dyDescent="0.25">
      <c r="A3" s="25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081, 19430101, 13.45, ////, 07, ////, 07</v>
      </c>
    </row>
    <row r="4" spans="1:1" x14ac:dyDescent="0.25">
      <c r="A4" s="25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081, 19430101, 19.45, ////, 07, ////, 07</v>
      </c>
    </row>
    <row r="5" spans="1:1" x14ac:dyDescent="0.25">
      <c r="A5" s="25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081, 19430102, 07.45, ////, 07, ////, 07</v>
      </c>
    </row>
    <row r="6" spans="1:1" x14ac:dyDescent="0.25">
      <c r="A6" s="25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081, 19430102, 13.45, ////, 07, ////, 07</v>
      </c>
    </row>
    <row r="7" spans="1:1" x14ac:dyDescent="0.25">
      <c r="A7" s="25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081, 19430102, 19.45, ////, 07, ////, 07</v>
      </c>
    </row>
    <row r="8" spans="1:1" x14ac:dyDescent="0.25">
      <c r="A8" s="25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081, 19430103, 07.45, ////, 07, ////, 07</v>
      </c>
    </row>
    <row r="9" spans="1:1" x14ac:dyDescent="0.25">
      <c r="A9" s="25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081, 19430103, 13.45, ////, 07, ////, 07</v>
      </c>
    </row>
    <row r="10" spans="1:1" x14ac:dyDescent="0.25">
      <c r="A10" s="25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081, 19430103, 19.45, ////, 07, ////, 07</v>
      </c>
    </row>
    <row r="11" spans="1:1" x14ac:dyDescent="0.25">
      <c r="A11" s="25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081, 19430104, 07.45, ////, 07, ////, 07</v>
      </c>
    </row>
    <row r="12" spans="1:1" x14ac:dyDescent="0.25">
      <c r="A12" s="25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081, 19430104, 13.45, ////, 07, ////, 07</v>
      </c>
    </row>
    <row r="13" spans="1:1" x14ac:dyDescent="0.25">
      <c r="A13" s="25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081, 19430104, 19.45, ////, 07, ////, 07</v>
      </c>
    </row>
    <row r="14" spans="1:1" x14ac:dyDescent="0.25">
      <c r="A14" s="25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081, 19430105, 07.45, ////, 07, ////, 07</v>
      </c>
    </row>
    <row r="15" spans="1:1" x14ac:dyDescent="0.25">
      <c r="A15" s="25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081, 19430105, 13.45, ////, 07, ////, 07</v>
      </c>
    </row>
    <row r="16" spans="1:1" x14ac:dyDescent="0.25">
      <c r="A16" s="25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081, 19430105, 19.45, ////, 07, ////, 07</v>
      </c>
    </row>
    <row r="17" spans="1:1" x14ac:dyDescent="0.25">
      <c r="A17" s="25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081, 19430106, 07.45, ////, 07, ////, 07</v>
      </c>
    </row>
    <row r="18" spans="1:1" x14ac:dyDescent="0.25">
      <c r="A18" s="25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081, 19430106, 13.45, ////, 07, ////, 07</v>
      </c>
    </row>
    <row r="19" spans="1:1" x14ac:dyDescent="0.25">
      <c r="A19" s="25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081, 19430106, 19.45, ////, 07, ////, 07</v>
      </c>
    </row>
    <row r="20" spans="1:1" x14ac:dyDescent="0.25">
      <c r="A20" s="25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081, 19430107, 07.45, ////, 07, ////, 07</v>
      </c>
    </row>
    <row r="21" spans="1:1" x14ac:dyDescent="0.25">
      <c r="A21" s="25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081, 19430107, 13.45, ////, 07, ////, 07</v>
      </c>
    </row>
    <row r="22" spans="1:1" x14ac:dyDescent="0.25">
      <c r="A22" s="25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081, 19430107, 19.45, ////, 07, ////, 07</v>
      </c>
    </row>
    <row r="23" spans="1:1" x14ac:dyDescent="0.25">
      <c r="A23" s="25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081, 19430108, 07.45, ////, 07, ////, 07</v>
      </c>
    </row>
    <row r="24" spans="1:1" x14ac:dyDescent="0.25">
      <c r="A24" s="25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081, 19430108, 13.45, ////, 07, ////, 07</v>
      </c>
    </row>
    <row r="25" spans="1:1" x14ac:dyDescent="0.25">
      <c r="A25" s="25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081, 19430108, 19.45, ////, 07, ////, 07</v>
      </c>
    </row>
    <row r="26" spans="1:1" x14ac:dyDescent="0.25">
      <c r="A26" s="25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081, 19430109, 07.45, ////, 07, ////, 07</v>
      </c>
    </row>
    <row r="27" spans="1:1" x14ac:dyDescent="0.25">
      <c r="A27" s="25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081, 19430109, 13.45, ////, 07, ////, 07</v>
      </c>
    </row>
    <row r="28" spans="1:1" x14ac:dyDescent="0.25">
      <c r="A28" s="25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081, 19430109, 19.45, ////, 07, ////, 07</v>
      </c>
    </row>
    <row r="29" spans="1:1" x14ac:dyDescent="0.25">
      <c r="A29" s="25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081, 19430110, 07.45, ////, 07, ////, 07</v>
      </c>
    </row>
    <row r="30" spans="1:1" x14ac:dyDescent="0.25">
      <c r="A30" s="25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081, 19430110, 13.45, ////, 07, ////, 07</v>
      </c>
    </row>
    <row r="31" spans="1:1" x14ac:dyDescent="0.25">
      <c r="A31" s="25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081, 19430110, 19.45, ////, 07, ////, 07</v>
      </c>
    </row>
    <row r="32" spans="1:1" x14ac:dyDescent="0.25">
      <c r="A32" s="25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081, 19430111, 07.45, ////, 07, ////, 07</v>
      </c>
    </row>
    <row r="33" spans="1:1" x14ac:dyDescent="0.25">
      <c r="A33" s="25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081, 19430111, 13.45, ////, 07, ////, 07</v>
      </c>
    </row>
    <row r="34" spans="1:1" x14ac:dyDescent="0.25">
      <c r="A34" s="25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081, 19430111, 19.45, ////, 07, ////, 07</v>
      </c>
    </row>
    <row r="35" spans="1:1" x14ac:dyDescent="0.25">
      <c r="A35" s="25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081, 19430112, 07.45, ////, 07, ////, 07</v>
      </c>
    </row>
    <row r="36" spans="1:1" x14ac:dyDescent="0.25">
      <c r="A36" s="25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081, 19430112, 13.45, ////, 07, ////, 07</v>
      </c>
    </row>
    <row r="37" spans="1:1" x14ac:dyDescent="0.25">
      <c r="A37" s="25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081, 19430112, 19.45, ////, 07, ////, 07</v>
      </c>
    </row>
    <row r="38" spans="1:1" x14ac:dyDescent="0.25">
      <c r="A38" s="25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081, 19430113, 07.45, ////, 07, ////, 07</v>
      </c>
    </row>
    <row r="39" spans="1:1" x14ac:dyDescent="0.25">
      <c r="A39" s="25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081, 19430113, 13.45, ////, 07, ////, 07</v>
      </c>
    </row>
    <row r="40" spans="1:1" x14ac:dyDescent="0.25">
      <c r="A40" s="25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081, 19430113, 19.45, ////, 07, ////, 07</v>
      </c>
    </row>
    <row r="41" spans="1:1" x14ac:dyDescent="0.25">
      <c r="A41" s="25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081, 19430114, 07.45, ////, 07, ////, 07</v>
      </c>
    </row>
    <row r="42" spans="1:1" x14ac:dyDescent="0.25">
      <c r="A42" s="25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081, 19430114, 13.45, ////, 07, ////, 07</v>
      </c>
    </row>
    <row r="43" spans="1:1" x14ac:dyDescent="0.25">
      <c r="A43" s="25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081, 19430114, 19.45, ////, 07, ////, 07</v>
      </c>
    </row>
    <row r="44" spans="1:1" x14ac:dyDescent="0.25">
      <c r="A44" s="25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081, 19430115, 07.45, ////, 07, ////, 07</v>
      </c>
    </row>
    <row r="45" spans="1:1" x14ac:dyDescent="0.25">
      <c r="A45" s="25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081, 19430115, 13.45, ////, 07, ////, 07</v>
      </c>
    </row>
    <row r="46" spans="1:1" x14ac:dyDescent="0.25">
      <c r="A46" s="25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081, 19430115, 19.45, ////, 07, ////, 07</v>
      </c>
    </row>
    <row r="47" spans="1:1" x14ac:dyDescent="0.25">
      <c r="A47" s="25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081, 19430116, 07.45, ////, 07, ////, 07</v>
      </c>
    </row>
    <row r="48" spans="1:1" x14ac:dyDescent="0.25">
      <c r="A48" s="25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081, 19430116, 13.45, ////, 07, ////, 07</v>
      </c>
    </row>
    <row r="49" spans="1:1" x14ac:dyDescent="0.25">
      <c r="A49" s="25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081, 19430116, 19.45, ////, 07, ////, 07</v>
      </c>
    </row>
    <row r="50" spans="1:1" x14ac:dyDescent="0.25">
      <c r="A50" s="25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081, 19430117, 07.45, ////, 07, ////, 07</v>
      </c>
    </row>
    <row r="51" spans="1:1" x14ac:dyDescent="0.25">
      <c r="A51" s="25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081, 19430117, 13.45, ////, 07, ////, 07</v>
      </c>
    </row>
    <row r="52" spans="1:1" x14ac:dyDescent="0.25">
      <c r="A52" s="25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081, 19430117, 19.45, ////, 07, ////, 07</v>
      </c>
    </row>
    <row r="53" spans="1:1" x14ac:dyDescent="0.25">
      <c r="A53" s="25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081, 19430118, 07.45, ////, 07, ////, 07</v>
      </c>
    </row>
    <row r="54" spans="1:1" x14ac:dyDescent="0.25">
      <c r="A54" s="25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081, 19430118, 13.45, ////, 07, ////, 07</v>
      </c>
    </row>
    <row r="55" spans="1:1" x14ac:dyDescent="0.25">
      <c r="A55" s="25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081, 19430118, 19.45, ////, 07, ////, 07</v>
      </c>
    </row>
    <row r="56" spans="1:1" x14ac:dyDescent="0.25">
      <c r="A56" s="25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081, 19430119, 07.45, ////, 07, ////, 07</v>
      </c>
    </row>
    <row r="57" spans="1:1" x14ac:dyDescent="0.25">
      <c r="A57" s="25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081, 19430119, 13.45, ////, 07, ////, 07</v>
      </c>
    </row>
    <row r="58" spans="1:1" x14ac:dyDescent="0.25">
      <c r="A58" s="25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081, 19430119, 19.45, ////, 07, ////, 07</v>
      </c>
    </row>
    <row r="59" spans="1:1" x14ac:dyDescent="0.25">
      <c r="A59" s="25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081, 19430120, 07.45, ////, 07, ////, 07</v>
      </c>
    </row>
    <row r="60" spans="1:1" x14ac:dyDescent="0.25">
      <c r="A60" s="25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081, 19430120, 13.45, ////, 07, ////, 07</v>
      </c>
    </row>
    <row r="61" spans="1:1" x14ac:dyDescent="0.25">
      <c r="A61" s="25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081, 19430120, 19.45, ////, 07, ////, 07</v>
      </c>
    </row>
    <row r="62" spans="1:1" x14ac:dyDescent="0.25">
      <c r="A62" s="25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081, 19430121, 07.45, ////, 07, ////, 07</v>
      </c>
    </row>
    <row r="63" spans="1:1" x14ac:dyDescent="0.25">
      <c r="A63" s="25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081, 19430121, 13.45, ////, 07, ////, 07</v>
      </c>
    </row>
    <row r="64" spans="1:1" x14ac:dyDescent="0.25">
      <c r="A64" s="25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081, 19430121, 19.45, ////, 07, ////, 07</v>
      </c>
    </row>
    <row r="65" spans="1:1" x14ac:dyDescent="0.25">
      <c r="A65" s="25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081, 19430122, 07.45, ////, 07, ////, 07</v>
      </c>
    </row>
    <row r="66" spans="1:1" x14ac:dyDescent="0.25">
      <c r="A66" s="25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081, 19430122, 13.45, ////, 07, ////, 07</v>
      </c>
    </row>
    <row r="67" spans="1:1" x14ac:dyDescent="0.25">
      <c r="A67" s="25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081, 19430122, 19.45, ////, 07, ////, 07</v>
      </c>
    </row>
    <row r="68" spans="1:1" x14ac:dyDescent="0.25">
      <c r="A68" s="25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081, 19430123, 07.45, ////, 07, ////, 07</v>
      </c>
    </row>
    <row r="69" spans="1:1" x14ac:dyDescent="0.25">
      <c r="A69" s="25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081, 19430123, 13.45, ////, 07, ////, 07</v>
      </c>
    </row>
    <row r="70" spans="1:1" x14ac:dyDescent="0.25">
      <c r="A70" s="25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081, 19430123, 19.45, ////, 07, ////, 07</v>
      </c>
    </row>
    <row r="71" spans="1:1" x14ac:dyDescent="0.25">
      <c r="A71" s="25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081, 19430124, 07.45, ////, 07, ////, 07</v>
      </c>
    </row>
    <row r="72" spans="1:1" x14ac:dyDescent="0.25">
      <c r="A72" s="25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081, 19430124, 13.45, ////, 07, ////, 07</v>
      </c>
    </row>
    <row r="73" spans="1:1" x14ac:dyDescent="0.25">
      <c r="A73" s="25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081, 19430124, 19.45, ////, 07, ////, 07</v>
      </c>
    </row>
    <row r="74" spans="1:1" x14ac:dyDescent="0.25">
      <c r="A74" s="25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081, 19430125, 07.45, ////, 07, ////, 07</v>
      </c>
    </row>
    <row r="75" spans="1:1" x14ac:dyDescent="0.25">
      <c r="A75" s="25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081, 19430125, 13.45, ////, 07, ////, 07</v>
      </c>
    </row>
    <row r="76" spans="1:1" x14ac:dyDescent="0.25">
      <c r="A76" s="25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081, 19430125, 19.45, ////, 07, ////, 07</v>
      </c>
    </row>
    <row r="77" spans="1:1" x14ac:dyDescent="0.25">
      <c r="A77" s="25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081, 19430126, 07.45, ////, 07, ////, 07</v>
      </c>
    </row>
    <row r="78" spans="1:1" x14ac:dyDescent="0.25">
      <c r="A78" s="25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081, 19430126, 13.45, ////, 07, ////, 07</v>
      </c>
    </row>
    <row r="79" spans="1:1" x14ac:dyDescent="0.25">
      <c r="A79" s="25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081, 19430126, 19.45, ////, 07, ////, 07</v>
      </c>
    </row>
    <row r="80" spans="1:1" x14ac:dyDescent="0.25">
      <c r="A80" s="25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081, 19430127, 07.45, ////, 07, ////, 07</v>
      </c>
    </row>
    <row r="81" spans="1:1" x14ac:dyDescent="0.25">
      <c r="A81" s="25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081, 19430127, 13.45, ////, 07, ////, 07</v>
      </c>
    </row>
    <row r="82" spans="1:1" x14ac:dyDescent="0.25">
      <c r="A82" s="25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081, 19430127, 19.45, ////, 07, ////, 07</v>
      </c>
    </row>
    <row r="83" spans="1:1" x14ac:dyDescent="0.25">
      <c r="A83" s="25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081, 19430128, 07.45, ////, 07, ////, 07</v>
      </c>
    </row>
    <row r="84" spans="1:1" x14ac:dyDescent="0.25">
      <c r="A84" s="25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081, 19430128, 13.45, ////, 07, ////, 07</v>
      </c>
    </row>
    <row r="85" spans="1:1" x14ac:dyDescent="0.25">
      <c r="A85" s="25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081, 19430128, 19.45, ////, 07, ////, 07</v>
      </c>
    </row>
    <row r="86" spans="1:1" x14ac:dyDescent="0.25">
      <c r="A86" s="25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081, 19430129, 07.45, ////, 07, ////, 07</v>
      </c>
    </row>
    <row r="87" spans="1:1" x14ac:dyDescent="0.25">
      <c r="A87" s="25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081, 19430129, 13.45, ////, 07, ////, 07</v>
      </c>
    </row>
    <row r="88" spans="1:1" x14ac:dyDescent="0.25">
      <c r="A88" s="25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081, 19430129, 19.45, ////, 07, ////, 07</v>
      </c>
    </row>
    <row r="89" spans="1:1" x14ac:dyDescent="0.25">
      <c r="A89" s="25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081, 19430130, 07.45, ////, 07, ////, 07</v>
      </c>
    </row>
    <row r="90" spans="1:1" x14ac:dyDescent="0.25">
      <c r="A90" s="25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081, 19430130, 13.45, ////, 07, ////, 07</v>
      </c>
    </row>
    <row r="91" spans="1:1" x14ac:dyDescent="0.25">
      <c r="A91" s="25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081, 19430130, 19.45, ////, 07, ////, 07</v>
      </c>
    </row>
    <row r="92" spans="1:1" x14ac:dyDescent="0.25">
      <c r="A92" s="25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081, 19430131, 07.45, ////, 07, ////, 07</v>
      </c>
    </row>
    <row r="93" spans="1:1" x14ac:dyDescent="0.25">
      <c r="A93" s="25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081, 19430131, 13.45, ////, 07, ////, 07</v>
      </c>
    </row>
    <row r="94" spans="1:1" x14ac:dyDescent="0.25">
      <c r="A94" s="25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081, 19430131, 19.45, ////, 07, ////, 07</v>
      </c>
    </row>
    <row r="95" spans="1:1" x14ac:dyDescent="0.25">
      <c r="A95" s="25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081, 19430201, 07.45, ////, 07, ////, 07</v>
      </c>
    </row>
    <row r="96" spans="1:1" x14ac:dyDescent="0.25">
      <c r="A96" s="25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081, 19430201, 13.45, ////, 07, ////, 07</v>
      </c>
    </row>
    <row r="97" spans="1:1" x14ac:dyDescent="0.25">
      <c r="A97" s="25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081, 19430201, 19.45, ////, 07, ////, 07</v>
      </c>
    </row>
    <row r="98" spans="1:1" x14ac:dyDescent="0.25">
      <c r="A98" s="25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081, 19430202, 07.45, ////, 07, ////, 07</v>
      </c>
    </row>
    <row r="99" spans="1:1" x14ac:dyDescent="0.25">
      <c r="A99" s="25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081, 19430202, 13.45, ////, 07, ////, 07</v>
      </c>
    </row>
    <row r="100" spans="1:1" x14ac:dyDescent="0.25">
      <c r="A100" s="25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081, 19430202, 19.45, ////, 07, ////, 07</v>
      </c>
    </row>
    <row r="101" spans="1:1" x14ac:dyDescent="0.25">
      <c r="A101" s="25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081, 19430203, 07.45, ////, 07, ////, 07</v>
      </c>
    </row>
    <row r="102" spans="1:1" x14ac:dyDescent="0.25">
      <c r="A102" s="25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081, 19430203, 13.45, ////, 07, ////, 07</v>
      </c>
    </row>
    <row r="103" spans="1:1" x14ac:dyDescent="0.25">
      <c r="A103" s="25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081, 19430203, 19.45, ////, 07, ////, 07</v>
      </c>
    </row>
    <row r="104" spans="1:1" x14ac:dyDescent="0.25">
      <c r="A104" s="25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081, 19430204, 07.45, ////, 07, ////, 07</v>
      </c>
    </row>
    <row r="105" spans="1:1" x14ac:dyDescent="0.25">
      <c r="A105" s="25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081, 19430204, 13.45, ////, 07, ////, 07</v>
      </c>
    </row>
    <row r="106" spans="1:1" x14ac:dyDescent="0.25">
      <c r="A106" s="25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081, 19430204, 19.45, ////, 07, ////, 07</v>
      </c>
    </row>
    <row r="107" spans="1:1" x14ac:dyDescent="0.25">
      <c r="A107" s="25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081, 19430205, 07.45, ////, 07, ////, 07</v>
      </c>
    </row>
    <row r="108" spans="1:1" x14ac:dyDescent="0.25">
      <c r="A108" s="25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081, 19430205, 13.45, ////, 07, ////, 07</v>
      </c>
    </row>
    <row r="109" spans="1:1" x14ac:dyDescent="0.25">
      <c r="A109" s="25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081, 19430205, 19.45, ////, 07, ////, 07</v>
      </c>
    </row>
    <row r="110" spans="1:1" x14ac:dyDescent="0.25">
      <c r="A110" s="25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081, 19430206, 07.45, ////, 07, ////, 07</v>
      </c>
    </row>
    <row r="111" spans="1:1" x14ac:dyDescent="0.25">
      <c r="A111" s="25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081, 19430206, 13.45, ////, 07, ////, 07</v>
      </c>
    </row>
    <row r="112" spans="1:1" x14ac:dyDescent="0.25">
      <c r="A112" s="25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081, 19430206, 19.45, ////, 07, ////, 07</v>
      </c>
    </row>
    <row r="113" spans="1:1" x14ac:dyDescent="0.25">
      <c r="A113" s="25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081, 19430207, 07.45, ////, 07, ////, 07</v>
      </c>
    </row>
    <row r="114" spans="1:1" x14ac:dyDescent="0.25">
      <c r="A114" s="25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081, 19430207, 13.45, ////, 07, ////, 07</v>
      </c>
    </row>
    <row r="115" spans="1:1" x14ac:dyDescent="0.25">
      <c r="A115" s="25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081, 19430207, 19.45, ////, 07, ////, 07</v>
      </c>
    </row>
    <row r="116" spans="1:1" x14ac:dyDescent="0.25">
      <c r="A116" s="25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081, 19430208, 07.45, ////, 07, ////, 07</v>
      </c>
    </row>
    <row r="117" spans="1:1" x14ac:dyDescent="0.25">
      <c r="A117" s="25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081, 19430208, 13.45, ////, 07, ////, 07</v>
      </c>
    </row>
    <row r="118" spans="1:1" x14ac:dyDescent="0.25">
      <c r="A118" s="25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081, 19430208, 19.45, ////, 07, ////, 07</v>
      </c>
    </row>
    <row r="119" spans="1:1" x14ac:dyDescent="0.25">
      <c r="A119" s="25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081, 19430209, 07.45, ////, 07, ////, 07</v>
      </c>
    </row>
    <row r="120" spans="1:1" x14ac:dyDescent="0.25">
      <c r="A120" s="25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081, 19430209, 13.45, ////, 07, ////, 07</v>
      </c>
    </row>
    <row r="121" spans="1:1" x14ac:dyDescent="0.25">
      <c r="A121" s="25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081, 19430209, 19.45, ////, 07, ////, 07</v>
      </c>
    </row>
    <row r="122" spans="1:1" x14ac:dyDescent="0.25">
      <c r="A122" s="25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081, 19430210, 07.45, ////, 07, ////, 07</v>
      </c>
    </row>
    <row r="123" spans="1:1" x14ac:dyDescent="0.25">
      <c r="A123" s="25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081, 19430210, 13.45, ////, 07, ////, 07</v>
      </c>
    </row>
    <row r="124" spans="1:1" x14ac:dyDescent="0.25">
      <c r="A124" s="25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081, 19430210, 19.45, ////, 07, ////, 07</v>
      </c>
    </row>
    <row r="125" spans="1:1" x14ac:dyDescent="0.25">
      <c r="A125" s="25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081, 19430211, 07.45, ////, 07, ////, 07</v>
      </c>
    </row>
    <row r="126" spans="1:1" x14ac:dyDescent="0.25">
      <c r="A126" s="25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081, 19430211, 13.45, ////, 07, ////, 07</v>
      </c>
    </row>
    <row r="127" spans="1:1" x14ac:dyDescent="0.25">
      <c r="A127" s="25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081, 19430211, 19.45, ////, 07, ////, 07</v>
      </c>
    </row>
    <row r="128" spans="1:1" x14ac:dyDescent="0.25">
      <c r="A128" s="25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081, 19430212, 07.45, ////, 07, ////, 07</v>
      </c>
    </row>
    <row r="129" spans="1:1" x14ac:dyDescent="0.25">
      <c r="A129" s="25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081, 19430212, 13.45, ////, 07, ////, 07</v>
      </c>
    </row>
    <row r="130" spans="1:1" x14ac:dyDescent="0.25">
      <c r="A130" s="25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081, 19430212, 19.45, ////, 07, ////, 07</v>
      </c>
    </row>
    <row r="131" spans="1:1" x14ac:dyDescent="0.25">
      <c r="A131" s="25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081, 19430213, 07.45, ////, 07, ////, 07</v>
      </c>
    </row>
    <row r="132" spans="1:1" x14ac:dyDescent="0.25">
      <c r="A132" s="25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081, 19430213, 13.45, ////, 07, ////, 07</v>
      </c>
    </row>
    <row r="133" spans="1:1" x14ac:dyDescent="0.25">
      <c r="A133" s="25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081, 19430213, 19.45, ////, 07, ////, 07</v>
      </c>
    </row>
    <row r="134" spans="1:1" x14ac:dyDescent="0.25">
      <c r="A134" s="25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081, 19430214, 07.45, ////, 07, ////, 07</v>
      </c>
    </row>
    <row r="135" spans="1:1" x14ac:dyDescent="0.25">
      <c r="A135" s="25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081, 19430214, 13.45, ////, 07, ////, 07</v>
      </c>
    </row>
    <row r="136" spans="1:1" x14ac:dyDescent="0.25">
      <c r="A136" s="25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081, 19430214, 19.45, ////, 07, ////, 07</v>
      </c>
    </row>
    <row r="137" spans="1:1" x14ac:dyDescent="0.25">
      <c r="A137" s="25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081, 19430215, 07.45, ////, 07, ////, 07</v>
      </c>
    </row>
    <row r="138" spans="1:1" x14ac:dyDescent="0.25">
      <c r="A138" s="25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081, 19430215, 13.45, ////, 07, ////, 07</v>
      </c>
    </row>
    <row r="139" spans="1:1" x14ac:dyDescent="0.25">
      <c r="A139" s="25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081, 19430215, 19.45, ////, 07, ////, 07</v>
      </c>
    </row>
    <row r="140" spans="1:1" x14ac:dyDescent="0.25">
      <c r="A140" s="25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081, 19430216, 07.45, ////, 07, ////, 07</v>
      </c>
    </row>
    <row r="141" spans="1:1" x14ac:dyDescent="0.25">
      <c r="A141" s="25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081, 19430216, 13.45, ////, 07, ////, 07</v>
      </c>
    </row>
    <row r="142" spans="1:1" x14ac:dyDescent="0.25">
      <c r="A142" s="25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081, 19430216, 19.45, ////, 07, ////, 07</v>
      </c>
    </row>
    <row r="143" spans="1:1" x14ac:dyDescent="0.25">
      <c r="A143" s="25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081, 19430217, 07.45, ////, 07, ////, 07</v>
      </c>
    </row>
    <row r="144" spans="1:1" x14ac:dyDescent="0.25">
      <c r="A144" s="25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081, 19430217, 13.45, ////, 07, ////, 07</v>
      </c>
    </row>
    <row r="145" spans="1:1" x14ac:dyDescent="0.25">
      <c r="A145" s="25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081, 19430217, 19.45, ////, 07, ////, 07</v>
      </c>
    </row>
    <row r="146" spans="1:1" x14ac:dyDescent="0.25">
      <c r="A146" s="25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081, 19430218, 07.45, ////, 07, ////, 07</v>
      </c>
    </row>
    <row r="147" spans="1:1" x14ac:dyDescent="0.25">
      <c r="A147" s="25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081, 19430218, 13.45, ////, 07, ////, 07</v>
      </c>
    </row>
    <row r="148" spans="1:1" x14ac:dyDescent="0.25">
      <c r="A148" s="25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081, 19430218, 19.45, ////, 07, ////, 07</v>
      </c>
    </row>
    <row r="149" spans="1:1" x14ac:dyDescent="0.25">
      <c r="A149" s="25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081, 19430219, 07.45, ////, 07, ////, 07</v>
      </c>
    </row>
    <row r="150" spans="1:1" x14ac:dyDescent="0.25">
      <c r="A150" s="25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081, 19430219, 13.45, ////, 07, ////, 07</v>
      </c>
    </row>
    <row r="151" spans="1:1" x14ac:dyDescent="0.25">
      <c r="A151" s="25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081, 19430219, 19.45, ////, 07, ////, 07</v>
      </c>
    </row>
    <row r="152" spans="1:1" x14ac:dyDescent="0.25">
      <c r="A152" s="25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081, 19430220, 07.45, ////, 07, ////, 07</v>
      </c>
    </row>
    <row r="153" spans="1:1" x14ac:dyDescent="0.25">
      <c r="A153" s="25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081, 19430220, 13.45, ////, 07, ////, 07</v>
      </c>
    </row>
    <row r="154" spans="1:1" x14ac:dyDescent="0.25">
      <c r="A154" s="25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081, 19430220, 19.45, ////, 07, ////, 07</v>
      </c>
    </row>
    <row r="155" spans="1:1" x14ac:dyDescent="0.25">
      <c r="A155" s="25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081, 19430221, 07.45, ////, 07, ////, 07</v>
      </c>
    </row>
    <row r="156" spans="1:1" x14ac:dyDescent="0.25">
      <c r="A156" s="25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081, 19430221, 13.45, ////, 07, ////, 07</v>
      </c>
    </row>
    <row r="157" spans="1:1" x14ac:dyDescent="0.25">
      <c r="A157" s="25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081, 19430221, 19.45, ////, 07, ////, 07</v>
      </c>
    </row>
    <row r="158" spans="1:1" x14ac:dyDescent="0.25">
      <c r="A158" s="25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081, 19430222, 07.45, ////, 07, ////, 07</v>
      </c>
    </row>
    <row r="159" spans="1:1" x14ac:dyDescent="0.25">
      <c r="A159" s="25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081, 19430222, 13.45, ////, 07, ////, 07</v>
      </c>
    </row>
    <row r="160" spans="1:1" x14ac:dyDescent="0.25">
      <c r="A160" s="25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081, 19430222, 19.45, ////, 07, ////, 07</v>
      </c>
    </row>
    <row r="161" spans="1:1" x14ac:dyDescent="0.25">
      <c r="A161" s="25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081, 19430223, 07.45, ////, 07, ////, 07</v>
      </c>
    </row>
    <row r="162" spans="1:1" x14ac:dyDescent="0.25">
      <c r="A162" s="25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081, 19430223, 13.45, ////, 07, ////, 07</v>
      </c>
    </row>
    <row r="163" spans="1:1" x14ac:dyDescent="0.25">
      <c r="A163" s="25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081, 19430223, 19.45, ////, 07, ////, 07</v>
      </c>
    </row>
    <row r="164" spans="1:1" x14ac:dyDescent="0.25">
      <c r="A164" s="25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081, 19430224, 07.45, ////, 07, ////, 07</v>
      </c>
    </row>
    <row r="165" spans="1:1" x14ac:dyDescent="0.25">
      <c r="A165" s="25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081, 19430224, 13.45, ////, 07, ////, 07</v>
      </c>
    </row>
    <row r="166" spans="1:1" x14ac:dyDescent="0.25">
      <c r="A166" s="25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081, 19430224, 19.45, ////, 07, ////, 07</v>
      </c>
    </row>
    <row r="167" spans="1:1" x14ac:dyDescent="0.25">
      <c r="A167" s="25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081, 19430225, 07.45, ////, 07, ////, 07</v>
      </c>
    </row>
    <row r="168" spans="1:1" x14ac:dyDescent="0.25">
      <c r="A168" s="25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081, 19430225, 13.45, ////, 07, ////, 07</v>
      </c>
    </row>
    <row r="169" spans="1:1" x14ac:dyDescent="0.25">
      <c r="A169" s="25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081, 19430225, 19.45, ////, 07, ////, 07</v>
      </c>
    </row>
    <row r="170" spans="1:1" x14ac:dyDescent="0.25">
      <c r="A170" s="25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081, 19430226, 07.45, ////, 07, ////, 07</v>
      </c>
    </row>
    <row r="171" spans="1:1" x14ac:dyDescent="0.25">
      <c r="A171" s="25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081, 19430226, 13.45, ////, 07, ////, 07</v>
      </c>
    </row>
    <row r="172" spans="1:1" x14ac:dyDescent="0.25">
      <c r="A172" s="25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081, 19430226, 19.45, ////, 07, ////, 07</v>
      </c>
    </row>
    <row r="173" spans="1:1" x14ac:dyDescent="0.25">
      <c r="A173" s="25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081, 19430227, 07.45, ////, 07, ////, 07</v>
      </c>
    </row>
    <row r="174" spans="1:1" x14ac:dyDescent="0.25">
      <c r="A174" s="25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081, 19430227, 13.45, ////, 07, ////, 07</v>
      </c>
    </row>
    <row r="175" spans="1:1" x14ac:dyDescent="0.25">
      <c r="A175" s="25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081, 19430227, 19.45, ////, 07, ////, 07</v>
      </c>
    </row>
    <row r="176" spans="1:1" x14ac:dyDescent="0.25">
      <c r="A176" s="25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081, 19430228, 07.45, ////, 07, ////, 07</v>
      </c>
    </row>
    <row r="177" spans="1:1" x14ac:dyDescent="0.25">
      <c r="A177" s="25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081, 19430228, 13.45, ////, 07, ////, 07</v>
      </c>
    </row>
    <row r="178" spans="1:1" x14ac:dyDescent="0.25">
      <c r="A178" s="25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081, 19430228, 19.45, ////, 07, ////, 07</v>
      </c>
    </row>
    <row r="179" spans="1:1" x14ac:dyDescent="0.25">
      <c r="A179" s="25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081, 19430301, 07.45, ////, 07, ////, 07</v>
      </c>
    </row>
    <row r="180" spans="1:1" x14ac:dyDescent="0.25">
      <c r="A180" s="25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081, 19430301, 13.45, ////, 07, ////, 07</v>
      </c>
    </row>
    <row r="181" spans="1:1" x14ac:dyDescent="0.25">
      <c r="A181" s="25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081, 19430301, 19.45, ////, 07, ////, 07</v>
      </c>
    </row>
    <row r="182" spans="1:1" x14ac:dyDescent="0.25">
      <c r="A182" s="25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081, 19430302, 07.45, ////, 07, ////, 07</v>
      </c>
    </row>
    <row r="183" spans="1:1" x14ac:dyDescent="0.25">
      <c r="A183" s="25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081, 19430302, 13.45, ////, 07, ////, 07</v>
      </c>
    </row>
    <row r="184" spans="1:1" x14ac:dyDescent="0.25">
      <c r="A184" s="25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081, 19430302, 19.45, ////, 07, ////, 07</v>
      </c>
    </row>
    <row r="185" spans="1:1" x14ac:dyDescent="0.25">
      <c r="A185" s="25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081, 19430303, 07.45, ////, 07, ////, 07</v>
      </c>
    </row>
    <row r="186" spans="1:1" x14ac:dyDescent="0.25">
      <c r="A186" s="25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081, 19430303, 13.45, ////, 07, ////, 07</v>
      </c>
    </row>
    <row r="187" spans="1:1" x14ac:dyDescent="0.25">
      <c r="A187" s="25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081, 19430303, 19.45, ////, 07, ////, 07</v>
      </c>
    </row>
    <row r="188" spans="1:1" x14ac:dyDescent="0.25">
      <c r="A188" s="25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081, 19430304, 07.45, ////, 07, ////, 07</v>
      </c>
    </row>
    <row r="189" spans="1:1" x14ac:dyDescent="0.25">
      <c r="A189" s="25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081, 19430304, 13.45, ////, 07, ////, 07</v>
      </c>
    </row>
    <row r="190" spans="1:1" x14ac:dyDescent="0.25">
      <c r="A190" s="25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081, 19430304, 19.45, ////, 07, ////, 07</v>
      </c>
    </row>
    <row r="191" spans="1:1" x14ac:dyDescent="0.25">
      <c r="A191" s="25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081, 19430305, 07.45, ////, 07, ////, 07</v>
      </c>
    </row>
    <row r="192" spans="1:1" x14ac:dyDescent="0.25">
      <c r="A192" s="25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081, 19430305, 13.45, ////, 07, ////, 07</v>
      </c>
    </row>
    <row r="193" spans="1:1" x14ac:dyDescent="0.25">
      <c r="A193" s="25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081, 19430305, 19.45, ////, 07, ////, 07</v>
      </c>
    </row>
    <row r="194" spans="1:1" x14ac:dyDescent="0.25">
      <c r="A194" s="25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081, 19430306, 07.45, ////, 07, ////, 07</v>
      </c>
    </row>
    <row r="195" spans="1:1" x14ac:dyDescent="0.25">
      <c r="A195" s="25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081, 19430306, 13.45, ////, 07, ////, 07</v>
      </c>
    </row>
    <row r="196" spans="1:1" x14ac:dyDescent="0.25">
      <c r="A196" s="25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081, 19430306, 19.45, ////, 07, ////, 07</v>
      </c>
    </row>
    <row r="197" spans="1:1" x14ac:dyDescent="0.25">
      <c r="A197" s="25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081, 19430307, 07.45, ////, 07, ////, 07</v>
      </c>
    </row>
    <row r="198" spans="1:1" x14ac:dyDescent="0.25">
      <c r="A198" s="25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081, 19430307, 13.45, ////, 07, ////, 07</v>
      </c>
    </row>
    <row r="199" spans="1:1" x14ac:dyDescent="0.25">
      <c r="A199" s="25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081, 19430307, 19.45, ////, 07, ////, 07</v>
      </c>
    </row>
    <row r="200" spans="1:1" x14ac:dyDescent="0.25">
      <c r="A200" s="25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081, 19430308, 07.45, ////, 07, ////, 07</v>
      </c>
    </row>
    <row r="201" spans="1:1" x14ac:dyDescent="0.25">
      <c r="A201" s="25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081, 19430308, 13.45, ////, 07, ////, 07</v>
      </c>
    </row>
    <row r="202" spans="1:1" x14ac:dyDescent="0.25">
      <c r="A202" s="25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081, 19430308, 19.45, ////, 07, ////, 07</v>
      </c>
    </row>
    <row r="203" spans="1:1" x14ac:dyDescent="0.25">
      <c r="A203" s="25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081, 19430309, 07.45, ////, 07, ////, 07</v>
      </c>
    </row>
    <row r="204" spans="1:1" x14ac:dyDescent="0.25">
      <c r="A204" s="25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081, 19430309, 13.45, ////, 07, ////, 07</v>
      </c>
    </row>
    <row r="205" spans="1:1" x14ac:dyDescent="0.25">
      <c r="A205" s="25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081, 19430309, 19.45, ////, 07, ////, 07</v>
      </c>
    </row>
    <row r="206" spans="1:1" x14ac:dyDescent="0.25">
      <c r="A206" s="25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081, 19430310, 07.45, ////, 07, ////, 07</v>
      </c>
    </row>
    <row r="207" spans="1:1" x14ac:dyDescent="0.25">
      <c r="A207" s="25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081, 19430310, 13.45, ////, 07, ////, 07</v>
      </c>
    </row>
    <row r="208" spans="1:1" x14ac:dyDescent="0.25">
      <c r="A208" s="25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081, 19430310, 19.45, ////, 07, ////, 07</v>
      </c>
    </row>
    <row r="209" spans="1:1" x14ac:dyDescent="0.25">
      <c r="A209" s="25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081, 19430311, 07.45, ////, 07, ////, 07</v>
      </c>
    </row>
    <row r="210" spans="1:1" x14ac:dyDescent="0.25">
      <c r="A210" s="25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081, 19430311, 13.45, ////, 07, ////, 07</v>
      </c>
    </row>
    <row r="211" spans="1:1" x14ac:dyDescent="0.25">
      <c r="A211" s="25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081, 19430311, 19.45, ////, 07, ////, 07</v>
      </c>
    </row>
    <row r="212" spans="1:1" x14ac:dyDescent="0.25">
      <c r="A212" s="25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081, 19430312, 07.45, ////, 07, ////, 07</v>
      </c>
    </row>
    <row r="213" spans="1:1" x14ac:dyDescent="0.25">
      <c r="A213" s="25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081, 19430312, 13.45, ////, 07, ////, 07</v>
      </c>
    </row>
    <row r="214" spans="1:1" x14ac:dyDescent="0.25">
      <c r="A214" s="25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081, 19430312, 19.45, ////, 07, ////, 07</v>
      </c>
    </row>
    <row r="215" spans="1:1" x14ac:dyDescent="0.25">
      <c r="A215" s="25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081, 19430313, 07.45, ////, 07, ////, 07</v>
      </c>
    </row>
    <row r="216" spans="1:1" x14ac:dyDescent="0.25">
      <c r="A216" s="25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081, 19430313, 13.45, ////, 07, ////, 07</v>
      </c>
    </row>
    <row r="217" spans="1:1" x14ac:dyDescent="0.25">
      <c r="A217" s="25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081, 19430313, 19.45, ////, 07, ////, 07</v>
      </c>
    </row>
    <row r="218" spans="1:1" x14ac:dyDescent="0.25">
      <c r="A218" s="25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081, 19430314, 07.45, ////, 07, ////, 07</v>
      </c>
    </row>
    <row r="219" spans="1:1" x14ac:dyDescent="0.25">
      <c r="A219" s="25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081, 19430314, 13.45, ////, 07, ////, 07</v>
      </c>
    </row>
    <row r="220" spans="1:1" x14ac:dyDescent="0.25">
      <c r="A220" s="25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081, 19430314, 19.45, ////, 07, ////, 07</v>
      </c>
    </row>
    <row r="221" spans="1:1" x14ac:dyDescent="0.25">
      <c r="A221" s="25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081, 19430315, 07.45, ////, 07, ////, 07</v>
      </c>
    </row>
    <row r="222" spans="1:1" x14ac:dyDescent="0.25">
      <c r="A222" s="25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081, 19430315, 13.45, ////, 07, ////, 07</v>
      </c>
    </row>
    <row r="223" spans="1:1" x14ac:dyDescent="0.25">
      <c r="A223" s="25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081, 19430315, 19.45, ////, 07, ////, 07</v>
      </c>
    </row>
    <row r="224" spans="1:1" x14ac:dyDescent="0.25">
      <c r="A224" s="25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081, 19430316, 07.45, ////, 07, ////, 07</v>
      </c>
    </row>
    <row r="225" spans="1:1" x14ac:dyDescent="0.25">
      <c r="A225" s="25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081, 19430316, 13.45, ////, 07, ////, 07</v>
      </c>
    </row>
    <row r="226" spans="1:1" x14ac:dyDescent="0.25">
      <c r="A226" s="25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081, 19430316, 19.45, ////, 07, ////, 07</v>
      </c>
    </row>
    <row r="227" spans="1:1" x14ac:dyDescent="0.25">
      <c r="A227" s="25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081, 19430317, 07.45, ////, 07, ////, 07</v>
      </c>
    </row>
    <row r="228" spans="1:1" x14ac:dyDescent="0.25">
      <c r="A228" s="25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081, 19430317, 13.45, ////, 07, ////, 07</v>
      </c>
    </row>
    <row r="229" spans="1:1" x14ac:dyDescent="0.25">
      <c r="A229" s="25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081, 19430317, 19.45, ////, 07, ////, 07</v>
      </c>
    </row>
    <row r="230" spans="1:1" x14ac:dyDescent="0.25">
      <c r="A230" s="25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081, 19430318, 07.45, ////, 07, ////, 07</v>
      </c>
    </row>
    <row r="231" spans="1:1" x14ac:dyDescent="0.25">
      <c r="A231" s="25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081, 19430318, 13.45, ////, 07, ////, 07</v>
      </c>
    </row>
    <row r="232" spans="1:1" x14ac:dyDescent="0.25">
      <c r="A232" s="25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081, 19430318, 19.45, ////, 07, ////, 07</v>
      </c>
    </row>
    <row r="233" spans="1:1" x14ac:dyDescent="0.25">
      <c r="A233" s="25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081, 19430319, 07.45, ////, 07, ////, 07</v>
      </c>
    </row>
    <row r="234" spans="1:1" x14ac:dyDescent="0.25">
      <c r="A234" s="25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081, 19430319, 13.45, ////, 07, ////, 07</v>
      </c>
    </row>
    <row r="235" spans="1:1" x14ac:dyDescent="0.25">
      <c r="A235" s="25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081, 19430319, 19.45, ////, 07, ////, 07</v>
      </c>
    </row>
    <row r="236" spans="1:1" x14ac:dyDescent="0.25">
      <c r="A236" s="25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081, 19430320, 07.45, ////, 07, ////, 07</v>
      </c>
    </row>
    <row r="237" spans="1:1" x14ac:dyDescent="0.25">
      <c r="A237" s="25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081, 19430320, 13.45, ////, 07, ////, 07</v>
      </c>
    </row>
    <row r="238" spans="1:1" x14ac:dyDescent="0.25">
      <c r="A238" s="25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081, 19430320, 19.45, ////, 07, ////, 07</v>
      </c>
    </row>
    <row r="239" spans="1:1" x14ac:dyDescent="0.25">
      <c r="A239" s="25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081, 19430321, 07.45, ////, 07, ////, 07</v>
      </c>
    </row>
    <row r="240" spans="1:1" x14ac:dyDescent="0.25">
      <c r="A240" s="25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081, 19430321, 13.45, ////, 07, ////, 07</v>
      </c>
    </row>
    <row r="241" spans="1:1" x14ac:dyDescent="0.25">
      <c r="A241" s="25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081, 19430321, 19.45, ////, 07, ////, 07</v>
      </c>
    </row>
    <row r="242" spans="1:1" x14ac:dyDescent="0.25">
      <c r="A242" s="25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081, 19430322, 07.45, ////, 07, ////, 07</v>
      </c>
    </row>
    <row r="243" spans="1:1" x14ac:dyDescent="0.25">
      <c r="A243" s="25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081, 19430322, 13.45, ////, 07, ////, 07</v>
      </c>
    </row>
    <row r="244" spans="1:1" x14ac:dyDescent="0.25">
      <c r="A244" s="25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081, 19430322, 19.45, ////, 07, ////, 07</v>
      </c>
    </row>
    <row r="245" spans="1:1" x14ac:dyDescent="0.25">
      <c r="A245" s="25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081, 19430323, 07.45, ////, 07, ////, 07</v>
      </c>
    </row>
    <row r="246" spans="1:1" x14ac:dyDescent="0.25">
      <c r="A246" s="25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081, 19430323, 13.45, ////, 07, ////, 07</v>
      </c>
    </row>
    <row r="247" spans="1:1" x14ac:dyDescent="0.25">
      <c r="A247" s="25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081, 19430323, 19.45, ////, 07, ////, 07</v>
      </c>
    </row>
    <row r="248" spans="1:1" x14ac:dyDescent="0.25">
      <c r="A248" s="25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081, 19430324, 07.45, ////, 07, ////, 07</v>
      </c>
    </row>
    <row r="249" spans="1:1" x14ac:dyDescent="0.25">
      <c r="A249" s="25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081, 19430324, 13.45, ////, 07, ////, 07</v>
      </c>
    </row>
    <row r="250" spans="1:1" x14ac:dyDescent="0.25">
      <c r="A250" s="25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081, 19430324, 19.45, ////, 07, ////, 07</v>
      </c>
    </row>
    <row r="251" spans="1:1" x14ac:dyDescent="0.25">
      <c r="A251" s="25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081, 19430325, 07.45, ////, 07, ////, 07</v>
      </c>
    </row>
    <row r="252" spans="1:1" x14ac:dyDescent="0.25">
      <c r="A252" s="25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081, 19430325, 13.45, ////, 07, ////, 07</v>
      </c>
    </row>
    <row r="253" spans="1:1" x14ac:dyDescent="0.25">
      <c r="A253" s="25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081, 19430325, 19.45, ////, 07, ////, 07</v>
      </c>
    </row>
    <row r="254" spans="1:1" x14ac:dyDescent="0.25">
      <c r="A254" s="25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081, 19430326, 07.45, ////, 07, ////, 07</v>
      </c>
    </row>
    <row r="255" spans="1:1" x14ac:dyDescent="0.25">
      <c r="A255" s="25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081, 19430326, 13.45, ////, 07, ////, 07</v>
      </c>
    </row>
    <row r="256" spans="1:1" x14ac:dyDescent="0.25">
      <c r="A256" s="25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081, 19430326, 19.45, ////, 07, ////, 07</v>
      </c>
    </row>
    <row r="257" spans="1:1" x14ac:dyDescent="0.25">
      <c r="A257" s="25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081, 19430327, 07.45, ////, 07, ////, 07</v>
      </c>
    </row>
    <row r="258" spans="1:1" x14ac:dyDescent="0.25">
      <c r="A258" s="25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081, 19430327, 13.45, ////, 07, ////, 07</v>
      </c>
    </row>
    <row r="259" spans="1:1" x14ac:dyDescent="0.25">
      <c r="A259" s="25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081, 19430327, 19.45, ////, 07, ////, 07</v>
      </c>
    </row>
    <row r="260" spans="1:1" x14ac:dyDescent="0.25">
      <c r="A260" s="25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081, 19430328, 07.45, ////, 07, ////, 07</v>
      </c>
    </row>
    <row r="261" spans="1:1" x14ac:dyDescent="0.25">
      <c r="A261" s="25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081, 19430328, 13.45, ////, 07, ////, 07</v>
      </c>
    </row>
    <row r="262" spans="1:1" x14ac:dyDescent="0.25">
      <c r="A262" s="25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081, 19430328, 19.45, ////, 07, ////, 07</v>
      </c>
    </row>
    <row r="263" spans="1:1" x14ac:dyDescent="0.25">
      <c r="A263" s="25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081, 19430329, 07.45, ////, 07, ////, 07</v>
      </c>
    </row>
    <row r="264" spans="1:1" x14ac:dyDescent="0.25">
      <c r="A264" s="25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081, 19430329, 13.45, ////, 07, ////, 07</v>
      </c>
    </row>
    <row r="265" spans="1:1" x14ac:dyDescent="0.25">
      <c r="A265" s="25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081, 19430329, 19.45, ////, 07, ////, 07</v>
      </c>
    </row>
    <row r="266" spans="1:1" x14ac:dyDescent="0.25">
      <c r="A266" s="25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081, 19430330, 07.45, ////, 07, ////, 07</v>
      </c>
    </row>
    <row r="267" spans="1:1" x14ac:dyDescent="0.25">
      <c r="A267" s="25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081, 19430330, 13.45, ////, 07, ////, 07</v>
      </c>
    </row>
    <row r="268" spans="1:1" x14ac:dyDescent="0.25">
      <c r="A268" s="25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081, 19430330, 19.45, ////, 07, ////, 07</v>
      </c>
    </row>
    <row r="269" spans="1:1" x14ac:dyDescent="0.25">
      <c r="A269" s="25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081, 19430331, 07.45, ////, 07, ////, 07</v>
      </c>
    </row>
    <row r="270" spans="1:1" x14ac:dyDescent="0.25">
      <c r="A270" s="25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081, 19430331, 13.45, ////, 07, ////, 07</v>
      </c>
    </row>
    <row r="271" spans="1:1" x14ac:dyDescent="0.25">
      <c r="A271" s="25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081, 19430331, 19.45, ////, 07, ////, 07</v>
      </c>
    </row>
    <row r="272" spans="1:1" x14ac:dyDescent="0.25">
      <c r="A272" s="25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081, 19430401, 07.45, 7510, 00,  250, 00</v>
      </c>
    </row>
    <row r="273" spans="1:1" x14ac:dyDescent="0.25">
      <c r="A273" s="25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081, 19430401, 13.45, 7510, 00,  250, 00</v>
      </c>
    </row>
    <row r="274" spans="1:1" x14ac:dyDescent="0.25">
      <c r="A274" s="25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081, 19430401, 19.45, 7510, 00,  250, 00</v>
      </c>
    </row>
    <row r="275" spans="1:1" x14ac:dyDescent="0.25">
      <c r="A275" s="25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081, 19430402, 07.45, 7500, 00,  250, 00</v>
      </c>
    </row>
    <row r="276" spans="1:1" x14ac:dyDescent="0.25">
      <c r="A276" s="25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081, 19430402, 13.45, 7510, 00,  250, 00</v>
      </c>
    </row>
    <row r="277" spans="1:1" x14ac:dyDescent="0.25">
      <c r="A277" s="25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081, 19430402, 19.45, 7510, 00,  250, 00</v>
      </c>
    </row>
    <row r="278" spans="1:1" x14ac:dyDescent="0.25">
      <c r="A278" s="25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081, 19430403, 07.45, 7510, 00,  250, 00</v>
      </c>
    </row>
    <row r="279" spans="1:1" x14ac:dyDescent="0.25">
      <c r="A279" s="25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081, 19430403, 13.45, 7520, 00,  250, 00</v>
      </c>
    </row>
    <row r="280" spans="1:1" x14ac:dyDescent="0.25">
      <c r="A280" s="25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081, 19430403, 19.45, 7510, 00,  250, 00</v>
      </c>
    </row>
    <row r="281" spans="1:1" x14ac:dyDescent="0.25">
      <c r="A281" s="25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081, 19430404, 07.45, 7500, 00,  260, 00</v>
      </c>
    </row>
    <row r="282" spans="1:1" x14ac:dyDescent="0.25">
      <c r="A282" s="25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081, 19430404, 13.45, 7510, 00,  260, 00</v>
      </c>
    </row>
    <row r="283" spans="1:1" x14ac:dyDescent="0.25">
      <c r="A283" s="25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081, 19430404, 19.45, 7510, 00,  260, 00</v>
      </c>
    </row>
    <row r="284" spans="1:1" x14ac:dyDescent="0.25">
      <c r="A284" s="25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081, 19430405, 07.45, 7510, 00,  260, 00</v>
      </c>
    </row>
    <row r="285" spans="1:1" x14ac:dyDescent="0.25">
      <c r="A285" s="25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081, 19430405, 13.45, 7510, 00,  260, 00</v>
      </c>
    </row>
    <row r="286" spans="1:1" x14ac:dyDescent="0.25">
      <c r="A286" s="25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081, 19430405, 19.45, 7510, 00,  260, 00</v>
      </c>
    </row>
    <row r="287" spans="1:1" x14ac:dyDescent="0.25">
      <c r="A287" s="25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081, 19430406, 07.45, 7510, 00,  260, 00</v>
      </c>
    </row>
    <row r="288" spans="1:1" x14ac:dyDescent="0.25">
      <c r="A288" s="25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081, 19430406, 13.45, 7500, 00,  260, 00</v>
      </c>
    </row>
    <row r="289" spans="1:1" x14ac:dyDescent="0.25">
      <c r="A289" s="25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081, 19430406, 19.45, 7500, 00,  260, 00</v>
      </c>
    </row>
    <row r="290" spans="1:1" x14ac:dyDescent="0.25">
      <c r="A290" s="25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081, 19430407, 07.45, 7490, 00,  250, 00</v>
      </c>
    </row>
    <row r="291" spans="1:1" x14ac:dyDescent="0.25">
      <c r="A291" s="25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081, 19430407, 13.45, 7500, 00,  260, 00</v>
      </c>
    </row>
    <row r="292" spans="1:1" x14ac:dyDescent="0.25">
      <c r="A292" s="25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081, 19430407, 19.45, 7490, 00,  260, 00</v>
      </c>
    </row>
    <row r="293" spans="1:1" x14ac:dyDescent="0.25">
      <c r="A293" s="25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081, 19430408, 07.45, 7500, 00,  250, 00</v>
      </c>
    </row>
    <row r="294" spans="1:1" x14ac:dyDescent="0.25">
      <c r="A294" s="25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081, 19430408, 13.45, 7500, 00,  250, 00</v>
      </c>
    </row>
    <row r="295" spans="1:1" x14ac:dyDescent="0.25">
      <c r="A295" s="25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081, 19430408, 19.45, 7500, 00,  250, 00</v>
      </c>
    </row>
    <row r="296" spans="1:1" x14ac:dyDescent="0.25">
      <c r="A296" s="25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081, 19430409, 07.45, 7510, 00,  260, 00</v>
      </c>
    </row>
    <row r="297" spans="1:1" x14ac:dyDescent="0.25">
      <c r="A297" s="25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081, 19430409, 13.45, 7500, 00,  260, 00</v>
      </c>
    </row>
    <row r="298" spans="1:1" x14ac:dyDescent="0.25">
      <c r="A298" s="25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081, 19430409, 19.45, 7500, 00,  260, 00</v>
      </c>
    </row>
    <row r="299" spans="1:1" x14ac:dyDescent="0.25">
      <c r="A299" s="25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081, 19430410, 07.45, 7500, 00,  260, 00</v>
      </c>
    </row>
    <row r="300" spans="1:1" x14ac:dyDescent="0.25">
      <c r="A300" s="25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081, 19430410, 13.45, 7490, 00,  260, 00</v>
      </c>
    </row>
    <row r="301" spans="1:1" x14ac:dyDescent="0.25">
      <c r="A301" s="25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081, 19430410, 19.45, 7500, 00,  260, 00</v>
      </c>
    </row>
    <row r="302" spans="1:1" x14ac:dyDescent="0.25">
      <c r="A302" s="25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081, 19430411, 07.45, 7490, 00,  260, 00</v>
      </c>
    </row>
    <row r="303" spans="1:1" x14ac:dyDescent="0.25">
      <c r="A303" s="25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081, 19430411, 13.45, 7480, 00,  260, 00</v>
      </c>
    </row>
    <row r="304" spans="1:1" x14ac:dyDescent="0.25">
      <c r="A304" s="25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081, 19430411, 19.45, 7480, 00,  260, 00</v>
      </c>
    </row>
    <row r="305" spans="1:1" x14ac:dyDescent="0.25">
      <c r="A305" s="25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081, 19430412, 07.45, 7480, 00,  260, 00</v>
      </c>
    </row>
    <row r="306" spans="1:1" x14ac:dyDescent="0.25">
      <c r="A306" s="25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081, 19430412, 13.45, 7480, 00,  260, 00</v>
      </c>
    </row>
    <row r="307" spans="1:1" x14ac:dyDescent="0.25">
      <c r="A307" s="25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081, 19430412, 19.45, 7480, 00,  260, 00</v>
      </c>
    </row>
    <row r="308" spans="1:1" x14ac:dyDescent="0.25">
      <c r="A308" s="25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081, 19430413, 07.45, 7500, 00,  260, 00</v>
      </c>
    </row>
    <row r="309" spans="1:1" x14ac:dyDescent="0.25">
      <c r="A309" s="25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081, 19430413, 13.45, 7500, 00,  260, 00</v>
      </c>
    </row>
    <row r="310" spans="1:1" x14ac:dyDescent="0.25">
      <c r="A310" s="25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081, 19430413, 19.45, 7510, 00,  260, 00</v>
      </c>
    </row>
    <row r="311" spans="1:1" x14ac:dyDescent="0.25">
      <c r="A311" s="25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081, 19430414, 07.45, 7510, 00,  270, 00</v>
      </c>
    </row>
    <row r="312" spans="1:1" x14ac:dyDescent="0.25">
      <c r="A312" s="25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081, 19430414, 13.45, 7500, 00,  270, 00</v>
      </c>
    </row>
    <row r="313" spans="1:1" x14ac:dyDescent="0.25">
      <c r="A313" s="25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081, 19430414, 19.45, 7500, 00,  270, 00</v>
      </c>
    </row>
    <row r="314" spans="1:1" x14ac:dyDescent="0.25">
      <c r="A314" s="25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081, 19430415, 07.45, 7500, 00,  260, 00</v>
      </c>
    </row>
    <row r="315" spans="1:1" x14ac:dyDescent="0.25">
      <c r="A315" s="25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081, 19430415, 13.45, 7490, 00,  260, 00</v>
      </c>
    </row>
    <row r="316" spans="1:1" x14ac:dyDescent="0.25">
      <c r="A316" s="25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081, 19430415, 19.45, 7500, 00,  260, 00</v>
      </c>
    </row>
    <row r="317" spans="1:1" x14ac:dyDescent="0.25">
      <c r="A317" s="25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081, 19430416, 07.45, 7500, 00,  270, 00</v>
      </c>
    </row>
    <row r="318" spans="1:1" x14ac:dyDescent="0.25">
      <c r="A318" s="25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081, 19430416, 13.45, 7490, 00,  270, 00</v>
      </c>
    </row>
    <row r="319" spans="1:1" x14ac:dyDescent="0.25">
      <c r="A319" s="25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081, 19430416, 19.45, 7500, 00,  260, 00</v>
      </c>
    </row>
    <row r="320" spans="1:1" x14ac:dyDescent="0.25">
      <c r="A320" s="25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081, 19430417, 07.45, 7500, 00,  260, 00</v>
      </c>
    </row>
    <row r="321" spans="1:1" x14ac:dyDescent="0.25">
      <c r="A321" s="25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081, 19430417, 13.45, 7490, 00,  260, 00</v>
      </c>
    </row>
    <row r="322" spans="1:1" x14ac:dyDescent="0.25">
      <c r="A322" s="25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081, 19430417, 19.45, 7500, 00,  260, 00</v>
      </c>
    </row>
    <row r="323" spans="1:1" x14ac:dyDescent="0.25">
      <c r="A323" s="25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081, 19430418, 07.45, 7500, 00,  260, 00</v>
      </c>
    </row>
    <row r="324" spans="1:1" x14ac:dyDescent="0.25">
      <c r="A324" s="25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081, 19430418, 13.45, 7490, 00,  260, 00</v>
      </c>
    </row>
    <row r="325" spans="1:1" x14ac:dyDescent="0.25">
      <c r="A325" s="25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081, 19430418, 19.45, 7500, 00,  260, 00</v>
      </c>
    </row>
    <row r="326" spans="1:1" x14ac:dyDescent="0.25">
      <c r="A326" s="25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081, 19430419, 07.45, 7500, 00,  260, 00</v>
      </c>
    </row>
    <row r="327" spans="1:1" x14ac:dyDescent="0.25">
      <c r="A327" s="25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081, 19430419, 13.45, 7500, 00,  260, 00</v>
      </c>
    </row>
    <row r="328" spans="1:1" x14ac:dyDescent="0.25">
      <c r="A328" s="25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081, 19430419, 19.45, 7510, 00,  260, 00</v>
      </c>
    </row>
    <row r="329" spans="1:1" x14ac:dyDescent="0.25">
      <c r="A329" s="25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081, 19430420, 07.45, 7520, 00,  260, 00</v>
      </c>
    </row>
    <row r="330" spans="1:1" x14ac:dyDescent="0.25">
      <c r="A330" s="25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081, 19430420, 13.45, 7510, 00,  260, 00</v>
      </c>
    </row>
    <row r="331" spans="1:1" x14ac:dyDescent="0.25">
      <c r="A331" s="25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081, 19430420, 19.45, 7520, 00,  260, 00</v>
      </c>
    </row>
    <row r="332" spans="1:1" x14ac:dyDescent="0.25">
      <c r="A332" s="25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081, 19430421, 07.45, 7530, 00,  270, 00</v>
      </c>
    </row>
    <row r="333" spans="1:1" x14ac:dyDescent="0.25">
      <c r="A333" s="25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081, 19430421, 13.45, 7520, 00,  260, 00</v>
      </c>
    </row>
    <row r="334" spans="1:1" x14ac:dyDescent="0.25">
      <c r="A334" s="25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081, 19430421, 19.45, 7520, 00,  260, 00</v>
      </c>
    </row>
    <row r="335" spans="1:1" x14ac:dyDescent="0.25">
      <c r="A335" s="25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081, 19430422, 07.45, 7520, 00,  260, 00</v>
      </c>
    </row>
    <row r="336" spans="1:1" x14ac:dyDescent="0.25">
      <c r="A336" s="25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081, 19430422, 13.45, 7510, 00,  270, 00</v>
      </c>
    </row>
    <row r="337" spans="1:1" x14ac:dyDescent="0.25">
      <c r="A337" s="25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081, 19430422, 19.45, 7520, 00,  270, 00</v>
      </c>
    </row>
    <row r="338" spans="1:1" x14ac:dyDescent="0.25">
      <c r="A338" s="25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081, 19430423, 07.45, 7520, 00,  260, 00</v>
      </c>
    </row>
    <row r="339" spans="1:1" x14ac:dyDescent="0.25">
      <c r="A339" s="25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081, 19430423, 13.45, 7500, 00,  260, 00</v>
      </c>
    </row>
    <row r="340" spans="1:1" x14ac:dyDescent="0.25">
      <c r="A340" s="25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081, 19430423, 19.45, 7500, 00,  260, 00</v>
      </c>
    </row>
    <row r="341" spans="1:1" x14ac:dyDescent="0.25">
      <c r="A341" s="25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081, 19430424, 07.45, 7500, 00,  250, 00</v>
      </c>
    </row>
    <row r="342" spans="1:1" x14ac:dyDescent="0.25">
      <c r="A342" s="25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081, 19430424, 13.45, 7500, 00,  250, 00</v>
      </c>
    </row>
    <row r="343" spans="1:1" x14ac:dyDescent="0.25">
      <c r="A343" s="25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081, 19430424, 19.45, 7500, 00,  260, 00</v>
      </c>
    </row>
    <row r="344" spans="1:1" x14ac:dyDescent="0.25">
      <c r="A344" s="25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081, 19430425, 07.45, 7500, 00,  260, 00</v>
      </c>
    </row>
    <row r="345" spans="1:1" x14ac:dyDescent="0.25">
      <c r="A345" s="25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081, 19430425, 13.45, 7500, 00,  260, 00</v>
      </c>
    </row>
    <row r="346" spans="1:1" x14ac:dyDescent="0.25">
      <c r="A346" s="25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081, 19430425, 19.45, 7500, 00,  260, 00</v>
      </c>
    </row>
    <row r="347" spans="1:1" x14ac:dyDescent="0.25">
      <c r="A347" s="25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081, 19430426, 07.45, 7500, 00,  260, 00</v>
      </c>
    </row>
    <row r="348" spans="1:1" x14ac:dyDescent="0.25">
      <c r="A348" s="25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081, 19430426, 13.45, 7500, 00,  260, 00</v>
      </c>
    </row>
    <row r="349" spans="1:1" x14ac:dyDescent="0.25">
      <c r="A349" s="25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081, 19430426, 19.45, 7500, 00,  260, 00</v>
      </c>
    </row>
    <row r="350" spans="1:1" x14ac:dyDescent="0.25">
      <c r="A350" s="25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081, 19430427, 07.45, 7500, 00,  260, 00</v>
      </c>
    </row>
    <row r="351" spans="1:1" x14ac:dyDescent="0.25">
      <c r="A351" s="25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081, 19430427, 13.45, 7500, 00,  260, 00</v>
      </c>
    </row>
    <row r="352" spans="1:1" x14ac:dyDescent="0.25">
      <c r="A352" s="25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081, 19430427, 19.45, 7490, 00,  260, 00</v>
      </c>
    </row>
    <row r="353" spans="1:1" x14ac:dyDescent="0.25">
      <c r="A353" s="25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081, 19430428, 07.45, 7500, 00,  260, 00</v>
      </c>
    </row>
    <row r="354" spans="1:1" x14ac:dyDescent="0.25">
      <c r="A354" s="25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081, 19430428, 13.45, 7490, 00,  260, 00</v>
      </c>
    </row>
    <row r="355" spans="1:1" x14ac:dyDescent="0.25">
      <c r="A355" s="25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081, 19430428, 19.45, 7500, 00,  260, 00</v>
      </c>
    </row>
    <row r="356" spans="1:1" x14ac:dyDescent="0.25">
      <c r="A356" s="25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081, 19430429, 07.45, 7490, 00,  250, 00</v>
      </c>
    </row>
    <row r="357" spans="1:1" x14ac:dyDescent="0.25">
      <c r="A357" s="25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081, 19430429, 13.45, 7490, 00,  260, 00</v>
      </c>
    </row>
    <row r="358" spans="1:1" x14ac:dyDescent="0.25">
      <c r="A358" s="25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081, 19430429, 19.45, 7500, 00,  260, 00</v>
      </c>
    </row>
    <row r="359" spans="1:1" x14ac:dyDescent="0.25">
      <c r="A359" s="25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081, 19430430, 07.45, 7490, 00,  260, 00</v>
      </c>
    </row>
    <row r="360" spans="1:1" x14ac:dyDescent="0.25">
      <c r="A360" s="25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081, 19430430, 13.45, 7500, 00,  260, 00</v>
      </c>
    </row>
    <row r="361" spans="1:1" x14ac:dyDescent="0.25">
      <c r="A361" s="25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081, 19430430, 19.45, 7500, 00,  260, 00</v>
      </c>
    </row>
    <row r="362" spans="1:1" x14ac:dyDescent="0.25">
      <c r="A362" s="25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081, 19430501, 07.45, ////, 07, ////, 07</v>
      </c>
    </row>
    <row r="363" spans="1:1" x14ac:dyDescent="0.25">
      <c r="A363" s="25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081, 19430501, 13.45, ////, 07, ////, 07</v>
      </c>
    </row>
    <row r="364" spans="1:1" x14ac:dyDescent="0.25">
      <c r="A364" s="25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081, 19430501, 19.45, ////, 07, ////, 07</v>
      </c>
    </row>
    <row r="365" spans="1:1" x14ac:dyDescent="0.25">
      <c r="A365" s="25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081, 19430502, 07.45, ////, 07, ////, 07</v>
      </c>
    </row>
    <row r="366" spans="1:1" x14ac:dyDescent="0.25">
      <c r="A366" s="25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081, 19430502, 13.45, ////, 07, ////, 07</v>
      </c>
    </row>
    <row r="367" spans="1:1" x14ac:dyDescent="0.25">
      <c r="A367" s="25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081, 19430502, 19.45, ////, 07, ////, 07</v>
      </c>
    </row>
    <row r="368" spans="1:1" x14ac:dyDescent="0.25">
      <c r="A368" s="25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081, 19430503, 07.45, ////, 07, ////, 07</v>
      </c>
    </row>
    <row r="369" spans="1:1" x14ac:dyDescent="0.25">
      <c r="A369" s="25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081, 19430503, 13.45, ////, 07, ////, 07</v>
      </c>
    </row>
    <row r="370" spans="1:1" x14ac:dyDescent="0.25">
      <c r="A370" s="25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081, 19430503, 19.45, ////, 07, ////, 07</v>
      </c>
    </row>
    <row r="371" spans="1:1" x14ac:dyDescent="0.25">
      <c r="A371" s="25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081, 19430504, 07.45, ////, 07, ////, 07</v>
      </c>
    </row>
    <row r="372" spans="1:1" x14ac:dyDescent="0.25">
      <c r="A372" s="25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081, 19430504, 13.45, ////, 07, ////, 07</v>
      </c>
    </row>
    <row r="373" spans="1:1" x14ac:dyDescent="0.25">
      <c r="A373" s="25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081, 19430504, 19.45, ////, 07, ////, 07</v>
      </c>
    </row>
    <row r="374" spans="1:1" x14ac:dyDescent="0.25">
      <c r="A374" s="25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081, 19430505, 07.45, ////, 07, ////, 07</v>
      </c>
    </row>
    <row r="375" spans="1:1" x14ac:dyDescent="0.25">
      <c r="A375" s="25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081, 19430505, 13.45, ////, 07, ////, 07</v>
      </c>
    </row>
    <row r="376" spans="1:1" x14ac:dyDescent="0.25">
      <c r="A376" s="25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081, 19430505, 19.45, ////, 07, ////, 07</v>
      </c>
    </row>
    <row r="377" spans="1:1" x14ac:dyDescent="0.25">
      <c r="A377" s="25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081, 19430506, 07.45, ////, 07, ////, 07</v>
      </c>
    </row>
    <row r="378" spans="1:1" x14ac:dyDescent="0.25">
      <c r="A378" s="25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081, 19430506, 13.45, ////, 07, ////, 07</v>
      </c>
    </row>
    <row r="379" spans="1:1" x14ac:dyDescent="0.25">
      <c r="A379" s="25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081, 19430506, 19.45, ////, 07, ////, 07</v>
      </c>
    </row>
    <row r="380" spans="1:1" x14ac:dyDescent="0.25">
      <c r="A380" s="25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081, 19430507, 07.45, ////, 07, ////, 07</v>
      </c>
    </row>
    <row r="381" spans="1:1" x14ac:dyDescent="0.25">
      <c r="A381" s="25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081, 19430507, 13.45, ////, 07, ////, 07</v>
      </c>
    </row>
    <row r="382" spans="1:1" x14ac:dyDescent="0.25">
      <c r="A382" s="25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081, 19430507, 19.45, ////, 07, ////, 07</v>
      </c>
    </row>
    <row r="383" spans="1:1" x14ac:dyDescent="0.25">
      <c r="A383" s="25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081, 19430508, 07.45, ////, 07, ////, 07</v>
      </c>
    </row>
    <row r="384" spans="1:1" x14ac:dyDescent="0.25">
      <c r="A384" s="25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081, 19430508, 13.45, ////, 07, ////, 07</v>
      </c>
    </row>
    <row r="385" spans="1:1" x14ac:dyDescent="0.25">
      <c r="A385" s="25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081, 19430508, 19.45, ////, 07, ////, 07</v>
      </c>
    </row>
    <row r="386" spans="1:1" x14ac:dyDescent="0.25">
      <c r="A386" s="25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081, 19430509, 07.45, ////, 07, ////, 07</v>
      </c>
    </row>
    <row r="387" spans="1:1" x14ac:dyDescent="0.25">
      <c r="A387" s="25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081, 19430509, 13.45, ////, 07, ////, 07</v>
      </c>
    </row>
    <row r="388" spans="1:1" x14ac:dyDescent="0.25">
      <c r="A388" s="25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081, 19430509, 19.45, ////, 07, ////, 07</v>
      </c>
    </row>
    <row r="389" spans="1:1" x14ac:dyDescent="0.25">
      <c r="A389" s="25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081, 19430510, 07.45, ////, 07, ////, 07</v>
      </c>
    </row>
    <row r="390" spans="1:1" x14ac:dyDescent="0.25">
      <c r="A390" s="25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081, 19430510, 13.45, ////, 07, ////, 07</v>
      </c>
    </row>
    <row r="391" spans="1:1" x14ac:dyDescent="0.25">
      <c r="A391" s="25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081, 19430510, 19.45, ////, 07, ////, 07</v>
      </c>
    </row>
    <row r="392" spans="1:1" x14ac:dyDescent="0.25">
      <c r="A392" s="25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081, 19430511, 07.45, ////, 07, ////, 07</v>
      </c>
    </row>
    <row r="393" spans="1:1" x14ac:dyDescent="0.25">
      <c r="A393" s="25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081, 19430511, 13.45, ////, 07, ////, 07</v>
      </c>
    </row>
    <row r="394" spans="1:1" x14ac:dyDescent="0.25">
      <c r="A394" s="25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081, 19430511, 19.45, ////, 07, ////, 07</v>
      </c>
    </row>
    <row r="395" spans="1:1" x14ac:dyDescent="0.25">
      <c r="A395" s="25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081, 19430512, 07.45, ////, 07, ////, 07</v>
      </c>
    </row>
    <row r="396" spans="1:1" x14ac:dyDescent="0.25">
      <c r="A396" s="25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081, 19430512, 13.45, ////, 07, ////, 07</v>
      </c>
    </row>
    <row r="397" spans="1:1" x14ac:dyDescent="0.25">
      <c r="A397" s="25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081, 19430512, 19.45, ////, 07, ////, 07</v>
      </c>
    </row>
    <row r="398" spans="1:1" x14ac:dyDescent="0.25">
      <c r="A398" s="25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081, 19430513, 07.45, ////, 07, ////, 07</v>
      </c>
    </row>
    <row r="399" spans="1:1" x14ac:dyDescent="0.25">
      <c r="A399" s="25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081, 19430513, 13.45, ////, 07, ////, 07</v>
      </c>
    </row>
    <row r="400" spans="1:1" x14ac:dyDescent="0.25">
      <c r="A400" s="25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081, 19430513, 19.45, ////, 07, ////, 07</v>
      </c>
    </row>
    <row r="401" spans="1:1" x14ac:dyDescent="0.25">
      <c r="A401" s="25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081, 19430514, 07.45, ////, 07, ////, 07</v>
      </c>
    </row>
    <row r="402" spans="1:1" x14ac:dyDescent="0.25">
      <c r="A402" s="25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081, 19430514, 13.45, ////, 07, ////, 07</v>
      </c>
    </row>
    <row r="403" spans="1:1" x14ac:dyDescent="0.25">
      <c r="A403" s="25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081, 19430514, 19.45, ////, 07, ////, 07</v>
      </c>
    </row>
    <row r="404" spans="1:1" x14ac:dyDescent="0.25">
      <c r="A404" s="25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081, 19430515, 07.45, ////, 07, ////, 07</v>
      </c>
    </row>
    <row r="405" spans="1:1" x14ac:dyDescent="0.25">
      <c r="A405" s="25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081, 19430515, 13.45, ////, 07, ////, 07</v>
      </c>
    </row>
    <row r="406" spans="1:1" x14ac:dyDescent="0.25">
      <c r="A406" s="25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081, 19430515, 19.45, ////, 07, ////, 07</v>
      </c>
    </row>
    <row r="407" spans="1:1" x14ac:dyDescent="0.25">
      <c r="A407" s="25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081, 19430516, 07.45, ////, 07, ////, 07</v>
      </c>
    </row>
    <row r="408" spans="1:1" x14ac:dyDescent="0.25">
      <c r="A408" s="25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081, 19430516, 13.45, ////, 07, ////, 07</v>
      </c>
    </row>
    <row r="409" spans="1:1" x14ac:dyDescent="0.25">
      <c r="A409" s="25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081, 19430516, 19.45, ////, 07, ////, 07</v>
      </c>
    </row>
    <row r="410" spans="1:1" x14ac:dyDescent="0.25">
      <c r="A410" s="25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081, 19430517, 07.45, ////, 07, ////, 07</v>
      </c>
    </row>
    <row r="411" spans="1:1" x14ac:dyDescent="0.25">
      <c r="A411" s="25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081, 19430517, 13.45, ////, 07, ////, 07</v>
      </c>
    </row>
    <row r="412" spans="1:1" x14ac:dyDescent="0.25">
      <c r="A412" s="25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081, 19430517, 19.45, ////, 07, ////, 07</v>
      </c>
    </row>
    <row r="413" spans="1:1" x14ac:dyDescent="0.25">
      <c r="A413" s="25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081, 19430518, 07.45, ////, 07, ////, 07</v>
      </c>
    </row>
    <row r="414" spans="1:1" x14ac:dyDescent="0.25">
      <c r="A414" s="25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081, 19430518, 13.45, ////, 07, ////, 07</v>
      </c>
    </row>
    <row r="415" spans="1:1" x14ac:dyDescent="0.25">
      <c r="A415" s="25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081, 19430518, 19.45, ////, 07, ////, 07</v>
      </c>
    </row>
    <row r="416" spans="1:1" x14ac:dyDescent="0.25">
      <c r="A416" s="25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081, 19430519, 07.45, ////, 07, ////, 07</v>
      </c>
    </row>
    <row r="417" spans="1:1" x14ac:dyDescent="0.25">
      <c r="A417" s="25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081, 19430519, 13.45, ////, 07, ////, 07</v>
      </c>
    </row>
    <row r="418" spans="1:1" x14ac:dyDescent="0.25">
      <c r="A418" s="25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081, 19430519, 19.45, ////, 07, ////, 07</v>
      </c>
    </row>
    <row r="419" spans="1:1" x14ac:dyDescent="0.25">
      <c r="A419" s="25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081, 19430520, 07.45, ////, 07, ////, 07</v>
      </c>
    </row>
    <row r="420" spans="1:1" x14ac:dyDescent="0.25">
      <c r="A420" s="25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081, 19430520, 13.45, ////, 07, ////, 07</v>
      </c>
    </row>
    <row r="421" spans="1:1" x14ac:dyDescent="0.25">
      <c r="A421" s="25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081, 19430520, 19.45, ////, 07, ////, 07</v>
      </c>
    </row>
    <row r="422" spans="1:1" x14ac:dyDescent="0.25">
      <c r="A422" s="25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081, 19430521, 07.45, ////, 07, ////, 07</v>
      </c>
    </row>
    <row r="423" spans="1:1" x14ac:dyDescent="0.25">
      <c r="A423" s="25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081, 19430521, 13.45, ////, 07, ////, 07</v>
      </c>
    </row>
    <row r="424" spans="1:1" x14ac:dyDescent="0.25">
      <c r="A424" s="25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081, 19430521, 19.45, ////, 07, ////, 07</v>
      </c>
    </row>
    <row r="425" spans="1:1" x14ac:dyDescent="0.25">
      <c r="A425" s="25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081, 19430522, 07.45, ////, 07, ////, 07</v>
      </c>
    </row>
    <row r="426" spans="1:1" x14ac:dyDescent="0.25">
      <c r="A426" s="25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081, 19430522, 13.45, ////, 07, ////, 07</v>
      </c>
    </row>
    <row r="427" spans="1:1" x14ac:dyDescent="0.25">
      <c r="A427" s="25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081, 19430522, 19.45, ////, 07, ////, 07</v>
      </c>
    </row>
    <row r="428" spans="1:1" x14ac:dyDescent="0.25">
      <c r="A428" s="25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081, 19430523, 07.45, ////, 07, ////, 07</v>
      </c>
    </row>
    <row r="429" spans="1:1" x14ac:dyDescent="0.25">
      <c r="A429" s="25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081, 19430523, 13.45, ////, 07, ////, 07</v>
      </c>
    </row>
    <row r="430" spans="1:1" x14ac:dyDescent="0.25">
      <c r="A430" s="25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081, 19430523, 19.45, ////, 07, ////, 07</v>
      </c>
    </row>
    <row r="431" spans="1:1" x14ac:dyDescent="0.25">
      <c r="A431" s="25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081, 19430524, 07.45, ////, 07, ////, 07</v>
      </c>
    </row>
    <row r="432" spans="1:1" x14ac:dyDescent="0.25">
      <c r="A432" s="25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081, 19430524, 13.45, ////, 07, ////, 07</v>
      </c>
    </row>
    <row r="433" spans="1:1" x14ac:dyDescent="0.25">
      <c r="A433" s="25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081, 19430524, 19.45, ////, 07, ////, 07</v>
      </c>
    </row>
    <row r="434" spans="1:1" x14ac:dyDescent="0.25">
      <c r="A434" s="25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081, 19430525, 07.45, ////, 07, ////, 07</v>
      </c>
    </row>
    <row r="435" spans="1:1" x14ac:dyDescent="0.25">
      <c r="A435" s="25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081, 19430525, 13.45, ////, 07, ////, 07</v>
      </c>
    </row>
    <row r="436" spans="1:1" x14ac:dyDescent="0.25">
      <c r="A436" s="25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081, 19430525, 19.45, ////, 07, ////, 07</v>
      </c>
    </row>
    <row r="437" spans="1:1" x14ac:dyDescent="0.25">
      <c r="A437" s="25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081, 19430526, 07.45, ////, 07, ////, 07</v>
      </c>
    </row>
    <row r="438" spans="1:1" x14ac:dyDescent="0.25">
      <c r="A438" s="25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081, 19430526, 13.45, ////, 07, ////, 07</v>
      </c>
    </row>
    <row r="439" spans="1:1" x14ac:dyDescent="0.25">
      <c r="A439" s="25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081, 19430526, 19.45, ////, 07, ////, 07</v>
      </c>
    </row>
    <row r="440" spans="1:1" x14ac:dyDescent="0.25">
      <c r="A440" s="25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081, 19430527, 07.45, ////, 07, ////, 07</v>
      </c>
    </row>
    <row r="441" spans="1:1" x14ac:dyDescent="0.25">
      <c r="A441" s="25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081, 19430527, 13.45, ////, 07, ////, 07</v>
      </c>
    </row>
    <row r="442" spans="1:1" x14ac:dyDescent="0.25">
      <c r="A442" s="25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081, 19430527, 19.45, ////, 07, ////, 07</v>
      </c>
    </row>
    <row r="443" spans="1:1" x14ac:dyDescent="0.25">
      <c r="A443" s="25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081, 19430528, 07.45, ////, 07, ////, 07</v>
      </c>
    </row>
    <row r="444" spans="1:1" x14ac:dyDescent="0.25">
      <c r="A444" s="25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081, 19430528, 13.45, ////, 07, ////, 07</v>
      </c>
    </row>
    <row r="445" spans="1:1" x14ac:dyDescent="0.25">
      <c r="A445" s="25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081, 19430528, 19.45, ////, 07, ////, 07</v>
      </c>
    </row>
    <row r="446" spans="1:1" x14ac:dyDescent="0.25">
      <c r="A446" s="25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081, 19430529, 07.45, ////, 07, ////, 07</v>
      </c>
    </row>
    <row r="447" spans="1:1" x14ac:dyDescent="0.25">
      <c r="A447" s="25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081, 19430529, 13.45, ////, 07, ////, 07</v>
      </c>
    </row>
    <row r="448" spans="1:1" x14ac:dyDescent="0.25">
      <c r="A448" s="25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081, 19430529, 19.45, ////, 07, ////, 07</v>
      </c>
    </row>
    <row r="449" spans="1:1" x14ac:dyDescent="0.25">
      <c r="A449" s="25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081, 19430530, 07.45, ////, 07, ////, 07</v>
      </c>
    </row>
    <row r="450" spans="1:1" x14ac:dyDescent="0.25">
      <c r="A450" s="25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081, 19430530, 13.45, ////, 07, ////, 07</v>
      </c>
    </row>
    <row r="451" spans="1:1" x14ac:dyDescent="0.25">
      <c r="A451" s="25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081, 19430530, 19.45, ////, 07, ////, 07</v>
      </c>
    </row>
    <row r="452" spans="1:1" x14ac:dyDescent="0.25">
      <c r="A452" s="25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081, 19430531, 07.45, ////, 07, ////, 07</v>
      </c>
    </row>
    <row r="453" spans="1:1" x14ac:dyDescent="0.25">
      <c r="A453" s="25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081, 19430531, 13.45, ////, 07, ////, 07</v>
      </c>
    </row>
    <row r="454" spans="1:1" x14ac:dyDescent="0.25">
      <c r="A454" s="25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081, 19430531, 19.45, ////, 07, ////, 07</v>
      </c>
    </row>
    <row r="455" spans="1:1" x14ac:dyDescent="0.25">
      <c r="A455" s="25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081, 19430601, 07.45, ////, 07, ////, 07</v>
      </c>
    </row>
    <row r="456" spans="1:1" x14ac:dyDescent="0.25">
      <c r="A456" s="25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081, 19430601, 13.45, ////, 07, ////, 07</v>
      </c>
    </row>
    <row r="457" spans="1:1" x14ac:dyDescent="0.25">
      <c r="A457" s="25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081, 19430601, 19.45, ////, 07, ////, 07</v>
      </c>
    </row>
    <row r="458" spans="1:1" x14ac:dyDescent="0.25">
      <c r="A458" s="25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081, 19430602, 07.45, ////, 07, ////, 07</v>
      </c>
    </row>
    <row r="459" spans="1:1" x14ac:dyDescent="0.25">
      <c r="A459" s="25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081, 19430602, 13.45, ////, 07, ////, 07</v>
      </c>
    </row>
    <row r="460" spans="1:1" x14ac:dyDescent="0.25">
      <c r="A460" s="25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081, 19430602, 19.45, ////, 07, ////, 07</v>
      </c>
    </row>
    <row r="461" spans="1:1" x14ac:dyDescent="0.25">
      <c r="A461" s="25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081, 19430603, 07.45, ////, 07, ////, 07</v>
      </c>
    </row>
    <row r="462" spans="1:1" x14ac:dyDescent="0.25">
      <c r="A462" s="25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081, 19430603, 13.45, ////, 07, ////, 07</v>
      </c>
    </row>
    <row r="463" spans="1:1" x14ac:dyDescent="0.25">
      <c r="A463" s="25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081, 19430603, 19.45, ////, 07, ////, 07</v>
      </c>
    </row>
    <row r="464" spans="1:1" x14ac:dyDescent="0.25">
      <c r="A464" s="25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081, 19430604, 07.45, ////, 07, ////, 07</v>
      </c>
    </row>
    <row r="465" spans="1:1" x14ac:dyDescent="0.25">
      <c r="A465" s="25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081, 19430604, 13.45, ////, 07, ////, 07</v>
      </c>
    </row>
    <row r="466" spans="1:1" x14ac:dyDescent="0.25">
      <c r="A466" s="25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081, 19430604, 19.45, ////, 07, ////, 07</v>
      </c>
    </row>
    <row r="467" spans="1:1" x14ac:dyDescent="0.25">
      <c r="A467" s="25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081, 19430605, 07.45, ////, 07, ////, 07</v>
      </c>
    </row>
    <row r="468" spans="1:1" x14ac:dyDescent="0.25">
      <c r="A468" s="25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081, 19430605, 13.45, ////, 07, ////, 07</v>
      </c>
    </row>
    <row r="469" spans="1:1" x14ac:dyDescent="0.25">
      <c r="A469" s="25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081, 19430605, 19.45, ////, 07, ////, 07</v>
      </c>
    </row>
    <row r="470" spans="1:1" x14ac:dyDescent="0.25">
      <c r="A470" s="25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081, 19430606, 07.45, ////, 07, ////, 07</v>
      </c>
    </row>
    <row r="471" spans="1:1" x14ac:dyDescent="0.25">
      <c r="A471" s="25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081, 19430606, 13.45, ////, 07, ////, 07</v>
      </c>
    </row>
    <row r="472" spans="1:1" x14ac:dyDescent="0.25">
      <c r="A472" s="25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081, 19430606, 19.45, ////, 07, ////, 07</v>
      </c>
    </row>
    <row r="473" spans="1:1" x14ac:dyDescent="0.25">
      <c r="A473" s="25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081, 19430607, 07.45, ////, 07, ////, 07</v>
      </c>
    </row>
    <row r="474" spans="1:1" x14ac:dyDescent="0.25">
      <c r="A474" s="25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081, 19430607, 13.45, ////, 07, ////, 07</v>
      </c>
    </row>
    <row r="475" spans="1:1" x14ac:dyDescent="0.25">
      <c r="A475" s="25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081, 19430607, 19.45, ////, 07, ////, 07</v>
      </c>
    </row>
    <row r="476" spans="1:1" x14ac:dyDescent="0.25">
      <c r="A476" s="25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081, 19430608, 07.45, ////, 07, ////, 07</v>
      </c>
    </row>
    <row r="477" spans="1:1" x14ac:dyDescent="0.25">
      <c r="A477" s="25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081, 19430608, 13.45, ////, 07, ////, 07</v>
      </c>
    </row>
    <row r="478" spans="1:1" x14ac:dyDescent="0.25">
      <c r="A478" s="25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081, 19430608, 19.45, ////, 07, ////, 07</v>
      </c>
    </row>
    <row r="479" spans="1:1" x14ac:dyDescent="0.25">
      <c r="A479" s="25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081, 19430609, 07.45, ////, 07, ////, 07</v>
      </c>
    </row>
    <row r="480" spans="1:1" x14ac:dyDescent="0.25">
      <c r="A480" s="25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081, 19430609, 13.45, ////, 07, ////, 07</v>
      </c>
    </row>
    <row r="481" spans="1:1" x14ac:dyDescent="0.25">
      <c r="A481" s="25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081, 19430609, 19.45, ////, 07, ////, 07</v>
      </c>
    </row>
    <row r="482" spans="1:1" x14ac:dyDescent="0.25">
      <c r="A482" s="25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081, 19430610, 07.45, ////, 07, ////, 07</v>
      </c>
    </row>
    <row r="483" spans="1:1" x14ac:dyDescent="0.25">
      <c r="A483" s="25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081, 19430610, 13.45, ////, 07, ////, 07</v>
      </c>
    </row>
    <row r="484" spans="1:1" x14ac:dyDescent="0.25">
      <c r="A484" s="25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081, 19430610, 19.45, ////, 07, ////, 07</v>
      </c>
    </row>
    <row r="485" spans="1:1" x14ac:dyDescent="0.25">
      <c r="A485" s="25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081, 19430611, 07.45, ////, 07, ////, 07</v>
      </c>
    </row>
    <row r="486" spans="1:1" x14ac:dyDescent="0.25">
      <c r="A486" s="25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081, 19430611, 13.45, ////, 07, ////, 07</v>
      </c>
    </row>
    <row r="487" spans="1:1" x14ac:dyDescent="0.25">
      <c r="A487" s="25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081, 19430611, 19.45, ////, 07, ////, 07</v>
      </c>
    </row>
    <row r="488" spans="1:1" x14ac:dyDescent="0.25">
      <c r="A488" s="25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081, 19430612, 07.45, ////, 07, ////, 07</v>
      </c>
    </row>
    <row r="489" spans="1:1" x14ac:dyDescent="0.25">
      <c r="A489" s="25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081, 19430612, 13.45, ////, 07, ////, 07</v>
      </c>
    </row>
    <row r="490" spans="1:1" x14ac:dyDescent="0.25">
      <c r="A490" s="25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081, 19430612, 19.45, ////, 07, ////, 07</v>
      </c>
    </row>
    <row r="491" spans="1:1" x14ac:dyDescent="0.25">
      <c r="A491" s="25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081, 19430613, 07.45, ////, 07, ////, 07</v>
      </c>
    </row>
    <row r="492" spans="1:1" x14ac:dyDescent="0.25">
      <c r="A492" s="25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081, 19430613, 13.45, ////, 07, ////, 07</v>
      </c>
    </row>
    <row r="493" spans="1:1" x14ac:dyDescent="0.25">
      <c r="A493" s="25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081, 19430613, 19.45, ////, 07, ////, 07</v>
      </c>
    </row>
    <row r="494" spans="1:1" x14ac:dyDescent="0.25">
      <c r="A494" s="25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081, 19430614, 07.45, ////, 07, ////, 07</v>
      </c>
    </row>
    <row r="495" spans="1:1" x14ac:dyDescent="0.25">
      <c r="A495" s="25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081, 19430614, 13.45, ////, 07, ////, 07</v>
      </c>
    </row>
    <row r="496" spans="1:1" x14ac:dyDescent="0.25">
      <c r="A496" s="25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081, 19430614, 19.45, ////, 07, ////, 07</v>
      </c>
    </row>
    <row r="497" spans="1:1" x14ac:dyDescent="0.25">
      <c r="A497" s="25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081, 19430615, 07.45, ////, 07, ////, 07</v>
      </c>
    </row>
    <row r="498" spans="1:1" x14ac:dyDescent="0.25">
      <c r="A498" s="25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081, 19430615, 13.45, ////, 07, ////, 07</v>
      </c>
    </row>
    <row r="499" spans="1:1" x14ac:dyDescent="0.25">
      <c r="A499" s="25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081, 19430615, 19.45, ////, 07, ////, 07</v>
      </c>
    </row>
    <row r="500" spans="1:1" x14ac:dyDescent="0.25">
      <c r="A500" s="25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081, 19430616, 07.45, ////, 07, ////, 07</v>
      </c>
    </row>
    <row r="501" spans="1:1" x14ac:dyDescent="0.25">
      <c r="A501" s="25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081, 19430616, 13.45, ////, 07, ////, 07</v>
      </c>
    </row>
    <row r="502" spans="1:1" x14ac:dyDescent="0.25">
      <c r="A502" s="25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081, 19430616, 19.45, ////, 07, ////, 07</v>
      </c>
    </row>
    <row r="503" spans="1:1" x14ac:dyDescent="0.25">
      <c r="A503" s="25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081, 19430617, 07.45, ////, 07, ////, 07</v>
      </c>
    </row>
    <row r="504" spans="1:1" x14ac:dyDescent="0.25">
      <c r="A504" s="25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081, 19430617, 13.45, ////, 07, ////, 07</v>
      </c>
    </row>
    <row r="505" spans="1:1" x14ac:dyDescent="0.25">
      <c r="A505" s="25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081, 19430617, 19.45, ////, 07, ////, 07</v>
      </c>
    </row>
    <row r="506" spans="1:1" x14ac:dyDescent="0.25">
      <c r="A506" s="25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081, 19430618, 07.45, ////, 07, ////, 07</v>
      </c>
    </row>
    <row r="507" spans="1:1" x14ac:dyDescent="0.25">
      <c r="A507" s="25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081, 19430618, 13.45, ////, 07, ////, 07</v>
      </c>
    </row>
    <row r="508" spans="1:1" x14ac:dyDescent="0.25">
      <c r="A508" s="25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081, 19430618, 19.45, ////, 07, ////, 07</v>
      </c>
    </row>
    <row r="509" spans="1:1" x14ac:dyDescent="0.25">
      <c r="A509" s="25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081, 19430619, 07.45, ////, 07, ////, 07</v>
      </c>
    </row>
    <row r="510" spans="1:1" x14ac:dyDescent="0.25">
      <c r="A510" s="25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081, 19430619, 13.45, ////, 07, ////, 07</v>
      </c>
    </row>
    <row r="511" spans="1:1" x14ac:dyDescent="0.25">
      <c r="A511" s="25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081, 19430619, 19.45, ////, 07, ////, 07</v>
      </c>
    </row>
    <row r="512" spans="1:1" x14ac:dyDescent="0.25">
      <c r="A512" s="25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081, 19430620, 07.45, ////, 07, ////, 07</v>
      </c>
    </row>
    <row r="513" spans="1:1" x14ac:dyDescent="0.25">
      <c r="A513" s="25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081, 19430620, 13.45, ////, 07, ////, 07</v>
      </c>
    </row>
    <row r="514" spans="1:1" x14ac:dyDescent="0.25">
      <c r="A514" s="25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081, 19430620, 19.45, ////, 07, ////, 07</v>
      </c>
    </row>
    <row r="515" spans="1:1" x14ac:dyDescent="0.25">
      <c r="A515" s="25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081, 19430621, 07.45, ////, 07, ////, 07</v>
      </c>
    </row>
    <row r="516" spans="1:1" x14ac:dyDescent="0.25">
      <c r="A516" s="25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081, 19430621, 13.45, ////, 07, ////, 07</v>
      </c>
    </row>
    <row r="517" spans="1:1" x14ac:dyDescent="0.25">
      <c r="A517" s="25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081, 19430621, 19.45, ////, 07, ////, 07</v>
      </c>
    </row>
    <row r="518" spans="1:1" x14ac:dyDescent="0.25">
      <c r="A518" s="25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081, 19430622, 07.45, ////, 07, ////, 07</v>
      </c>
    </row>
    <row r="519" spans="1:1" x14ac:dyDescent="0.25">
      <c r="A519" s="25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081, 19430622, 13.45, ////, 07, ////, 07</v>
      </c>
    </row>
    <row r="520" spans="1:1" x14ac:dyDescent="0.25">
      <c r="A520" s="25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081, 19430622, 19.45, ////, 07, ////, 07</v>
      </c>
    </row>
    <row r="521" spans="1:1" x14ac:dyDescent="0.25">
      <c r="A521" s="25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081, 19430623, 07.45, ////, 07, ////, 07</v>
      </c>
    </row>
    <row r="522" spans="1:1" x14ac:dyDescent="0.25">
      <c r="A522" s="25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081, 19430623, 13.45, ////, 07, ////, 07</v>
      </c>
    </row>
    <row r="523" spans="1:1" x14ac:dyDescent="0.25">
      <c r="A523" s="25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081, 19430623, 19.45, ////, 07, ////, 07</v>
      </c>
    </row>
    <row r="524" spans="1:1" x14ac:dyDescent="0.25">
      <c r="A524" s="25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081, 19430624, 07.45, ////, 07, ////, 07</v>
      </c>
    </row>
    <row r="525" spans="1:1" x14ac:dyDescent="0.25">
      <c r="A525" s="25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081, 19430624, 13.45, ////, 07, ////, 07</v>
      </c>
    </row>
    <row r="526" spans="1:1" x14ac:dyDescent="0.25">
      <c r="A526" s="25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081, 19430624, 19.45, ////, 07, ////, 07</v>
      </c>
    </row>
    <row r="527" spans="1:1" x14ac:dyDescent="0.25">
      <c r="A527" s="25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081, 19430625, 07.45, ////, 07, ////, 07</v>
      </c>
    </row>
    <row r="528" spans="1:1" x14ac:dyDescent="0.25">
      <c r="A528" s="25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081, 19430625, 13.45, ////, 07, ////, 07</v>
      </c>
    </row>
    <row r="529" spans="1:1" x14ac:dyDescent="0.25">
      <c r="A529" s="25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081, 19430625, 19.45, ////, 07, ////, 07</v>
      </c>
    </row>
    <row r="530" spans="1:1" x14ac:dyDescent="0.25">
      <c r="A530" s="25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081, 19430626, 07.45, ////, 07, ////, 07</v>
      </c>
    </row>
    <row r="531" spans="1:1" x14ac:dyDescent="0.25">
      <c r="A531" s="25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081, 19430626, 13.45, ////, 07, ////, 07</v>
      </c>
    </row>
    <row r="532" spans="1:1" x14ac:dyDescent="0.25">
      <c r="A532" s="25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081, 19430626, 19.45, ////, 07, ////, 07</v>
      </c>
    </row>
    <row r="533" spans="1:1" x14ac:dyDescent="0.25">
      <c r="A533" s="25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081, 19430627, 07.45, ////, 07, ////, 07</v>
      </c>
    </row>
    <row r="534" spans="1:1" x14ac:dyDescent="0.25">
      <c r="A534" s="25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081, 19430627, 13.45, ////, 07, ////, 07</v>
      </c>
    </row>
    <row r="535" spans="1:1" x14ac:dyDescent="0.25">
      <c r="A535" s="25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081, 19430627, 19.45, ////, 07, ////, 07</v>
      </c>
    </row>
    <row r="536" spans="1:1" x14ac:dyDescent="0.25">
      <c r="A536" s="25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081, 19430628, 07.45, ////, 07, ////, 07</v>
      </c>
    </row>
    <row r="537" spans="1:1" x14ac:dyDescent="0.25">
      <c r="A537" s="25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081, 19430628, 13.45, ////, 07, ////, 07</v>
      </c>
    </row>
    <row r="538" spans="1:1" x14ac:dyDescent="0.25">
      <c r="A538" s="25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081, 19430628, 19.45, ////, 07, ////, 07</v>
      </c>
    </row>
    <row r="539" spans="1:1" x14ac:dyDescent="0.25">
      <c r="A539" s="25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081, 19430629, 07.45, ////, 07, ////, 07</v>
      </c>
    </row>
    <row r="540" spans="1:1" x14ac:dyDescent="0.25">
      <c r="A540" s="25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081, 19430629, 13.45, ////, 07, ////, 07</v>
      </c>
    </row>
    <row r="541" spans="1:1" x14ac:dyDescent="0.25">
      <c r="A541" s="25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081, 19430629, 19.45, ////, 07, ////, 07</v>
      </c>
    </row>
    <row r="542" spans="1:1" x14ac:dyDescent="0.25">
      <c r="A542" s="25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081, 19430630, 07.45, ////, 07, ////, 07</v>
      </c>
    </row>
    <row r="543" spans="1:1" x14ac:dyDescent="0.25">
      <c r="A543" s="25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081, 19430630, 13.45, ////, 07, ////, 07</v>
      </c>
    </row>
    <row r="544" spans="1:1" x14ac:dyDescent="0.25">
      <c r="A544" s="25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081, 19430630, 19.45, ////, 07, ////, 07</v>
      </c>
    </row>
    <row r="545" spans="1:1" x14ac:dyDescent="0.25">
      <c r="A545" s="25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081, 19430701, 07.45, ////, 07, ////, 07</v>
      </c>
    </row>
    <row r="546" spans="1:1" x14ac:dyDescent="0.25">
      <c r="A546" s="25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081, 19430701, 13.45, ////, 07, ////, 07</v>
      </c>
    </row>
    <row r="547" spans="1:1" x14ac:dyDescent="0.25">
      <c r="A547" s="25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081, 19430701, 19.45, ////, 07, ////, 07</v>
      </c>
    </row>
    <row r="548" spans="1:1" x14ac:dyDescent="0.25">
      <c r="A548" s="25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081, 19430702, 07.45, ////, 07, ////, 07</v>
      </c>
    </row>
    <row r="549" spans="1:1" x14ac:dyDescent="0.25">
      <c r="A549" s="25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081, 19430702, 13.45, ////, 07, ////, 07</v>
      </c>
    </row>
    <row r="550" spans="1:1" x14ac:dyDescent="0.25">
      <c r="A550" s="25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081, 19430702, 19.45, ////, 07, ////, 07</v>
      </c>
    </row>
    <row r="551" spans="1:1" x14ac:dyDescent="0.25">
      <c r="A551" s="25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081, 19430703, 07.45, ////, 07, ////, 07</v>
      </c>
    </row>
    <row r="552" spans="1:1" x14ac:dyDescent="0.25">
      <c r="A552" s="25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081, 19430703, 13.45, ////, 07, ////, 07</v>
      </c>
    </row>
    <row r="553" spans="1:1" x14ac:dyDescent="0.25">
      <c r="A553" s="25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081, 19430703, 19.45, ////, 07, ////, 07</v>
      </c>
    </row>
    <row r="554" spans="1:1" x14ac:dyDescent="0.25">
      <c r="A554" s="25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081, 19430704, 07.45, ////, 07, ////, 07</v>
      </c>
    </row>
    <row r="555" spans="1:1" x14ac:dyDescent="0.25">
      <c r="A555" s="25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081, 19430704, 13.45, ////, 07, ////, 07</v>
      </c>
    </row>
    <row r="556" spans="1:1" x14ac:dyDescent="0.25">
      <c r="A556" s="25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081, 19430704, 19.45, ////, 07, ////, 07</v>
      </c>
    </row>
    <row r="557" spans="1:1" x14ac:dyDescent="0.25">
      <c r="A557" s="25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081, 19430705, 07.45, ////, 07, ////, 07</v>
      </c>
    </row>
    <row r="558" spans="1:1" x14ac:dyDescent="0.25">
      <c r="A558" s="25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081, 19430705, 13.45, ////, 07, ////, 07</v>
      </c>
    </row>
    <row r="559" spans="1:1" x14ac:dyDescent="0.25">
      <c r="A559" s="25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081, 19430705, 19.45, ////, 07, ////, 07</v>
      </c>
    </row>
    <row r="560" spans="1:1" x14ac:dyDescent="0.25">
      <c r="A560" s="25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081, 19430706, 07.45, ////, 07, ////, 07</v>
      </c>
    </row>
    <row r="561" spans="1:1" x14ac:dyDescent="0.25">
      <c r="A561" s="25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081, 19430706, 13.45, ////, 07, ////, 07</v>
      </c>
    </row>
    <row r="562" spans="1:1" x14ac:dyDescent="0.25">
      <c r="A562" s="25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081, 19430706, 19.45, ////, 07, ////, 07</v>
      </c>
    </row>
    <row r="563" spans="1:1" x14ac:dyDescent="0.25">
      <c r="A563" s="25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081, 19430707, 07.45, ////, 07, ////, 07</v>
      </c>
    </row>
    <row r="564" spans="1:1" x14ac:dyDescent="0.25">
      <c r="A564" s="25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081, 19430707, 13.45, ////, 07, ////, 07</v>
      </c>
    </row>
    <row r="565" spans="1:1" x14ac:dyDescent="0.25">
      <c r="A565" s="25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081, 19430707, 19.45, ////, 07, ////, 07</v>
      </c>
    </row>
    <row r="566" spans="1:1" x14ac:dyDescent="0.25">
      <c r="A566" s="25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081, 19430708, 07.45, ////, 07, ////, 07</v>
      </c>
    </row>
    <row r="567" spans="1:1" x14ac:dyDescent="0.25">
      <c r="A567" s="25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081, 19430708, 13.45, ////, 07, ////, 07</v>
      </c>
    </row>
    <row r="568" spans="1:1" x14ac:dyDescent="0.25">
      <c r="A568" s="25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081, 19430708, 19.45, ////, 07, ////, 07</v>
      </c>
    </row>
    <row r="569" spans="1:1" x14ac:dyDescent="0.25">
      <c r="A569" s="25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081, 19430709, 07.45, ////, 07, ////, 07</v>
      </c>
    </row>
    <row r="570" spans="1:1" x14ac:dyDescent="0.25">
      <c r="A570" s="25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081, 19430709, 13.45, ////, 07, ////, 07</v>
      </c>
    </row>
    <row r="571" spans="1:1" x14ac:dyDescent="0.25">
      <c r="A571" s="25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081, 19430709, 19.45, ////, 07, ////, 07</v>
      </c>
    </row>
    <row r="572" spans="1:1" x14ac:dyDescent="0.25">
      <c r="A572" s="25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081, 19430710, 07.45, ////, 07, ////, 07</v>
      </c>
    </row>
    <row r="573" spans="1:1" x14ac:dyDescent="0.25">
      <c r="A573" s="25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081, 19430710, 13.45, ////, 07, ////, 07</v>
      </c>
    </row>
    <row r="574" spans="1:1" x14ac:dyDescent="0.25">
      <c r="A574" s="25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081, 19430710, 19.45, ////, 07, ////, 07</v>
      </c>
    </row>
    <row r="575" spans="1:1" x14ac:dyDescent="0.25">
      <c r="A575" s="25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081, 19430711, 07.45, ////, 07, ////, 07</v>
      </c>
    </row>
    <row r="576" spans="1:1" x14ac:dyDescent="0.25">
      <c r="A576" s="25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081, 19430711, 13.45, ////, 07, ////, 07</v>
      </c>
    </row>
    <row r="577" spans="1:1" x14ac:dyDescent="0.25">
      <c r="A577" s="25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081, 19430711, 19.45, ////, 07, ////, 07</v>
      </c>
    </row>
    <row r="578" spans="1:1" x14ac:dyDescent="0.25">
      <c r="A578" s="25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081, 19430712, 07.45, ////, 07, ////, 07</v>
      </c>
    </row>
    <row r="579" spans="1:1" x14ac:dyDescent="0.25">
      <c r="A579" s="25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081, 19430712, 13.45, ////, 07, ////, 07</v>
      </c>
    </row>
    <row r="580" spans="1:1" x14ac:dyDescent="0.25">
      <c r="A580" s="25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081, 19430712, 19.45, ////, 07, ////, 07</v>
      </c>
    </row>
    <row r="581" spans="1:1" x14ac:dyDescent="0.25">
      <c r="A581" s="25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081, 19430713, 07.45, ////, 07, ////, 07</v>
      </c>
    </row>
    <row r="582" spans="1:1" x14ac:dyDescent="0.25">
      <c r="A582" s="25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081, 19430713, 13.45, ////, 07, ////, 07</v>
      </c>
    </row>
    <row r="583" spans="1:1" x14ac:dyDescent="0.25">
      <c r="A583" s="25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081, 19430713, 19.45, ////, 07, ////, 07</v>
      </c>
    </row>
    <row r="584" spans="1:1" x14ac:dyDescent="0.25">
      <c r="A584" s="25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081, 19430714, 07.45, ////, 07, ////, 07</v>
      </c>
    </row>
    <row r="585" spans="1:1" x14ac:dyDescent="0.25">
      <c r="A585" s="25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081, 19430714, 13.45, ////, 07, ////, 07</v>
      </c>
    </row>
    <row r="586" spans="1:1" x14ac:dyDescent="0.25">
      <c r="A586" s="25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081, 19430714, 19.45, ////, 07, ////, 07</v>
      </c>
    </row>
    <row r="587" spans="1:1" x14ac:dyDescent="0.25">
      <c r="A587" s="25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081, 19430715, 07.45, ////, 07, ////, 07</v>
      </c>
    </row>
    <row r="588" spans="1:1" x14ac:dyDescent="0.25">
      <c r="A588" s="25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081, 19430715, 13.45, ////, 07, ////, 07</v>
      </c>
    </row>
    <row r="589" spans="1:1" x14ac:dyDescent="0.25">
      <c r="A589" s="25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081, 19430715, 19.45, ////, 07, ////, 07</v>
      </c>
    </row>
    <row r="590" spans="1:1" x14ac:dyDescent="0.25">
      <c r="A590" s="25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081, 19430716, 07.45, ////, 07, ////, 07</v>
      </c>
    </row>
    <row r="591" spans="1:1" x14ac:dyDescent="0.25">
      <c r="A591" s="25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081, 19430716, 13.45, ////, 07, ////, 07</v>
      </c>
    </row>
    <row r="592" spans="1:1" x14ac:dyDescent="0.25">
      <c r="A592" s="25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081, 19430716, 19.45, ////, 07, ////, 07</v>
      </c>
    </row>
    <row r="593" spans="1:1" x14ac:dyDescent="0.25">
      <c r="A593" s="25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081, 19430717, 07.45, ////, 07, ////, 07</v>
      </c>
    </row>
    <row r="594" spans="1:1" x14ac:dyDescent="0.25">
      <c r="A594" s="25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081, 19430717, 13.45, ////, 07, ////, 07</v>
      </c>
    </row>
    <row r="595" spans="1:1" x14ac:dyDescent="0.25">
      <c r="A595" s="25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081, 19430717, 19.45, ////, 07, ////, 07</v>
      </c>
    </row>
    <row r="596" spans="1:1" x14ac:dyDescent="0.25">
      <c r="A596" s="25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081, 19430718, 07.45, ////, 07, ////, 07</v>
      </c>
    </row>
    <row r="597" spans="1:1" x14ac:dyDescent="0.25">
      <c r="A597" s="25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081, 19430718, 13.45, ////, 07, ////, 07</v>
      </c>
    </row>
    <row r="598" spans="1:1" x14ac:dyDescent="0.25">
      <c r="A598" s="25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081, 19430718, 19.45, ////, 07, ////, 07</v>
      </c>
    </row>
    <row r="599" spans="1:1" x14ac:dyDescent="0.25">
      <c r="A599" s="25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081, 19430719, 07.45, ////, 07, ////, 07</v>
      </c>
    </row>
    <row r="600" spans="1:1" x14ac:dyDescent="0.25">
      <c r="A600" s="25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081, 19430719, 13.45, ////, 07, ////, 07</v>
      </c>
    </row>
    <row r="601" spans="1:1" x14ac:dyDescent="0.25">
      <c r="A601" s="25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081, 19430719, 19.45, ////, 07, ////, 07</v>
      </c>
    </row>
    <row r="602" spans="1:1" x14ac:dyDescent="0.25">
      <c r="A602" s="25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081, 19430720, 07.45, ////, 07, ////, 07</v>
      </c>
    </row>
    <row r="603" spans="1:1" x14ac:dyDescent="0.25">
      <c r="A603" s="25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081, 19430720, 13.45, ////, 07, ////, 07</v>
      </c>
    </row>
    <row r="604" spans="1:1" x14ac:dyDescent="0.25">
      <c r="A604" s="25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081, 19430720, 19.45, ////, 07, ////, 07</v>
      </c>
    </row>
    <row r="605" spans="1:1" x14ac:dyDescent="0.25">
      <c r="A605" s="25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081, 19430721, 07.45, ////, 07, ////, 07</v>
      </c>
    </row>
    <row r="606" spans="1:1" x14ac:dyDescent="0.25">
      <c r="A606" s="25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081, 19430721, 13.45, ////, 07, ////, 07</v>
      </c>
    </row>
    <row r="607" spans="1:1" x14ac:dyDescent="0.25">
      <c r="A607" s="25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081, 19430721, 19.45, ////, 07, ////, 07</v>
      </c>
    </row>
    <row r="608" spans="1:1" x14ac:dyDescent="0.25">
      <c r="A608" s="25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081, 19430722, 07.45, ////, 07, ////, 07</v>
      </c>
    </row>
    <row r="609" spans="1:1" x14ac:dyDescent="0.25">
      <c r="A609" s="25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081, 19430722, 13.45, ////, 07, ////, 07</v>
      </c>
    </row>
    <row r="610" spans="1:1" x14ac:dyDescent="0.25">
      <c r="A610" s="25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081, 19430722, 19.45, ////, 07, ////, 07</v>
      </c>
    </row>
    <row r="611" spans="1:1" x14ac:dyDescent="0.25">
      <c r="A611" s="25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081, 19430723, 07.45, ////, 07, ////, 07</v>
      </c>
    </row>
    <row r="612" spans="1:1" x14ac:dyDescent="0.25">
      <c r="A612" s="25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081, 19430723, 13.45, ////, 07, ////, 07</v>
      </c>
    </row>
    <row r="613" spans="1:1" x14ac:dyDescent="0.25">
      <c r="A613" s="25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081, 19430723, 19.45, ////, 07, ////, 07</v>
      </c>
    </row>
    <row r="614" spans="1:1" x14ac:dyDescent="0.25">
      <c r="A614" s="25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081, 19430724, 07.45, ////, 07, ////, 07</v>
      </c>
    </row>
    <row r="615" spans="1:1" x14ac:dyDescent="0.25">
      <c r="A615" s="25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081, 19430724, 13.45, ////, 07, ////, 07</v>
      </c>
    </row>
    <row r="616" spans="1:1" x14ac:dyDescent="0.25">
      <c r="A616" s="25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081, 19430724, 19.45, ////, 07, ////, 07</v>
      </c>
    </row>
    <row r="617" spans="1:1" x14ac:dyDescent="0.25">
      <c r="A617" s="25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081, 19430725, 07.45, ////, 07, ////, 07</v>
      </c>
    </row>
    <row r="618" spans="1:1" x14ac:dyDescent="0.25">
      <c r="A618" s="25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081, 19430725, 13.45, ////, 07, ////, 07</v>
      </c>
    </row>
    <row r="619" spans="1:1" x14ac:dyDescent="0.25">
      <c r="A619" s="25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081, 19430725, 19.45, ////, 07, ////, 07</v>
      </c>
    </row>
    <row r="620" spans="1:1" x14ac:dyDescent="0.25">
      <c r="A620" s="25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081, 19430726, 07.45, ////, 07, ////, 07</v>
      </c>
    </row>
    <row r="621" spans="1:1" x14ac:dyDescent="0.25">
      <c r="A621" s="25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081, 19430726, 13.45, ////, 07, ////, 07</v>
      </c>
    </row>
    <row r="622" spans="1:1" x14ac:dyDescent="0.25">
      <c r="A622" s="25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081, 19430726, 19.45, ////, 07, ////, 07</v>
      </c>
    </row>
    <row r="623" spans="1:1" x14ac:dyDescent="0.25">
      <c r="A623" s="25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081, 19430727, 07.45, ////, 07, ////, 07</v>
      </c>
    </row>
    <row r="624" spans="1:1" x14ac:dyDescent="0.25">
      <c r="A624" s="25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081, 19430727, 13.45, ////, 07, ////, 07</v>
      </c>
    </row>
    <row r="625" spans="1:1" x14ac:dyDescent="0.25">
      <c r="A625" s="25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081, 19430727, 19.45, ////, 07, ////, 07</v>
      </c>
    </row>
    <row r="626" spans="1:1" x14ac:dyDescent="0.25">
      <c r="A626" s="25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081, 19430728, 07.45, ////, 07, ////, 07</v>
      </c>
    </row>
    <row r="627" spans="1:1" x14ac:dyDescent="0.25">
      <c r="A627" s="25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081, 19430728, 13.45, ////, 07, ////, 07</v>
      </c>
    </row>
    <row r="628" spans="1:1" x14ac:dyDescent="0.25">
      <c r="A628" s="25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081, 19430728, 19.45, ////, 07, ////, 07</v>
      </c>
    </row>
    <row r="629" spans="1:1" x14ac:dyDescent="0.25">
      <c r="A629" s="25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081, 19430729, 07.45, ////, 07, ////, 07</v>
      </c>
    </row>
    <row r="630" spans="1:1" x14ac:dyDescent="0.25">
      <c r="A630" s="25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081, 19430729, 13.45, ////, 07, ////, 07</v>
      </c>
    </row>
    <row r="631" spans="1:1" x14ac:dyDescent="0.25">
      <c r="A631" s="25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081, 19430729, 19.45, ////, 07, ////, 07</v>
      </c>
    </row>
    <row r="632" spans="1:1" x14ac:dyDescent="0.25">
      <c r="A632" s="25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081, 19430730, 07.45, ////, 07, ////, 07</v>
      </c>
    </row>
    <row r="633" spans="1:1" x14ac:dyDescent="0.25">
      <c r="A633" s="25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081, 19430730, 13.45, ////, 07, ////, 07</v>
      </c>
    </row>
    <row r="634" spans="1:1" x14ac:dyDescent="0.25">
      <c r="A634" s="25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081, 19430730, 19.45, ////, 07, ////, 07</v>
      </c>
    </row>
    <row r="635" spans="1:1" x14ac:dyDescent="0.25">
      <c r="A635" s="25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081, 19430731, 07.45, ////, 07, ////, 07</v>
      </c>
    </row>
    <row r="636" spans="1:1" x14ac:dyDescent="0.25">
      <c r="A636" s="25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081, 19430731, 13.45, ////, 07, ////, 07</v>
      </c>
    </row>
    <row r="637" spans="1:1" x14ac:dyDescent="0.25">
      <c r="A637" s="25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081, 19430731, 19.45, ////, 07, ////, 07</v>
      </c>
    </row>
    <row r="638" spans="1:1" x14ac:dyDescent="0.25">
      <c r="A638" s="25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081, 19430801, 07.45, 7530, 00,  260, 00</v>
      </c>
    </row>
    <row r="639" spans="1:1" x14ac:dyDescent="0.25">
      <c r="A639" s="25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081, 19430801, 13.45, 7510, 00,  260, 00</v>
      </c>
    </row>
    <row r="640" spans="1:1" x14ac:dyDescent="0.25">
      <c r="A640" s="25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081, 19430801, 19.45, 7520, 00,  260, 00</v>
      </c>
    </row>
    <row r="641" spans="1:1" x14ac:dyDescent="0.25">
      <c r="A641" s="25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081, 19430802, 07.45, 7520, 00,  270, 00</v>
      </c>
    </row>
    <row r="642" spans="1:1" x14ac:dyDescent="0.25">
      <c r="A642" s="25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081, 19430802, 13.45, 7500, 00,  270, 00</v>
      </c>
    </row>
    <row r="643" spans="1:1" x14ac:dyDescent="0.25">
      <c r="A643" s="25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081, 19430802, 19.45, 7500, 00,  270, 00</v>
      </c>
    </row>
    <row r="644" spans="1:1" x14ac:dyDescent="0.25">
      <c r="A644" s="25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081, 19430803, 07.45, 7500, 00,  270, 00</v>
      </c>
    </row>
    <row r="645" spans="1:1" x14ac:dyDescent="0.25">
      <c r="A645" s="25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081, 19430803, 13.45, 7500, 00,  270, 00</v>
      </c>
    </row>
    <row r="646" spans="1:1" x14ac:dyDescent="0.25">
      <c r="A646" s="25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081, 19430803, 19.45, 7500, 00,  270, 00</v>
      </c>
    </row>
    <row r="647" spans="1:1" x14ac:dyDescent="0.25">
      <c r="A647" s="25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081, 19430804, 07.45, 7500, 00,  280, 00</v>
      </c>
    </row>
    <row r="648" spans="1:1" x14ac:dyDescent="0.25">
      <c r="A648" s="25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081, 19430804, 13.45, 7500, 00,  280, 00</v>
      </c>
    </row>
    <row r="649" spans="1:1" x14ac:dyDescent="0.25">
      <c r="A649" s="25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081, 19430804, 19.45, 7500, 00,  280, 00</v>
      </c>
    </row>
    <row r="650" spans="1:1" x14ac:dyDescent="0.25">
      <c r="A650" s="25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081, 19430805, 07.45, 7500, 00,  280, 00</v>
      </c>
    </row>
    <row r="651" spans="1:1" x14ac:dyDescent="0.25">
      <c r="A651" s="25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081, 19430805, 13.45, 7500, 00,  280, 00</v>
      </c>
    </row>
    <row r="652" spans="1:1" x14ac:dyDescent="0.25">
      <c r="A652" s="25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081, 19430805, 19.45, 7500, 00,  280, 00</v>
      </c>
    </row>
    <row r="653" spans="1:1" x14ac:dyDescent="0.25">
      <c r="A653" s="25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081, 19430806, 07.45, 7510, 00,  280, 00</v>
      </c>
    </row>
    <row r="654" spans="1:1" x14ac:dyDescent="0.25">
      <c r="A654" s="25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081, 19430806, 13.45, 7500, 00,  280, 00</v>
      </c>
    </row>
    <row r="655" spans="1:1" x14ac:dyDescent="0.25">
      <c r="A655" s="25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081, 19430806, 19.45, 7510, 00,  280, 00</v>
      </c>
    </row>
    <row r="656" spans="1:1" x14ac:dyDescent="0.25">
      <c r="A656" s="25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081, 19430807, 07.45, 7500, 00,  280, 00</v>
      </c>
    </row>
    <row r="657" spans="1:1" x14ac:dyDescent="0.25">
      <c r="A657" s="25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081, 19430807, 13.45, 7500, 00,  280, 00</v>
      </c>
    </row>
    <row r="658" spans="1:1" x14ac:dyDescent="0.25">
      <c r="A658" s="25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081, 19430807, 19.45, 7500, 00,  280, 00</v>
      </c>
    </row>
    <row r="659" spans="1:1" x14ac:dyDescent="0.25">
      <c r="A659" s="25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081, 19430808, 07.45, 7490, 00,  280, 00</v>
      </c>
    </row>
    <row r="660" spans="1:1" x14ac:dyDescent="0.25">
      <c r="A660" s="25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081, 19430808, 13.45, 7490, 00,  270, 00</v>
      </c>
    </row>
    <row r="661" spans="1:1" x14ac:dyDescent="0.25">
      <c r="A661" s="25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081, 19430808, 19.45, 7490, 00,  270, 00</v>
      </c>
    </row>
    <row r="662" spans="1:1" x14ac:dyDescent="0.25">
      <c r="A662" s="25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081, 19430809, 07.45, 7510, 00,  280, 00</v>
      </c>
    </row>
    <row r="663" spans="1:1" x14ac:dyDescent="0.25">
      <c r="A663" s="25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081, 19430809, 13.45, 7500, 00,  280, 00</v>
      </c>
    </row>
    <row r="664" spans="1:1" x14ac:dyDescent="0.25">
      <c r="A664" s="25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081, 19430809, 19.45, 7510, 00,  280, 00</v>
      </c>
    </row>
    <row r="665" spans="1:1" x14ac:dyDescent="0.25">
      <c r="A665" s="25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081, 19430810, 07.45, 7510, 00,  270, 00</v>
      </c>
    </row>
    <row r="666" spans="1:1" x14ac:dyDescent="0.25">
      <c r="A666" s="25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081, 19430810, 13.45, 7500, 00,  270, 00</v>
      </c>
    </row>
    <row r="667" spans="1:1" x14ac:dyDescent="0.25">
      <c r="A667" s="25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081, 19430810, 19.45, 7510, 00,  270, 00</v>
      </c>
    </row>
    <row r="668" spans="1:1" x14ac:dyDescent="0.25">
      <c r="A668" s="25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081, 19430811, 07.45, 7510, 00,  260, 00</v>
      </c>
    </row>
    <row r="669" spans="1:1" x14ac:dyDescent="0.25">
      <c r="A669" s="25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081, 19430811, 13.45, 7500, 00,  310, 00</v>
      </c>
    </row>
    <row r="670" spans="1:1" x14ac:dyDescent="0.25">
      <c r="A670" s="25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081, 19430811, 19.45, 7510, 00,  290, 00</v>
      </c>
    </row>
    <row r="671" spans="1:1" x14ac:dyDescent="0.25">
      <c r="A671" s="25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081, 19430812, 07.45, 7510, 00,  265, 00</v>
      </c>
    </row>
    <row r="672" spans="1:1" x14ac:dyDescent="0.25">
      <c r="A672" s="25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081, 19430812, 13.45, 7490, 00,  270, 00</v>
      </c>
    </row>
    <row r="673" spans="1:1" x14ac:dyDescent="0.25">
      <c r="A673" s="25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081, 19430812, 19.45, 7490, 00,  270, 00</v>
      </c>
    </row>
    <row r="674" spans="1:1" x14ac:dyDescent="0.25">
      <c r="A674" s="25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081, 19430813, 07.45, 7480, 00,  260, 00</v>
      </c>
    </row>
    <row r="675" spans="1:1" x14ac:dyDescent="0.25">
      <c r="A675" s="25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081, 19430813, 13.45, 7470, 00,  260, 00</v>
      </c>
    </row>
    <row r="676" spans="1:1" x14ac:dyDescent="0.25">
      <c r="A676" s="25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081, 19430813, 19.45, 7460, 00,  260, 00</v>
      </c>
    </row>
    <row r="677" spans="1:1" x14ac:dyDescent="0.25">
      <c r="A677" s="25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081, 19430814, 07.45, 7480, 00,  310, 00</v>
      </c>
    </row>
    <row r="678" spans="1:1" x14ac:dyDescent="0.25">
      <c r="A678" s="25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081, 19430814, 13.45, 7490, 00,  280, 00</v>
      </c>
    </row>
    <row r="679" spans="1:1" x14ac:dyDescent="0.25">
      <c r="A679" s="25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081, 19430814, 19.45, 7490, 00,  270, 00</v>
      </c>
    </row>
    <row r="680" spans="1:1" x14ac:dyDescent="0.25">
      <c r="A680" s="25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081, 19430815, 07.45, 7500, 00,  305, 00</v>
      </c>
    </row>
    <row r="681" spans="1:1" x14ac:dyDescent="0.25">
      <c r="A681" s="25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081, 19430815, 13.45, 7480, 00,  280, 00</v>
      </c>
    </row>
    <row r="682" spans="1:1" x14ac:dyDescent="0.25">
      <c r="A682" s="25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081, 19430815, 19.45, 7480, 00,  260, 00</v>
      </c>
    </row>
    <row r="683" spans="1:1" x14ac:dyDescent="0.25">
      <c r="A683" s="25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081, 19430816, 07.45, 7470, 00,  260, 00</v>
      </c>
    </row>
    <row r="684" spans="1:1" x14ac:dyDescent="0.25">
      <c r="A684" s="25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081, 19430816, 13.45, 7460, 00,  270, 00</v>
      </c>
    </row>
    <row r="685" spans="1:1" x14ac:dyDescent="0.25">
      <c r="A685" s="25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081, 19430816, 19.45, 7470, 00,  260, 00</v>
      </c>
    </row>
    <row r="686" spans="1:1" x14ac:dyDescent="0.25">
      <c r="A686" s="25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081, 19430817, 07.45, 7490, 00,  265, 00</v>
      </c>
    </row>
    <row r="687" spans="1:1" x14ac:dyDescent="0.25">
      <c r="A687" s="25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081, 19430817, 13.45, 7480, 00,  300, 00</v>
      </c>
    </row>
    <row r="688" spans="1:1" x14ac:dyDescent="0.25">
      <c r="A688" s="25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081, 19430817, 19.45, 7500, 00,  280, 00</v>
      </c>
    </row>
    <row r="689" spans="1:1" x14ac:dyDescent="0.25">
      <c r="A689" s="25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081, 19430818, 07.45, 7500, 00,  265, 00</v>
      </c>
    </row>
    <row r="690" spans="1:1" x14ac:dyDescent="0.25">
      <c r="A690" s="25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081, 19430818, 13.45, 7480, 00,  290, 00</v>
      </c>
    </row>
    <row r="691" spans="1:1" x14ac:dyDescent="0.25">
      <c r="A691" s="25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081, 19430818, 19.45, 7480, 00,  280, 00</v>
      </c>
    </row>
    <row r="692" spans="1:1" x14ac:dyDescent="0.25">
      <c r="A692" s="25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081, 19430819, 07.45, 7480, 00,  260, 00</v>
      </c>
    </row>
    <row r="693" spans="1:1" x14ac:dyDescent="0.25">
      <c r="A693" s="25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081, 19430819, 13.45, 7470, 00,  280, 00</v>
      </c>
    </row>
    <row r="694" spans="1:1" x14ac:dyDescent="0.25">
      <c r="A694" s="25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081, 19430819, 19.45, 7470, 00,  280, 00</v>
      </c>
    </row>
    <row r="695" spans="1:1" x14ac:dyDescent="0.25">
      <c r="A695" s="25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081, 19430820, 07.45, 7460, 00,  265, 00</v>
      </c>
    </row>
    <row r="696" spans="1:1" x14ac:dyDescent="0.25">
      <c r="A696" s="25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081, 19430820, 13.45, 7450, 00,  285, 00</v>
      </c>
    </row>
    <row r="697" spans="1:1" x14ac:dyDescent="0.25">
      <c r="A697" s="25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081, 19430820, 19.45, 7450, 00,  275, 00</v>
      </c>
    </row>
    <row r="698" spans="1:1" x14ac:dyDescent="0.25">
      <c r="A698" s="25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081, 19430821, 07.45, 7450, 00,  260, 00</v>
      </c>
    </row>
    <row r="699" spans="1:1" x14ac:dyDescent="0.25">
      <c r="A699" s="25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081, 19430821, 13.45, 7450, 00,  260, 00</v>
      </c>
    </row>
    <row r="700" spans="1:1" x14ac:dyDescent="0.25">
      <c r="A700" s="25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081, 19430821, 19.45, 7460, 00,  260, 00</v>
      </c>
    </row>
    <row r="701" spans="1:1" x14ac:dyDescent="0.25">
      <c r="A701" s="25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081, 19430822, 07.45, 7450, 00,  270, 00</v>
      </c>
    </row>
    <row r="702" spans="1:1" x14ac:dyDescent="0.25">
      <c r="A702" s="25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081, 19430822, 13.45, 7470, 00,  310, 00</v>
      </c>
    </row>
    <row r="703" spans="1:1" x14ac:dyDescent="0.25">
      <c r="A703" s="25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081, 19430822, 19.45, 7480, 00,  290, 00</v>
      </c>
    </row>
    <row r="704" spans="1:1" x14ac:dyDescent="0.25">
      <c r="A704" s="25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081, 19430823, 07.45, 7490, 00,  270, 00</v>
      </c>
    </row>
    <row r="705" spans="1:1" x14ac:dyDescent="0.25">
      <c r="A705" s="25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081, 19430823, 13.45, 7480, 00,  310, 00</v>
      </c>
    </row>
    <row r="706" spans="1:1" x14ac:dyDescent="0.25">
      <c r="A706" s="25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081, 19430823, 19.45, 7490, 00,  290, 00</v>
      </c>
    </row>
    <row r="707" spans="1:1" x14ac:dyDescent="0.25">
      <c r="A707" s="25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081, 19430824, 07.45, 7500, 00,  280, 00</v>
      </c>
    </row>
    <row r="708" spans="1:1" x14ac:dyDescent="0.25">
      <c r="A708" s="25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081, 19430824, 13.45, 7490, 00,  330, 00</v>
      </c>
    </row>
    <row r="709" spans="1:1" x14ac:dyDescent="0.25">
      <c r="A709" s="25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081, 19430824, 19.45, 7500, 00,  290, 00</v>
      </c>
    </row>
    <row r="710" spans="1:1" x14ac:dyDescent="0.25">
      <c r="A710" s="25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081, 19430825, 07.45, 7500, 00,  275, 00</v>
      </c>
    </row>
    <row r="711" spans="1:1" x14ac:dyDescent="0.25">
      <c r="A711" s="25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081, 19430825, 13.45, 7500, 00,  320, 00</v>
      </c>
    </row>
    <row r="712" spans="1:1" x14ac:dyDescent="0.25">
      <c r="A712" s="25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081, 19430825, 19.45, 7500, 00,  285, 00</v>
      </c>
    </row>
    <row r="713" spans="1:1" x14ac:dyDescent="0.25">
      <c r="A713" s="25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081, 19430826, 07.45, 7510, 00,  260, 00</v>
      </c>
    </row>
    <row r="714" spans="1:1" x14ac:dyDescent="0.25">
      <c r="A714" s="25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081, 19430826, 13.45, 7500, 00,  290, 00</v>
      </c>
    </row>
    <row r="715" spans="1:1" x14ac:dyDescent="0.25">
      <c r="A715" s="25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081, 19430826, 19.45, 7510, 00,  265, 00</v>
      </c>
    </row>
    <row r="716" spans="1:1" x14ac:dyDescent="0.25">
      <c r="A716" s="25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081, 19430827, 07.45, 7510, 00,  260, 00</v>
      </c>
    </row>
    <row r="717" spans="1:1" x14ac:dyDescent="0.25">
      <c r="A717" s="25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081, 19430827, 13.45, 7510, 00,  310, 00</v>
      </c>
    </row>
    <row r="718" spans="1:1" x14ac:dyDescent="0.25">
      <c r="A718" s="25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081, 19430827, 19.45, 7510, 00,  280, 00</v>
      </c>
    </row>
    <row r="719" spans="1:1" x14ac:dyDescent="0.25">
      <c r="A719" s="25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081, 19430828, 07.45, 7510, 00,  265, 00</v>
      </c>
    </row>
    <row r="720" spans="1:1" x14ac:dyDescent="0.25">
      <c r="A720" s="25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081, 19430828, 13.45, 7510, 00,  315, 00</v>
      </c>
    </row>
    <row r="721" spans="1:1" x14ac:dyDescent="0.25">
      <c r="A721" s="25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081, 19430828, 19.45, 7510, 00,  270, 00</v>
      </c>
    </row>
    <row r="722" spans="1:1" x14ac:dyDescent="0.25">
      <c r="A722" s="25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081, 19430829, 07.45, 7510, 00,  270, 00</v>
      </c>
    </row>
    <row r="723" spans="1:1" x14ac:dyDescent="0.25">
      <c r="A723" s="25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081, 19430829, 13.45, 7520, 00,  310, 00</v>
      </c>
    </row>
    <row r="724" spans="1:1" x14ac:dyDescent="0.25">
      <c r="A724" s="25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081, 19430829, 19.45, 7510, 00,  290, 00</v>
      </c>
    </row>
    <row r="725" spans="1:1" x14ac:dyDescent="0.25">
      <c r="A725" s="25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081, 19430830, 07.45, ////, 07,  265, 00</v>
      </c>
    </row>
    <row r="726" spans="1:1" x14ac:dyDescent="0.25">
      <c r="A726" s="25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081, 19430830, 13.45, ////, 07,  310, 00</v>
      </c>
    </row>
    <row r="727" spans="1:1" x14ac:dyDescent="0.25">
      <c r="A727" s="25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081, 19430830, 19.45, ////, 07,  295, 00</v>
      </c>
    </row>
    <row r="728" spans="1:1" x14ac:dyDescent="0.25">
      <c r="A728" s="25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081, 19430831, 07.45, ////, 07,  270, 00</v>
      </c>
    </row>
    <row r="729" spans="1:1" x14ac:dyDescent="0.25">
      <c r="A729" s="25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081, 19430831, 13.45, ////, 07,  315, 00</v>
      </c>
    </row>
    <row r="730" spans="1:1" x14ac:dyDescent="0.25">
      <c r="A730" s="25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081, 19430831, 19.45, ////, 07,  290, 00</v>
      </c>
    </row>
    <row r="731" spans="1:1" x14ac:dyDescent="0.25">
      <c r="A731" s="25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081, 19430901, 07.45, ////, 07, ////, 07</v>
      </c>
    </row>
    <row r="732" spans="1:1" x14ac:dyDescent="0.25">
      <c r="A732" s="25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//"""),"'","""")&amp;SUBSTITUTE(TEXT(IF(ISTEXT(Overig!F732),Overig!F732,10*Overig!F732),""",""????0;"",""???-0;"",""????0;"", ////"""),"'","""")&amp;SUBSTITUTE(TEXT(Overig!G732,""",""?00;"",""?-00;"",""?00;"", //"""),"'","""")</f>
        <v>081, 19430901, 13.45, ////, 07, ////, 07</v>
      </c>
    </row>
    <row r="733" spans="1:1" x14ac:dyDescent="0.25">
      <c r="A733" s="25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//"""),"'","""")&amp;SUBSTITUTE(TEXT(IF(ISTEXT(Overig!F733),Overig!F733,10*Overig!F733),""",""????0;"",""???-0;"",""????0;"", ////"""),"'","""")&amp;SUBSTITUTE(TEXT(Overig!G733,""",""?00;"",""?-00;"",""?00;"", //"""),"'","""")</f>
        <v>081, 19430901, 19.45, ////, 07, ////, 07</v>
      </c>
    </row>
    <row r="734" spans="1:1" x14ac:dyDescent="0.25">
      <c r="A734" s="25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//"""),"'","""")&amp;SUBSTITUTE(TEXT(IF(ISTEXT(Overig!F734),Overig!F734,10*Overig!F734),""",""????0;"",""???-0;"",""????0;"", ////"""),"'","""")&amp;SUBSTITUTE(TEXT(Overig!G734,""",""?00;"",""?-00;"",""?00;"", //"""),"'","""")</f>
        <v>081, 19430902, 07.45, ////, 07, ////, 07</v>
      </c>
    </row>
    <row r="735" spans="1:1" x14ac:dyDescent="0.25">
      <c r="A735" s="25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//"""),"'","""")&amp;SUBSTITUTE(TEXT(IF(ISTEXT(Overig!F735),Overig!F735,10*Overig!F735),""",""????0;"",""???-0;"",""????0;"", ////"""),"'","""")&amp;SUBSTITUTE(TEXT(Overig!G735,""",""?00;"",""?-00;"",""?00;"", //"""),"'","""")</f>
        <v>081, 19430902, 13.45, ////, 07, ////, 07</v>
      </c>
    </row>
    <row r="736" spans="1:1" x14ac:dyDescent="0.25">
      <c r="A736" s="25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//"""),"'","""")&amp;SUBSTITUTE(TEXT(IF(ISTEXT(Overig!F736),Overig!F736,10*Overig!F736),""",""????0;"",""???-0;"",""????0;"", ////"""),"'","""")&amp;SUBSTITUTE(TEXT(Overig!G736,""",""?00;"",""?-00;"",""?00;"", //"""),"'","""")</f>
        <v>081, 19430902, 19.45, ////, 07, ////, 07</v>
      </c>
    </row>
    <row r="737" spans="1:1" x14ac:dyDescent="0.25">
      <c r="A737" s="25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//"""),"'","""")&amp;SUBSTITUTE(TEXT(IF(ISTEXT(Overig!F737),Overig!F737,10*Overig!F737),""",""????0;"",""???-0;"",""????0;"", ////"""),"'","""")&amp;SUBSTITUTE(TEXT(Overig!G737,""",""?00;"",""?-00;"",""?00;"", //"""),"'","""")</f>
        <v>081, 19430903, 07.45, ////, 07, ////, 07</v>
      </c>
    </row>
    <row r="738" spans="1:1" x14ac:dyDescent="0.25">
      <c r="A738" s="25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//"""),"'","""")&amp;SUBSTITUTE(TEXT(IF(ISTEXT(Overig!F738),Overig!F738,10*Overig!F738),""",""????0;"",""???-0;"",""????0;"", ////"""),"'","""")&amp;SUBSTITUTE(TEXT(Overig!G738,""",""?00;"",""?-00;"",""?00;"", //"""),"'","""")</f>
        <v>081, 19430903, 13.45, ////, 07, ////, 07</v>
      </c>
    </row>
    <row r="739" spans="1:1" x14ac:dyDescent="0.25">
      <c r="A739" s="25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//"""),"'","""")&amp;SUBSTITUTE(TEXT(IF(ISTEXT(Overig!F739),Overig!F739,10*Overig!F739),""",""????0;"",""???-0;"",""????0;"", ////"""),"'","""")&amp;SUBSTITUTE(TEXT(Overig!G739,""",""?00;"",""?-00;"",""?00;"", //"""),"'","""")</f>
        <v>081, 19430903, 19.45, ////, 07, ////, 07</v>
      </c>
    </row>
    <row r="740" spans="1:1" x14ac:dyDescent="0.25">
      <c r="A740" s="25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//"""),"'","""")&amp;SUBSTITUTE(TEXT(IF(ISTEXT(Overig!F740),Overig!F740,10*Overig!F740),""",""????0;"",""???-0;"",""????0;"", ////"""),"'","""")&amp;SUBSTITUTE(TEXT(Overig!G740,""",""?00;"",""?-00;"",""?00;"", //"""),"'","""")</f>
        <v>081, 19430904, 07.45, ////, 07, ////, 07</v>
      </c>
    </row>
    <row r="741" spans="1:1" x14ac:dyDescent="0.25">
      <c r="A741" s="25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//"""),"'","""")&amp;SUBSTITUTE(TEXT(IF(ISTEXT(Overig!F741),Overig!F741,10*Overig!F741),""",""????0;"",""???-0;"",""????0;"", ////"""),"'","""")&amp;SUBSTITUTE(TEXT(Overig!G741,""",""?00;"",""?-00;"",""?00;"", //"""),"'","""")</f>
        <v>081, 19430904, 13.45, ////, 07, ////, 07</v>
      </c>
    </row>
    <row r="742" spans="1:1" x14ac:dyDescent="0.25">
      <c r="A742" s="25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//"""),"'","""")&amp;SUBSTITUTE(TEXT(IF(ISTEXT(Overig!F742),Overig!F742,10*Overig!F742),""",""????0;"",""???-0;"",""????0;"", ////"""),"'","""")&amp;SUBSTITUTE(TEXT(Overig!G742,""",""?00;"",""?-00;"",""?00;"", //"""),"'","""")</f>
        <v>081, 19430904, 19.45, ////, 07, ////, 07</v>
      </c>
    </row>
    <row r="743" spans="1:1" x14ac:dyDescent="0.25">
      <c r="A743" s="25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//"""),"'","""")&amp;SUBSTITUTE(TEXT(IF(ISTEXT(Overig!F743),Overig!F743,10*Overig!F743),""",""????0;"",""???-0;"",""????0;"", ////"""),"'","""")&amp;SUBSTITUTE(TEXT(Overig!G743,""",""?00;"",""?-00;"",""?00;"", //"""),"'","""")</f>
        <v>081, 19430905, 07.45, ////, 07, ////, 07</v>
      </c>
    </row>
    <row r="744" spans="1:1" x14ac:dyDescent="0.25">
      <c r="A744" s="25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//"""),"'","""")&amp;SUBSTITUTE(TEXT(IF(ISTEXT(Overig!F744),Overig!F744,10*Overig!F744),""",""????0;"",""???-0;"",""????0;"", ////"""),"'","""")&amp;SUBSTITUTE(TEXT(Overig!G744,""",""?00;"",""?-00;"",""?00;"", //"""),"'","""")</f>
        <v>081, 19430905, 13.45, ////, 07, ////, 07</v>
      </c>
    </row>
    <row r="745" spans="1:1" x14ac:dyDescent="0.25">
      <c r="A745" s="25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//"""),"'","""")&amp;SUBSTITUTE(TEXT(IF(ISTEXT(Overig!F745),Overig!F745,10*Overig!F745),""",""????0;"",""???-0;"",""????0;"", ////"""),"'","""")&amp;SUBSTITUTE(TEXT(Overig!G745,""",""?00;"",""?-00;"",""?00;"", //"""),"'","""")</f>
        <v>081, 19430905, 19.45, ////, 07, ////, 07</v>
      </c>
    </row>
    <row r="746" spans="1:1" x14ac:dyDescent="0.25">
      <c r="A746" s="25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//"""),"'","""")&amp;SUBSTITUTE(TEXT(IF(ISTEXT(Overig!F746),Overig!F746,10*Overig!F746),""",""????0;"",""???-0;"",""????0;"", ////"""),"'","""")&amp;SUBSTITUTE(TEXT(Overig!G746,""",""?00;"",""?-00;"",""?00;"", //"""),"'","""")</f>
        <v>081, 19430906, 07.45, ////, 07, ////, 07</v>
      </c>
    </row>
    <row r="747" spans="1:1" x14ac:dyDescent="0.25">
      <c r="A747" s="25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//"""),"'","""")&amp;SUBSTITUTE(TEXT(IF(ISTEXT(Overig!F747),Overig!F747,10*Overig!F747),""",""????0;"",""???-0;"",""????0;"", ////"""),"'","""")&amp;SUBSTITUTE(TEXT(Overig!G747,""",""?00;"",""?-00;"",""?00;"", //"""),"'","""")</f>
        <v>081, 19430906, 13.45, ////, 07, ////, 07</v>
      </c>
    </row>
    <row r="748" spans="1:1" x14ac:dyDescent="0.25">
      <c r="A748" s="25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//"""),"'","""")&amp;SUBSTITUTE(TEXT(IF(ISTEXT(Overig!F748),Overig!F748,10*Overig!F748),""",""????0;"",""???-0;"",""????0;"", ////"""),"'","""")&amp;SUBSTITUTE(TEXT(Overig!G748,""",""?00;"",""?-00;"",""?00;"", //"""),"'","""")</f>
        <v>081, 19430906, 19.45, ////, 07, ////, 07</v>
      </c>
    </row>
    <row r="749" spans="1:1" x14ac:dyDescent="0.25">
      <c r="A749" s="25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//"""),"'","""")&amp;SUBSTITUTE(TEXT(IF(ISTEXT(Overig!F749),Overig!F749,10*Overig!F749),""",""????0;"",""???-0;"",""????0;"", ////"""),"'","""")&amp;SUBSTITUTE(TEXT(Overig!G749,""",""?00;"",""?-00;"",""?00;"", //"""),"'","""")</f>
        <v>081, 19430907, 07.45, ////, 07, ////, 07</v>
      </c>
    </row>
    <row r="750" spans="1:1" x14ac:dyDescent="0.25">
      <c r="A750" s="25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//"""),"'","""")&amp;SUBSTITUTE(TEXT(IF(ISTEXT(Overig!F750),Overig!F750,10*Overig!F750),""",""????0;"",""???-0;"",""????0;"", ////"""),"'","""")&amp;SUBSTITUTE(TEXT(Overig!G750,""",""?00;"",""?-00;"",""?00;"", //"""),"'","""")</f>
        <v>081, 19430907, 13.45, ////, 07, ////, 07</v>
      </c>
    </row>
    <row r="751" spans="1:1" x14ac:dyDescent="0.25">
      <c r="A751" s="25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//"""),"'","""")&amp;SUBSTITUTE(TEXT(IF(ISTEXT(Overig!F751),Overig!F751,10*Overig!F751),""",""????0;"",""???-0;"",""????0;"", ////"""),"'","""")&amp;SUBSTITUTE(TEXT(Overig!G751,""",""?00;"",""?-00;"",""?00;"", //"""),"'","""")</f>
        <v>081, 19430907, 19.45, ////, 07, ////, 07</v>
      </c>
    </row>
    <row r="752" spans="1:1" x14ac:dyDescent="0.25">
      <c r="A752" s="25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//"""),"'","""")&amp;SUBSTITUTE(TEXT(IF(ISTEXT(Overig!F752),Overig!F752,10*Overig!F752),""",""????0;"",""???-0;"",""????0;"", ////"""),"'","""")&amp;SUBSTITUTE(TEXT(Overig!G752,""",""?00;"",""?-00;"",""?00;"", //"""),"'","""")</f>
        <v>081, 19430908, 07.45, ////, 07, ////, 07</v>
      </c>
    </row>
    <row r="753" spans="1:1" x14ac:dyDescent="0.25">
      <c r="A753" s="25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//"""),"'","""")&amp;SUBSTITUTE(TEXT(IF(ISTEXT(Overig!F753),Overig!F753,10*Overig!F753),""",""????0;"",""???-0;"",""????0;"", ////"""),"'","""")&amp;SUBSTITUTE(TEXT(Overig!G753,""",""?00;"",""?-00;"",""?00;"", //"""),"'","""")</f>
        <v>081, 19430908, 13.45, ////, 07, ////, 07</v>
      </c>
    </row>
    <row r="754" spans="1:1" x14ac:dyDescent="0.25">
      <c r="A754" s="25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//"""),"'","""")&amp;SUBSTITUTE(TEXT(IF(ISTEXT(Overig!F754),Overig!F754,10*Overig!F754),""",""????0;"",""???-0;"",""????0;"", ////"""),"'","""")&amp;SUBSTITUTE(TEXT(Overig!G754,""",""?00;"",""?-00;"",""?00;"", //"""),"'","""")</f>
        <v>081, 19430908, 19.45, ////, 07, ////, 07</v>
      </c>
    </row>
    <row r="755" spans="1:1" x14ac:dyDescent="0.25">
      <c r="A755" s="25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//"""),"'","""")&amp;SUBSTITUTE(TEXT(IF(ISTEXT(Overig!F755),Overig!F755,10*Overig!F755),""",""????0;"",""???-0;"",""????0;"", ////"""),"'","""")&amp;SUBSTITUTE(TEXT(Overig!G755,""",""?00;"",""?-00;"",""?00;"", //"""),"'","""")</f>
        <v>081, 19430909, 07.45, ////, 07, ////, 07</v>
      </c>
    </row>
    <row r="756" spans="1:1" x14ac:dyDescent="0.25">
      <c r="A756" s="25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//"""),"'","""")&amp;SUBSTITUTE(TEXT(IF(ISTEXT(Overig!F756),Overig!F756,10*Overig!F756),""",""????0;"",""???-0;"",""????0;"", ////"""),"'","""")&amp;SUBSTITUTE(TEXT(Overig!G756,""",""?00;"",""?-00;"",""?00;"", //"""),"'","""")</f>
        <v>081, 19430909, 13.45, ////, 07, ////, 07</v>
      </c>
    </row>
    <row r="757" spans="1:1" x14ac:dyDescent="0.25">
      <c r="A757" s="25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//"""),"'","""")&amp;SUBSTITUTE(TEXT(IF(ISTEXT(Overig!F757),Overig!F757,10*Overig!F757),""",""????0;"",""???-0;"",""????0;"", ////"""),"'","""")&amp;SUBSTITUTE(TEXT(Overig!G757,""",""?00;"",""?-00;"",""?00;"", //"""),"'","""")</f>
        <v>081, 19430909, 19.45, ////, 07, ////, 07</v>
      </c>
    </row>
    <row r="758" spans="1:1" x14ac:dyDescent="0.25">
      <c r="A758" s="25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//"""),"'","""")&amp;SUBSTITUTE(TEXT(IF(ISTEXT(Overig!F758),Overig!F758,10*Overig!F758),""",""????0;"",""???-0;"",""????0;"", ////"""),"'","""")&amp;SUBSTITUTE(TEXT(Overig!G758,""",""?00;"",""?-00;"",""?00;"", //"""),"'","""")</f>
        <v>081, 19430910, 07.45, ////, 07, ////, 07</v>
      </c>
    </row>
    <row r="759" spans="1:1" x14ac:dyDescent="0.25">
      <c r="A759" s="25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//"""),"'","""")&amp;SUBSTITUTE(TEXT(IF(ISTEXT(Overig!F759),Overig!F759,10*Overig!F759),""",""????0;"",""???-0;"",""????0;"", ////"""),"'","""")&amp;SUBSTITUTE(TEXT(Overig!G759,""",""?00;"",""?-00;"",""?00;"", //"""),"'","""")</f>
        <v>081, 19430910, 13.45, ////, 07, ////, 07</v>
      </c>
    </row>
    <row r="760" spans="1:1" x14ac:dyDescent="0.25">
      <c r="A760" s="25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//"""),"'","""")&amp;SUBSTITUTE(TEXT(IF(ISTEXT(Overig!F760),Overig!F760,10*Overig!F760),""",""????0;"",""???-0;"",""????0;"", ////"""),"'","""")&amp;SUBSTITUTE(TEXT(Overig!G760,""",""?00;"",""?-00;"",""?00;"", //"""),"'","""")</f>
        <v>081, 19430910, 19.45, ////, 07, ////, 07</v>
      </c>
    </row>
    <row r="761" spans="1:1" x14ac:dyDescent="0.25">
      <c r="A761" s="25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//"""),"'","""")&amp;SUBSTITUTE(TEXT(IF(ISTEXT(Overig!F761),Overig!F761,10*Overig!F761),""",""????0;"",""???-0;"",""????0;"", ////"""),"'","""")&amp;SUBSTITUTE(TEXT(Overig!G761,""",""?00;"",""?-00;"",""?00;"", //"""),"'","""")</f>
        <v>081, 19430911, 07.45, ////, 07, ////, 07</v>
      </c>
    </row>
    <row r="762" spans="1:1" x14ac:dyDescent="0.25">
      <c r="A762" s="25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//"""),"'","""")&amp;SUBSTITUTE(TEXT(IF(ISTEXT(Overig!F762),Overig!F762,10*Overig!F762),""",""????0;"",""???-0;"",""????0;"", ////"""),"'","""")&amp;SUBSTITUTE(TEXT(Overig!G762,""",""?00;"",""?-00;"",""?00;"", //"""),"'","""")</f>
        <v>081, 19430911, 13.45, ////, 07, ////, 07</v>
      </c>
    </row>
    <row r="763" spans="1:1" x14ac:dyDescent="0.25">
      <c r="A763" s="25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//"""),"'","""")&amp;SUBSTITUTE(TEXT(IF(ISTEXT(Overig!F763),Overig!F763,10*Overig!F763),""",""????0;"",""???-0;"",""????0;"", ////"""),"'","""")&amp;SUBSTITUTE(TEXT(Overig!G763,""",""?00;"",""?-00;"",""?00;"", //"""),"'","""")</f>
        <v>081, 19430911, 19.45, ////, 07, ////, 07</v>
      </c>
    </row>
    <row r="764" spans="1:1" x14ac:dyDescent="0.25">
      <c r="A764" s="25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//"""),"'","""")&amp;SUBSTITUTE(TEXT(IF(ISTEXT(Overig!F764),Overig!F764,10*Overig!F764),""",""????0;"",""???-0;"",""????0;"", ////"""),"'","""")&amp;SUBSTITUTE(TEXT(Overig!G764,""",""?00;"",""?-00;"",""?00;"", //"""),"'","""")</f>
        <v>081, 19430912, 07.45, ////, 07, ////, 07</v>
      </c>
    </row>
    <row r="765" spans="1:1" x14ac:dyDescent="0.25">
      <c r="A765" s="25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//"""),"'","""")&amp;SUBSTITUTE(TEXT(IF(ISTEXT(Overig!F765),Overig!F765,10*Overig!F765),""",""????0;"",""???-0;"",""????0;"", ////"""),"'","""")&amp;SUBSTITUTE(TEXT(Overig!G765,""",""?00;"",""?-00;"",""?00;"", //"""),"'","""")</f>
        <v>081, 19430912, 13.45, ////, 07, ////, 07</v>
      </c>
    </row>
    <row r="766" spans="1:1" x14ac:dyDescent="0.25">
      <c r="A766" s="25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//"""),"'","""")&amp;SUBSTITUTE(TEXT(IF(ISTEXT(Overig!F766),Overig!F766,10*Overig!F766),""",""????0;"",""???-0;"",""????0;"", ////"""),"'","""")&amp;SUBSTITUTE(TEXT(Overig!G766,""",""?00;"",""?-00;"",""?00;"", //"""),"'","""")</f>
        <v>081, 19430912, 19.45, ////, 07, ////, 07</v>
      </c>
    </row>
    <row r="767" spans="1:1" x14ac:dyDescent="0.25">
      <c r="A767" s="25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//"""),"'","""")&amp;SUBSTITUTE(TEXT(IF(ISTEXT(Overig!F767),Overig!F767,10*Overig!F767),""",""????0;"",""???-0;"",""????0;"", ////"""),"'","""")&amp;SUBSTITUTE(TEXT(Overig!G767,""",""?00;"",""?-00;"",""?00;"", //"""),"'","""")</f>
        <v>081, 19430913, 07.45, ////, 07, ////, 07</v>
      </c>
    </row>
    <row r="768" spans="1:1" x14ac:dyDescent="0.25">
      <c r="A768" s="25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//"""),"'","""")&amp;SUBSTITUTE(TEXT(IF(ISTEXT(Overig!F768),Overig!F768,10*Overig!F768),""",""????0;"",""???-0;"",""????0;"", ////"""),"'","""")&amp;SUBSTITUTE(TEXT(Overig!G768,""",""?00;"",""?-00;"",""?00;"", //"""),"'","""")</f>
        <v>081, 19430913, 13.45, ////, 07, ////, 07</v>
      </c>
    </row>
    <row r="769" spans="1:1" x14ac:dyDescent="0.25">
      <c r="A769" s="25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//"""),"'","""")&amp;SUBSTITUTE(TEXT(IF(ISTEXT(Overig!F769),Overig!F769,10*Overig!F769),""",""????0;"",""???-0;"",""????0;"", ////"""),"'","""")&amp;SUBSTITUTE(TEXT(Overig!G769,""",""?00;"",""?-00;"",""?00;"", //"""),"'","""")</f>
        <v>081, 19430913, 19.45, ////, 07, ////, 07</v>
      </c>
    </row>
    <row r="770" spans="1:1" x14ac:dyDescent="0.25">
      <c r="A770" s="25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//"""),"'","""")&amp;SUBSTITUTE(TEXT(IF(ISTEXT(Overig!F770),Overig!F770,10*Overig!F770),""",""????0;"",""???-0;"",""????0;"", ////"""),"'","""")&amp;SUBSTITUTE(TEXT(Overig!G770,""",""?00;"",""?-00;"",""?00;"", //"""),"'","""")</f>
        <v>081, 19430914, 07.45, ////, 07, ////, 07</v>
      </c>
    </row>
    <row r="771" spans="1:1" x14ac:dyDescent="0.25">
      <c r="A771" s="25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//"""),"'","""")&amp;SUBSTITUTE(TEXT(IF(ISTEXT(Overig!F771),Overig!F771,10*Overig!F771),""",""????0;"",""???-0;"",""????0;"", ////"""),"'","""")&amp;SUBSTITUTE(TEXT(Overig!G771,""",""?00;"",""?-00;"",""?00;"", //"""),"'","""")</f>
        <v>081, 19430914, 13.45, ////, 07, ////, 07</v>
      </c>
    </row>
    <row r="772" spans="1:1" x14ac:dyDescent="0.25">
      <c r="A772" s="25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//"""),"'","""")&amp;SUBSTITUTE(TEXT(IF(ISTEXT(Overig!F772),Overig!F772,10*Overig!F772),""",""????0;"",""???-0;"",""????0;"", ////"""),"'","""")&amp;SUBSTITUTE(TEXT(Overig!G772,""",""?00;"",""?-00;"",""?00;"", //"""),"'","""")</f>
        <v>081, 19430914, 19.45, ////, 07, ////, 07</v>
      </c>
    </row>
    <row r="773" spans="1:1" x14ac:dyDescent="0.25">
      <c r="A773" s="25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//"""),"'","""")&amp;SUBSTITUTE(TEXT(IF(ISTEXT(Overig!F773),Overig!F773,10*Overig!F773),""",""????0;"",""???-0;"",""????0;"", ////"""),"'","""")&amp;SUBSTITUTE(TEXT(Overig!G773,""",""?00;"",""?-00;"",""?00;"", //"""),"'","""")</f>
        <v>081, 19430915, 07.45, ////, 07, ////, 07</v>
      </c>
    </row>
    <row r="774" spans="1:1" x14ac:dyDescent="0.25">
      <c r="A774" s="25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//"""),"'","""")&amp;SUBSTITUTE(TEXT(IF(ISTEXT(Overig!F774),Overig!F774,10*Overig!F774),""",""????0;"",""???-0;"",""????0;"", ////"""),"'","""")&amp;SUBSTITUTE(TEXT(Overig!G774,""",""?00;"",""?-00;"",""?00;"", //"""),"'","""")</f>
        <v>081, 19430915, 13.45, ////, 07, ////, 07</v>
      </c>
    </row>
    <row r="775" spans="1:1" x14ac:dyDescent="0.25">
      <c r="A775" s="25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//"""),"'","""")&amp;SUBSTITUTE(TEXT(IF(ISTEXT(Overig!F775),Overig!F775,10*Overig!F775),""",""????0;"",""???-0;"",""????0;"", ////"""),"'","""")&amp;SUBSTITUTE(TEXT(Overig!G775,""",""?00;"",""?-00;"",""?00;"", //"""),"'","""")</f>
        <v>081, 19430915, 19.45, ////, 07, ////, 07</v>
      </c>
    </row>
    <row r="776" spans="1:1" x14ac:dyDescent="0.25">
      <c r="A776" s="25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//"""),"'","""")&amp;SUBSTITUTE(TEXT(IF(ISTEXT(Overig!F776),Overig!F776,10*Overig!F776),""",""????0;"",""???-0;"",""????0;"", ////"""),"'","""")&amp;SUBSTITUTE(TEXT(Overig!G776,""",""?00;"",""?-00;"",""?00;"", //"""),"'","""")</f>
        <v>081, 19430916, 07.45, ////, 07, ////, 07</v>
      </c>
    </row>
    <row r="777" spans="1:1" x14ac:dyDescent="0.25">
      <c r="A777" s="25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//"""),"'","""")&amp;SUBSTITUTE(TEXT(IF(ISTEXT(Overig!F777),Overig!F777,10*Overig!F777),""",""????0;"",""???-0;"",""????0;"", ////"""),"'","""")&amp;SUBSTITUTE(TEXT(Overig!G777,""",""?00;"",""?-00;"",""?00;"", //"""),"'","""")</f>
        <v>081, 19430916, 13.45, ////, 07, ////, 07</v>
      </c>
    </row>
    <row r="778" spans="1:1" x14ac:dyDescent="0.25">
      <c r="A778" s="25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//"""),"'","""")&amp;SUBSTITUTE(TEXT(IF(ISTEXT(Overig!F778),Overig!F778,10*Overig!F778),""",""????0;"",""???-0;"",""????0;"", ////"""),"'","""")&amp;SUBSTITUTE(TEXT(Overig!G778,""",""?00;"",""?-00;"",""?00;"", //"""),"'","""")</f>
        <v>081, 19430916, 19.45, ////, 07, ////, 07</v>
      </c>
    </row>
    <row r="779" spans="1:1" x14ac:dyDescent="0.25">
      <c r="A779" s="25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//"""),"'","""")&amp;SUBSTITUTE(TEXT(IF(ISTEXT(Overig!F779),Overig!F779,10*Overig!F779),""",""????0;"",""???-0;"",""????0;"", ////"""),"'","""")&amp;SUBSTITUTE(TEXT(Overig!G779,""",""?00;"",""?-00;"",""?00;"", //"""),"'","""")</f>
        <v>081, 19430917, 07.45, ////, 07, ////, 07</v>
      </c>
    </row>
    <row r="780" spans="1:1" x14ac:dyDescent="0.25">
      <c r="A780" s="25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//"""),"'","""")&amp;SUBSTITUTE(TEXT(IF(ISTEXT(Overig!F780),Overig!F780,10*Overig!F780),""",""????0;"",""???-0;"",""????0;"", ////"""),"'","""")&amp;SUBSTITUTE(TEXT(Overig!G780,""",""?00;"",""?-00;"",""?00;"", //"""),"'","""")</f>
        <v>081, 19430917, 13.45, ////, 07, ////, 07</v>
      </c>
    </row>
    <row r="781" spans="1:1" x14ac:dyDescent="0.25">
      <c r="A781" s="25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//"""),"'","""")&amp;SUBSTITUTE(TEXT(IF(ISTEXT(Overig!F781),Overig!F781,10*Overig!F781),""",""????0;"",""???-0;"",""????0;"", ////"""),"'","""")&amp;SUBSTITUTE(TEXT(Overig!G781,""",""?00;"",""?-00;"",""?00;"", //"""),"'","""")</f>
        <v>081, 19430917, 19.45, ////, 07, ////, 07</v>
      </c>
    </row>
    <row r="782" spans="1:1" x14ac:dyDescent="0.25">
      <c r="A782" s="25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//"""),"'","""")&amp;SUBSTITUTE(TEXT(IF(ISTEXT(Overig!F782),Overig!F782,10*Overig!F782),""",""????0;"",""???-0;"",""????0;"", ////"""),"'","""")&amp;SUBSTITUTE(TEXT(Overig!G782,""",""?00;"",""?-00;"",""?00;"", //"""),"'","""")</f>
        <v>081, 19430918, 07.45, ////, 07, ////, 07</v>
      </c>
    </row>
    <row r="783" spans="1:1" x14ac:dyDescent="0.25">
      <c r="A783" s="25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//"""),"'","""")&amp;SUBSTITUTE(TEXT(IF(ISTEXT(Overig!F783),Overig!F783,10*Overig!F783),""",""????0;"",""???-0;"",""????0;"", ////"""),"'","""")&amp;SUBSTITUTE(TEXT(Overig!G783,""",""?00;"",""?-00;"",""?00;"", //"""),"'","""")</f>
        <v>081, 19430918, 13.45, ////, 07, ////, 07</v>
      </c>
    </row>
    <row r="784" spans="1:1" x14ac:dyDescent="0.25">
      <c r="A784" s="25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//"""),"'","""")&amp;SUBSTITUTE(TEXT(IF(ISTEXT(Overig!F784),Overig!F784,10*Overig!F784),""",""????0;"",""???-0;"",""????0;"", ////"""),"'","""")&amp;SUBSTITUTE(TEXT(Overig!G784,""",""?00;"",""?-00;"",""?00;"", //"""),"'","""")</f>
        <v>081, 19430918, 19.45, ////, 07, ////, 07</v>
      </c>
    </row>
    <row r="785" spans="1:1" x14ac:dyDescent="0.25">
      <c r="A785" s="25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//"""),"'","""")&amp;SUBSTITUTE(TEXT(IF(ISTEXT(Overig!F785),Overig!F785,10*Overig!F785),""",""????0;"",""???-0;"",""????0;"", ////"""),"'","""")&amp;SUBSTITUTE(TEXT(Overig!G785,""",""?00;"",""?-00;"",""?00;"", //"""),"'","""")</f>
        <v>081, 19430919, 07.45, ////, 07, ////, 07</v>
      </c>
    </row>
    <row r="786" spans="1:1" x14ac:dyDescent="0.25">
      <c r="A786" s="25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//"""),"'","""")&amp;SUBSTITUTE(TEXT(IF(ISTEXT(Overig!F786),Overig!F786,10*Overig!F786),""",""????0;"",""???-0;"",""????0;"", ////"""),"'","""")&amp;SUBSTITUTE(TEXT(Overig!G786,""",""?00;"",""?-00;"",""?00;"", //"""),"'","""")</f>
        <v>081, 19430919, 13.45, ////, 07, ////, 07</v>
      </c>
    </row>
    <row r="787" spans="1:1" x14ac:dyDescent="0.25">
      <c r="A787" s="25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//"""),"'","""")&amp;SUBSTITUTE(TEXT(IF(ISTEXT(Overig!F787),Overig!F787,10*Overig!F787),""",""????0;"",""???-0;"",""????0;"", ////"""),"'","""")&amp;SUBSTITUTE(TEXT(Overig!G787,""",""?00;"",""?-00;"",""?00;"", //"""),"'","""")</f>
        <v>081, 19430919, 19.45, ////, 07, ////, 07</v>
      </c>
    </row>
    <row r="788" spans="1:1" x14ac:dyDescent="0.25">
      <c r="A788" s="25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//"""),"'","""")&amp;SUBSTITUTE(TEXT(IF(ISTEXT(Overig!F788),Overig!F788,10*Overig!F788),""",""????0;"",""???-0;"",""????0;"", ////"""),"'","""")&amp;SUBSTITUTE(TEXT(Overig!G788,""",""?00;"",""?-00;"",""?00;"", //"""),"'","""")</f>
        <v>081, 19430920, 07.45, ////, 07, ////, 07</v>
      </c>
    </row>
    <row r="789" spans="1:1" x14ac:dyDescent="0.25">
      <c r="A789" s="25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//"""),"'","""")&amp;SUBSTITUTE(TEXT(IF(ISTEXT(Overig!F789),Overig!F789,10*Overig!F789),""",""????0;"",""???-0;"",""????0;"", ////"""),"'","""")&amp;SUBSTITUTE(TEXT(Overig!G789,""",""?00;"",""?-00;"",""?00;"", //"""),"'","""")</f>
        <v>081, 19430920, 13.45, ////, 07, ////, 07</v>
      </c>
    </row>
    <row r="790" spans="1:1" x14ac:dyDescent="0.25">
      <c r="A790" s="25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//"""),"'","""")&amp;SUBSTITUTE(TEXT(IF(ISTEXT(Overig!F790),Overig!F790,10*Overig!F790),""",""????0;"",""???-0;"",""????0;"", ////"""),"'","""")&amp;SUBSTITUTE(TEXT(Overig!G790,""",""?00;"",""?-00;"",""?00;"", //"""),"'","""")</f>
        <v>081, 19430920, 19.45, ////, 07, ////, 07</v>
      </c>
    </row>
    <row r="791" spans="1:1" x14ac:dyDescent="0.25">
      <c r="A791" s="25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//"""),"'","""")&amp;SUBSTITUTE(TEXT(IF(ISTEXT(Overig!F791),Overig!F791,10*Overig!F791),""",""????0;"",""???-0;"",""????0;"", ////"""),"'","""")&amp;SUBSTITUTE(TEXT(Overig!G791,""",""?00;"",""?-00;"",""?00;"", //"""),"'","""")</f>
        <v>081, 19430921, 07.45, ////, 07, ////, 07</v>
      </c>
    </row>
    <row r="792" spans="1:1" x14ac:dyDescent="0.25">
      <c r="A792" s="25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//"""),"'","""")&amp;SUBSTITUTE(TEXT(IF(ISTEXT(Overig!F792),Overig!F792,10*Overig!F792),""",""????0;"",""???-0;"",""????0;"", ////"""),"'","""")&amp;SUBSTITUTE(TEXT(Overig!G792,""",""?00;"",""?-00;"",""?00;"", //"""),"'","""")</f>
        <v>081, 19430921, 13.45, ////, 07, ////, 07</v>
      </c>
    </row>
    <row r="793" spans="1:1" x14ac:dyDescent="0.25">
      <c r="A793" s="25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//"""),"'","""")&amp;SUBSTITUTE(TEXT(IF(ISTEXT(Overig!F793),Overig!F793,10*Overig!F793),""",""????0;"",""???-0;"",""????0;"", ////"""),"'","""")&amp;SUBSTITUTE(TEXT(Overig!G793,""",""?00;"",""?-00;"",""?00;"", //"""),"'","""")</f>
        <v>081, 19430921, 19.45, ////, 07, ////, 07</v>
      </c>
    </row>
    <row r="794" spans="1:1" x14ac:dyDescent="0.25">
      <c r="A794" s="25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//"""),"'","""")&amp;SUBSTITUTE(TEXT(IF(ISTEXT(Overig!F794),Overig!F794,10*Overig!F794),""",""????0;"",""???-0;"",""????0;"", ////"""),"'","""")&amp;SUBSTITUTE(TEXT(Overig!G794,""",""?00;"",""?-00;"",""?00;"", //"""),"'","""")</f>
        <v>081, 19430922, 07.45, ////, 07, ////, 07</v>
      </c>
    </row>
    <row r="795" spans="1:1" x14ac:dyDescent="0.25">
      <c r="A795" s="25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//"""),"'","""")&amp;SUBSTITUTE(TEXT(IF(ISTEXT(Overig!F795),Overig!F795,10*Overig!F795),""",""????0;"",""???-0;"",""????0;"", ////"""),"'","""")&amp;SUBSTITUTE(TEXT(Overig!G795,""",""?00;"",""?-00;"",""?00;"", //"""),"'","""")</f>
        <v>081, 19430922, 13.45, ////, 07, ////, 07</v>
      </c>
    </row>
    <row r="796" spans="1:1" x14ac:dyDescent="0.25">
      <c r="A796" s="25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//"""),"'","""")&amp;SUBSTITUTE(TEXT(IF(ISTEXT(Overig!F796),Overig!F796,10*Overig!F796),""",""????0;"",""???-0;"",""????0;"", ////"""),"'","""")&amp;SUBSTITUTE(TEXT(Overig!G796,""",""?00;"",""?-00;"",""?00;"", //"""),"'","""")</f>
        <v>081, 19430922, 19.45, ////, 07, ////, 07</v>
      </c>
    </row>
    <row r="797" spans="1:1" x14ac:dyDescent="0.25">
      <c r="A797" s="25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//"""),"'","""")&amp;SUBSTITUTE(TEXT(IF(ISTEXT(Overig!F797),Overig!F797,10*Overig!F797),""",""????0;"",""???-0;"",""????0;"", ////"""),"'","""")&amp;SUBSTITUTE(TEXT(Overig!G797,""",""?00;"",""?-00;"",""?00;"", //"""),"'","""")</f>
        <v>081, 19430923, 07.45, ////, 07, ////, 07</v>
      </c>
    </row>
    <row r="798" spans="1:1" x14ac:dyDescent="0.25">
      <c r="A798" s="25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//"""),"'","""")&amp;SUBSTITUTE(TEXT(IF(ISTEXT(Overig!F798),Overig!F798,10*Overig!F798),""",""????0;"",""???-0;"",""????0;"", ////"""),"'","""")&amp;SUBSTITUTE(TEXT(Overig!G798,""",""?00;"",""?-00;"",""?00;"", //"""),"'","""")</f>
        <v>081, 19430923, 13.45, ////, 07, ////, 07</v>
      </c>
    </row>
    <row r="799" spans="1:1" x14ac:dyDescent="0.25">
      <c r="A799" s="25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//"""),"'","""")&amp;SUBSTITUTE(TEXT(IF(ISTEXT(Overig!F799),Overig!F799,10*Overig!F799),""",""????0;"",""???-0;"",""????0;"", ////"""),"'","""")&amp;SUBSTITUTE(TEXT(Overig!G799,""",""?00;"",""?-00;"",""?00;"", //"""),"'","""")</f>
        <v>081, 19430923, 19.45, ////, 07, ////, 07</v>
      </c>
    </row>
    <row r="800" spans="1:1" x14ac:dyDescent="0.25">
      <c r="A800" s="25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//"""),"'","""")&amp;SUBSTITUTE(TEXT(IF(ISTEXT(Overig!F800),Overig!F800,10*Overig!F800),""",""????0;"",""???-0;"",""????0;"", ////"""),"'","""")&amp;SUBSTITUTE(TEXT(Overig!G800,""",""?00;"",""?-00;"",""?00;"", //"""),"'","""")</f>
        <v>081, 19430924, 07.45, ////, 07, ////, 07</v>
      </c>
    </row>
    <row r="801" spans="1:1" x14ac:dyDescent="0.25">
      <c r="A801" s="25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//"""),"'","""")&amp;SUBSTITUTE(TEXT(IF(ISTEXT(Overig!F801),Overig!F801,10*Overig!F801),""",""????0;"",""???-0;"",""????0;"", ////"""),"'","""")&amp;SUBSTITUTE(TEXT(Overig!G801,""",""?00;"",""?-00;"",""?00;"", //"""),"'","""")</f>
        <v>081, 19430924, 13.45, ////, 07, ////, 07</v>
      </c>
    </row>
    <row r="802" spans="1:1" x14ac:dyDescent="0.25">
      <c r="A802" s="25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//"""),"'","""")&amp;SUBSTITUTE(TEXT(IF(ISTEXT(Overig!F802),Overig!F802,10*Overig!F802),""",""????0;"",""???-0;"",""????0;"", ////"""),"'","""")&amp;SUBSTITUTE(TEXT(Overig!G802,""",""?00;"",""?-00;"",""?00;"", //"""),"'","""")</f>
        <v>081, 19430924, 19.45, ////, 07, ////, 07</v>
      </c>
    </row>
    <row r="803" spans="1:1" x14ac:dyDescent="0.25">
      <c r="A803" s="25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//"""),"'","""")&amp;SUBSTITUTE(TEXT(IF(ISTEXT(Overig!F803),Overig!F803,10*Overig!F803),""",""????0;"",""???-0;"",""????0;"", ////"""),"'","""")&amp;SUBSTITUTE(TEXT(Overig!G803,""",""?00;"",""?-00;"",""?00;"", //"""),"'","""")</f>
        <v>081, 19430925, 07.45, ////, 07, ////, 07</v>
      </c>
    </row>
    <row r="804" spans="1:1" x14ac:dyDescent="0.25">
      <c r="A804" s="25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//"""),"'","""")&amp;SUBSTITUTE(TEXT(IF(ISTEXT(Overig!F804),Overig!F804,10*Overig!F804),""",""????0;"",""???-0;"",""????0;"", ////"""),"'","""")&amp;SUBSTITUTE(TEXT(Overig!G804,""",""?00;"",""?-00;"",""?00;"", //"""),"'","""")</f>
        <v>081, 19430925, 13.45, ////, 07, ////, 07</v>
      </c>
    </row>
    <row r="805" spans="1:1" x14ac:dyDescent="0.25">
      <c r="A805" s="25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//"""),"'","""")&amp;SUBSTITUTE(TEXT(IF(ISTEXT(Overig!F805),Overig!F805,10*Overig!F805),""",""????0;"",""???-0;"",""????0;"", ////"""),"'","""")&amp;SUBSTITUTE(TEXT(Overig!G805,""",""?00;"",""?-00;"",""?00;"", //"""),"'","""")</f>
        <v>081, 19430925, 19.45, ////, 07, ////, 07</v>
      </c>
    </row>
    <row r="806" spans="1:1" x14ac:dyDescent="0.25">
      <c r="A806" s="25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//"""),"'","""")&amp;SUBSTITUTE(TEXT(IF(ISTEXT(Overig!F806),Overig!F806,10*Overig!F806),""",""????0;"",""???-0;"",""????0;"", ////"""),"'","""")&amp;SUBSTITUTE(TEXT(Overig!G806,""",""?00;"",""?-00;"",""?00;"", //"""),"'","""")</f>
        <v>081, 19430926, 07.45, ////, 07, ////, 07</v>
      </c>
    </row>
    <row r="807" spans="1:1" x14ac:dyDescent="0.25">
      <c r="A807" s="25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//"""),"'","""")&amp;SUBSTITUTE(TEXT(IF(ISTEXT(Overig!F807),Overig!F807,10*Overig!F807),""",""????0;"",""???-0;"",""????0;"", ////"""),"'","""")&amp;SUBSTITUTE(TEXT(Overig!G807,""",""?00;"",""?-00;"",""?00;"", //"""),"'","""")</f>
        <v>081, 19430926, 13.45, ////, 07, ////, 07</v>
      </c>
    </row>
    <row r="808" spans="1:1" x14ac:dyDescent="0.25">
      <c r="A808" s="25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//"""),"'","""")&amp;SUBSTITUTE(TEXT(IF(ISTEXT(Overig!F808),Overig!F808,10*Overig!F808),""",""????0;"",""???-0;"",""????0;"", ////"""),"'","""")&amp;SUBSTITUTE(TEXT(Overig!G808,""",""?00;"",""?-00;"",""?00;"", //"""),"'","""")</f>
        <v>081, 19430926, 19.45, ////, 07, ////, 07</v>
      </c>
    </row>
    <row r="809" spans="1:1" x14ac:dyDescent="0.25">
      <c r="A809" s="25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//"""),"'","""")&amp;SUBSTITUTE(TEXT(IF(ISTEXT(Overig!F809),Overig!F809,10*Overig!F809),""",""????0;"",""???-0;"",""????0;"", ////"""),"'","""")&amp;SUBSTITUTE(TEXT(Overig!G809,""",""?00;"",""?-00;"",""?00;"", //"""),"'","""")</f>
        <v>081, 19430927, 07.45, ////, 07, ////, 07</v>
      </c>
    </row>
    <row r="810" spans="1:1" x14ac:dyDescent="0.25">
      <c r="A810" s="25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//"""),"'","""")&amp;SUBSTITUTE(TEXT(IF(ISTEXT(Overig!F810),Overig!F810,10*Overig!F810),""",""????0;"",""???-0;"",""????0;"", ////"""),"'","""")&amp;SUBSTITUTE(TEXT(Overig!G810,""",""?00;"",""?-00;"",""?00;"", //"""),"'","""")</f>
        <v>081, 19430927, 13.45, ////, 07, ////, 07</v>
      </c>
    </row>
    <row r="811" spans="1:1" x14ac:dyDescent="0.25">
      <c r="A811" s="25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//"""),"'","""")&amp;SUBSTITUTE(TEXT(IF(ISTEXT(Overig!F811),Overig!F811,10*Overig!F811),""",""????0;"",""???-0;"",""????0;"", ////"""),"'","""")&amp;SUBSTITUTE(TEXT(Overig!G811,""",""?00;"",""?-00;"",""?00;"", //"""),"'","""")</f>
        <v>081, 19430927, 19.45, ////, 07, ////, 07</v>
      </c>
    </row>
    <row r="812" spans="1:1" x14ac:dyDescent="0.25">
      <c r="A812" s="25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//"""),"'","""")&amp;SUBSTITUTE(TEXT(IF(ISTEXT(Overig!F812),Overig!F812,10*Overig!F812),""",""????0;"",""???-0;"",""????0;"", ////"""),"'","""")&amp;SUBSTITUTE(TEXT(Overig!G812,""",""?00;"",""?-00;"",""?00;"", //"""),"'","""")</f>
        <v>081, 19430928, 07.45, ////, 07, ////, 07</v>
      </c>
    </row>
    <row r="813" spans="1:1" x14ac:dyDescent="0.25">
      <c r="A813" s="25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//"""),"'","""")&amp;SUBSTITUTE(TEXT(IF(ISTEXT(Overig!F813),Overig!F813,10*Overig!F813),""",""????0;"",""???-0;"",""????0;"", ////"""),"'","""")&amp;SUBSTITUTE(TEXT(Overig!G813,""",""?00;"",""?-00;"",""?00;"", //"""),"'","""")</f>
        <v>081, 19430928, 13.45, ////, 07, ////, 07</v>
      </c>
    </row>
    <row r="814" spans="1:1" x14ac:dyDescent="0.25">
      <c r="A814" s="25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//"""),"'","""")&amp;SUBSTITUTE(TEXT(IF(ISTEXT(Overig!F814),Overig!F814,10*Overig!F814),""",""????0;"",""???-0;"",""????0;"", ////"""),"'","""")&amp;SUBSTITUTE(TEXT(Overig!G814,""",""?00;"",""?-00;"",""?00;"", //"""),"'","""")</f>
        <v>081, 19430928, 19.45, ////, 07, ////, 07</v>
      </c>
    </row>
    <row r="815" spans="1:1" x14ac:dyDescent="0.25">
      <c r="A815" s="25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//"""),"'","""")&amp;SUBSTITUTE(TEXT(IF(ISTEXT(Overig!F815),Overig!F815,10*Overig!F815),""",""????0;"",""???-0;"",""????0;"", ////"""),"'","""")&amp;SUBSTITUTE(TEXT(Overig!G815,""",""?00;"",""?-00;"",""?00;"", //"""),"'","""")</f>
        <v>081, 19430929, 07.45, ////, 07, ////, 07</v>
      </c>
    </row>
    <row r="816" spans="1:1" x14ac:dyDescent="0.25">
      <c r="A816" s="25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//"""),"'","""")&amp;SUBSTITUTE(TEXT(IF(ISTEXT(Overig!F816),Overig!F816,10*Overig!F816),""",""????0;"",""???-0;"",""????0;"", ////"""),"'","""")&amp;SUBSTITUTE(TEXT(Overig!G816,""",""?00;"",""?-00;"",""?00;"", //"""),"'","""")</f>
        <v>081, 19430929, 13.45, ////, 07, ////, 07</v>
      </c>
    </row>
    <row r="817" spans="1:1" x14ac:dyDescent="0.25">
      <c r="A817" s="25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//"""),"'","""")&amp;SUBSTITUTE(TEXT(IF(ISTEXT(Overig!F817),Overig!F817,10*Overig!F817),""",""????0;"",""???-0;"",""????0;"", ////"""),"'","""")&amp;SUBSTITUTE(TEXT(Overig!G817,""",""?00;"",""?-00;"",""?00;"", //"""),"'","""")</f>
        <v>081, 19430929, 19.45, ////, 07, ////, 07</v>
      </c>
    </row>
    <row r="818" spans="1:1" x14ac:dyDescent="0.25">
      <c r="A818" s="25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//"""),"'","""")&amp;SUBSTITUTE(TEXT(IF(ISTEXT(Overig!F818),Overig!F818,10*Overig!F818),""",""????0;"",""???-0;"",""????0;"", ////"""),"'","""")&amp;SUBSTITUTE(TEXT(Overig!G818,""",""?00;"",""?-00;"",""?00;"", //"""),"'","""")</f>
        <v>081, 19430930, 07.45, ////, 07, ////, 07</v>
      </c>
    </row>
    <row r="819" spans="1:1" x14ac:dyDescent="0.25">
      <c r="A819" s="25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//"""),"'","""")&amp;SUBSTITUTE(TEXT(IF(ISTEXT(Overig!F819),Overig!F819,10*Overig!F819),""",""????0;"",""???-0;"",""????0;"", ////"""),"'","""")&amp;SUBSTITUTE(TEXT(Overig!G819,""",""?00;"",""?-00;"",""?00;"", //"""),"'","""")</f>
        <v>081, 19430930, 13.45, ////, 07, ////, 07</v>
      </c>
    </row>
    <row r="820" spans="1:1" x14ac:dyDescent="0.25">
      <c r="A820" s="25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//"""),"'","""")&amp;SUBSTITUTE(TEXT(IF(ISTEXT(Overig!F820),Overig!F820,10*Overig!F820),""",""????0;"",""???-0;"",""????0;"", ////"""),"'","""")&amp;SUBSTITUTE(TEXT(Overig!G820,""",""?00;"",""?-00;"",""?00;"", //"""),"'","""")</f>
        <v>081, 19430930, 19.45, ////, 07, ////, 07</v>
      </c>
    </row>
    <row r="821" spans="1:1" x14ac:dyDescent="0.25">
      <c r="A821" s="25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//"""),"'","""")&amp;SUBSTITUTE(TEXT(IF(ISTEXT(Overig!F821),Overig!F821,10*Overig!F821),""",""????0;"",""???-0;"",""????0;"", ////"""),"'","""")&amp;SUBSTITUTE(TEXT(Overig!G821,""",""?00;"",""?-00;"",""?00;"", //"""),"'","""")</f>
        <v>081, 19431001, 07.45, ////, 07, ////, 07</v>
      </c>
    </row>
    <row r="822" spans="1:1" x14ac:dyDescent="0.25">
      <c r="A822" s="25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//"""),"'","""")&amp;SUBSTITUTE(TEXT(IF(ISTEXT(Overig!F822),Overig!F822,10*Overig!F822),""",""????0;"",""???-0;"",""????0;"", ////"""),"'","""")&amp;SUBSTITUTE(TEXT(Overig!G822,""",""?00;"",""?-00;"",""?00;"", //"""),"'","""")</f>
        <v>081, 19431001, 13.45, ////, 07, ////, 07</v>
      </c>
    </row>
    <row r="823" spans="1:1" x14ac:dyDescent="0.25">
      <c r="A823" s="25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//"""),"'","""")&amp;SUBSTITUTE(TEXT(IF(ISTEXT(Overig!F823),Overig!F823,10*Overig!F823),""",""????0;"",""???-0;"",""????0;"", ////"""),"'","""")&amp;SUBSTITUTE(TEXT(Overig!G823,""",""?00;"",""?-00;"",""?00;"", //"""),"'","""")</f>
        <v>081, 19431001, 19.45, ////, 07, ////, 07</v>
      </c>
    </row>
    <row r="824" spans="1:1" x14ac:dyDescent="0.25">
      <c r="A824" s="25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//"""),"'","""")&amp;SUBSTITUTE(TEXT(IF(ISTEXT(Overig!F824),Overig!F824,10*Overig!F824),""",""????0;"",""???-0;"",""????0;"", ////"""),"'","""")&amp;SUBSTITUTE(TEXT(Overig!G824,""",""?00;"",""?-00;"",""?00;"", //"""),"'","""")</f>
        <v>081, 19431002, 07.45, ////, 07, ////, 07</v>
      </c>
    </row>
    <row r="825" spans="1:1" x14ac:dyDescent="0.25">
      <c r="A825" s="25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//"""),"'","""")&amp;SUBSTITUTE(TEXT(IF(ISTEXT(Overig!F825),Overig!F825,10*Overig!F825),""",""????0;"",""???-0;"",""????0;"", ////"""),"'","""")&amp;SUBSTITUTE(TEXT(Overig!G825,""",""?00;"",""?-00;"",""?00;"", //"""),"'","""")</f>
        <v>081, 19431002, 13.45, ////, 07, ////, 07</v>
      </c>
    </row>
    <row r="826" spans="1:1" x14ac:dyDescent="0.25">
      <c r="A826" s="25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//"""),"'","""")&amp;SUBSTITUTE(TEXT(IF(ISTEXT(Overig!F826),Overig!F826,10*Overig!F826),""",""????0;"",""???-0;"",""????0;"", ////"""),"'","""")&amp;SUBSTITUTE(TEXT(Overig!G826,""",""?00;"",""?-00;"",""?00;"", //"""),"'","""")</f>
        <v>081, 19431002, 19.45, ////, 07, ////, 07</v>
      </c>
    </row>
    <row r="827" spans="1:1" x14ac:dyDescent="0.25">
      <c r="A827" s="25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//"""),"'","""")&amp;SUBSTITUTE(TEXT(IF(ISTEXT(Overig!F827),Overig!F827,10*Overig!F827),""",""????0;"",""???-0;"",""????0;"", ////"""),"'","""")&amp;SUBSTITUTE(TEXT(Overig!G827,""",""?00;"",""?-00;"",""?00;"", //"""),"'","""")</f>
        <v>081, 19431003, 07.45, ////, 07, ////, 07</v>
      </c>
    </row>
    <row r="828" spans="1:1" x14ac:dyDescent="0.25">
      <c r="A828" s="25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//"""),"'","""")&amp;SUBSTITUTE(TEXT(IF(ISTEXT(Overig!F828),Overig!F828,10*Overig!F828),""",""????0;"",""???-0;"",""????0;"", ////"""),"'","""")&amp;SUBSTITUTE(TEXT(Overig!G828,""",""?00;"",""?-00;"",""?00;"", //"""),"'","""")</f>
        <v>081, 19431003, 13.45, ////, 07, ////, 07</v>
      </c>
    </row>
    <row r="829" spans="1:1" x14ac:dyDescent="0.25">
      <c r="A829" s="25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//"""),"'","""")&amp;SUBSTITUTE(TEXT(IF(ISTEXT(Overig!F829),Overig!F829,10*Overig!F829),""",""????0;"",""???-0;"",""????0;"", ////"""),"'","""")&amp;SUBSTITUTE(TEXT(Overig!G829,""",""?00;"",""?-00;"",""?00;"", //"""),"'","""")</f>
        <v>081, 19431003, 19.45, ////, 07, ////, 07</v>
      </c>
    </row>
    <row r="830" spans="1:1" x14ac:dyDescent="0.25">
      <c r="A830" s="25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//"""),"'","""")&amp;SUBSTITUTE(TEXT(IF(ISTEXT(Overig!F830),Overig!F830,10*Overig!F830),""",""????0;"",""???-0;"",""????0;"", ////"""),"'","""")&amp;SUBSTITUTE(TEXT(Overig!G830,""",""?00;"",""?-00;"",""?00;"", //"""),"'","""")</f>
        <v>081, 19431004, 07.45, ////, 07, ////, 07</v>
      </c>
    </row>
    <row r="831" spans="1:1" x14ac:dyDescent="0.25">
      <c r="A831" s="25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//"""),"'","""")&amp;SUBSTITUTE(TEXT(IF(ISTEXT(Overig!F831),Overig!F831,10*Overig!F831),""",""????0;"",""???-0;"",""????0;"", ////"""),"'","""")&amp;SUBSTITUTE(TEXT(Overig!G831,""",""?00;"",""?-00;"",""?00;"", //"""),"'","""")</f>
        <v>081, 19431004, 13.45, ////, 07, ////, 07</v>
      </c>
    </row>
    <row r="832" spans="1:1" x14ac:dyDescent="0.25">
      <c r="A832" s="25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//"""),"'","""")&amp;SUBSTITUTE(TEXT(IF(ISTEXT(Overig!F832),Overig!F832,10*Overig!F832),""",""????0;"",""???-0;"",""????0;"", ////"""),"'","""")&amp;SUBSTITUTE(TEXT(Overig!G832,""",""?00;"",""?-00;"",""?00;"", //"""),"'","""")</f>
        <v>081, 19431004, 19.45, ////, 07, ////, 07</v>
      </c>
    </row>
    <row r="833" spans="1:1" x14ac:dyDescent="0.25">
      <c r="A833" s="25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//"""),"'","""")&amp;SUBSTITUTE(TEXT(IF(ISTEXT(Overig!F833),Overig!F833,10*Overig!F833),""",""????0;"",""???-0;"",""????0;"", ////"""),"'","""")&amp;SUBSTITUTE(TEXT(Overig!G833,""",""?00;"",""?-00;"",""?00;"", //"""),"'","""")</f>
        <v>081, 19431005, 07.45, ////, 07, ////, 07</v>
      </c>
    </row>
    <row r="834" spans="1:1" x14ac:dyDescent="0.25">
      <c r="A834" s="25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//"""),"'","""")&amp;SUBSTITUTE(TEXT(IF(ISTEXT(Overig!F834),Overig!F834,10*Overig!F834),""",""????0;"",""???-0;"",""????0;"", ////"""),"'","""")&amp;SUBSTITUTE(TEXT(Overig!G834,""",""?00;"",""?-00;"",""?00;"", //"""),"'","""")</f>
        <v>081, 19431005, 13.45, ////, 07, ////, 07</v>
      </c>
    </row>
    <row r="835" spans="1:1" x14ac:dyDescent="0.25">
      <c r="A835" s="25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//"""),"'","""")&amp;SUBSTITUTE(TEXT(IF(ISTEXT(Overig!F835),Overig!F835,10*Overig!F835),""",""????0;"",""???-0;"",""????0;"", ////"""),"'","""")&amp;SUBSTITUTE(TEXT(Overig!G835,""",""?00;"",""?-00;"",""?00;"", //"""),"'","""")</f>
        <v>081, 19431005, 19.45, ////, 07, ////, 07</v>
      </c>
    </row>
    <row r="836" spans="1:1" x14ac:dyDescent="0.25">
      <c r="A836" s="25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//"""),"'","""")&amp;SUBSTITUTE(TEXT(IF(ISTEXT(Overig!F836),Overig!F836,10*Overig!F836),""",""????0;"",""???-0;"",""????0;"", ////"""),"'","""")&amp;SUBSTITUTE(TEXT(Overig!G836,""",""?00;"",""?-00;"",""?00;"", //"""),"'","""")</f>
        <v>081, 19431006, 07.45, ////, 07, ////, 07</v>
      </c>
    </row>
    <row r="837" spans="1:1" x14ac:dyDescent="0.25">
      <c r="A837" s="25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//"""),"'","""")&amp;SUBSTITUTE(TEXT(IF(ISTEXT(Overig!F837),Overig!F837,10*Overig!F837),""",""????0;"",""???-0;"",""????0;"", ////"""),"'","""")&amp;SUBSTITUTE(TEXT(Overig!G837,""",""?00;"",""?-00;"",""?00;"", //"""),"'","""")</f>
        <v>081, 19431006, 13.45, ////, 07, ////, 07</v>
      </c>
    </row>
    <row r="838" spans="1:1" x14ac:dyDescent="0.25">
      <c r="A838" s="25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//"""),"'","""")&amp;SUBSTITUTE(TEXT(IF(ISTEXT(Overig!F838),Overig!F838,10*Overig!F838),""",""????0;"",""???-0;"",""????0;"", ////"""),"'","""")&amp;SUBSTITUTE(TEXT(Overig!G838,""",""?00;"",""?-00;"",""?00;"", //"""),"'","""")</f>
        <v>081, 19431006, 19.45, ////, 07, ////, 07</v>
      </c>
    </row>
    <row r="839" spans="1:1" x14ac:dyDescent="0.25">
      <c r="A839" s="25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//"""),"'","""")&amp;SUBSTITUTE(TEXT(IF(ISTEXT(Overig!F839),Overig!F839,10*Overig!F839),""",""????0;"",""???-0;"",""????0;"", ////"""),"'","""")&amp;SUBSTITUTE(TEXT(Overig!G839,""",""?00;"",""?-00;"",""?00;"", //"""),"'","""")</f>
        <v>081, 19431007, 07.45, ////, 07, ////, 07</v>
      </c>
    </row>
    <row r="840" spans="1:1" x14ac:dyDescent="0.25">
      <c r="A840" s="25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//"""),"'","""")&amp;SUBSTITUTE(TEXT(IF(ISTEXT(Overig!F840),Overig!F840,10*Overig!F840),""",""????0;"",""???-0;"",""????0;"", ////"""),"'","""")&amp;SUBSTITUTE(TEXT(Overig!G840,""",""?00;"",""?-00;"",""?00;"", //"""),"'","""")</f>
        <v>081, 19431007, 13.45, ////, 07, ////, 07</v>
      </c>
    </row>
    <row r="841" spans="1:1" x14ac:dyDescent="0.25">
      <c r="A841" s="25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//"""),"'","""")&amp;SUBSTITUTE(TEXT(IF(ISTEXT(Overig!F841),Overig!F841,10*Overig!F841),""",""????0;"",""???-0;"",""????0;"", ////"""),"'","""")&amp;SUBSTITUTE(TEXT(Overig!G841,""",""?00;"",""?-00;"",""?00;"", //"""),"'","""")</f>
        <v>081, 19431007, 19.45, ////, 07, ////, 07</v>
      </c>
    </row>
    <row r="842" spans="1:1" x14ac:dyDescent="0.25">
      <c r="A842" s="25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//"""),"'","""")&amp;SUBSTITUTE(TEXT(IF(ISTEXT(Overig!F842),Overig!F842,10*Overig!F842),""",""????0;"",""???-0;"",""????0;"", ////"""),"'","""")&amp;SUBSTITUTE(TEXT(Overig!G842,""",""?00;"",""?-00;"",""?00;"", //"""),"'","""")</f>
        <v>081, 19431008, 07.45, ////, 07, ////, 07</v>
      </c>
    </row>
    <row r="843" spans="1:1" x14ac:dyDescent="0.25">
      <c r="A843" s="25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//"""),"'","""")&amp;SUBSTITUTE(TEXT(IF(ISTEXT(Overig!F843),Overig!F843,10*Overig!F843),""",""????0;"",""???-0;"",""????0;"", ////"""),"'","""")&amp;SUBSTITUTE(TEXT(Overig!G843,""",""?00;"",""?-00;"",""?00;"", //"""),"'","""")</f>
        <v>081, 19431008, 13.45, ////, 07, ////, 07</v>
      </c>
    </row>
    <row r="844" spans="1:1" x14ac:dyDescent="0.25">
      <c r="A844" s="25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//"""),"'","""")&amp;SUBSTITUTE(TEXT(IF(ISTEXT(Overig!F844),Overig!F844,10*Overig!F844),""",""????0;"",""???-0;"",""????0;"", ////"""),"'","""")&amp;SUBSTITUTE(TEXT(Overig!G844,""",""?00;"",""?-00;"",""?00;"", //"""),"'","""")</f>
        <v>081, 19431008, 19.45, ////, 07, ////, 07</v>
      </c>
    </row>
    <row r="845" spans="1:1" x14ac:dyDescent="0.25">
      <c r="A845" s="25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//"""),"'","""")&amp;SUBSTITUTE(TEXT(IF(ISTEXT(Overig!F845),Overig!F845,10*Overig!F845),""",""????0;"",""???-0;"",""????0;"", ////"""),"'","""")&amp;SUBSTITUTE(TEXT(Overig!G845,""",""?00;"",""?-00;"",""?00;"", //"""),"'","""")</f>
        <v>081, 19431009, 07.45, ////, 07, ////, 07</v>
      </c>
    </row>
    <row r="846" spans="1:1" x14ac:dyDescent="0.25">
      <c r="A846" s="25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//"""),"'","""")&amp;SUBSTITUTE(TEXT(IF(ISTEXT(Overig!F846),Overig!F846,10*Overig!F846),""",""????0;"",""???-0;"",""????0;"", ////"""),"'","""")&amp;SUBSTITUTE(TEXT(Overig!G846,""",""?00;"",""?-00;"",""?00;"", //"""),"'","""")</f>
        <v>081, 19431009, 13.45, ////, 07, ////, 07</v>
      </c>
    </row>
    <row r="847" spans="1:1" x14ac:dyDescent="0.25">
      <c r="A847" s="25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//"""),"'","""")&amp;SUBSTITUTE(TEXT(IF(ISTEXT(Overig!F847),Overig!F847,10*Overig!F847),""",""????0;"",""???-0;"",""????0;"", ////"""),"'","""")&amp;SUBSTITUTE(TEXT(Overig!G847,""",""?00;"",""?-00;"",""?00;"", //"""),"'","""")</f>
        <v>081, 19431009, 19.45, ////, 07, ////, 07</v>
      </c>
    </row>
    <row r="848" spans="1:1" x14ac:dyDescent="0.25">
      <c r="A848" s="25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//"""),"'","""")&amp;SUBSTITUTE(TEXT(IF(ISTEXT(Overig!F848),Overig!F848,10*Overig!F848),""",""????0;"",""???-0;"",""????0;"", ////"""),"'","""")&amp;SUBSTITUTE(TEXT(Overig!G848,""",""?00;"",""?-00;"",""?00;"", //"""),"'","""")</f>
        <v>081, 19431010, 07.45, ////, 07, ////, 07</v>
      </c>
    </row>
    <row r="849" spans="1:1" x14ac:dyDescent="0.25">
      <c r="A849" s="25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//"""),"'","""")&amp;SUBSTITUTE(TEXT(IF(ISTEXT(Overig!F849),Overig!F849,10*Overig!F849),""",""????0;"",""???-0;"",""????0;"", ////"""),"'","""")&amp;SUBSTITUTE(TEXT(Overig!G849,""",""?00;"",""?-00;"",""?00;"", //"""),"'","""")</f>
        <v>081, 19431010, 13.45, ////, 07, ////, 07</v>
      </c>
    </row>
    <row r="850" spans="1:1" x14ac:dyDescent="0.25">
      <c r="A850" s="25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//"""),"'","""")&amp;SUBSTITUTE(TEXT(IF(ISTEXT(Overig!F850),Overig!F850,10*Overig!F850),""",""????0;"",""???-0;"",""????0;"", ////"""),"'","""")&amp;SUBSTITUTE(TEXT(Overig!G850,""",""?00;"",""?-00;"",""?00;"", //"""),"'","""")</f>
        <v>081, 19431010, 19.45, ////, 07, ////, 07</v>
      </c>
    </row>
    <row r="851" spans="1:1" x14ac:dyDescent="0.25">
      <c r="A851" s="25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//"""),"'","""")&amp;SUBSTITUTE(TEXT(IF(ISTEXT(Overig!F851),Overig!F851,10*Overig!F851),""",""????0;"",""???-0;"",""????0;"", ////"""),"'","""")&amp;SUBSTITUTE(TEXT(Overig!G851,""",""?00;"",""?-00;"",""?00;"", //"""),"'","""")</f>
        <v>081, 19431011, 07.45, ////, 07, ////, 07</v>
      </c>
    </row>
    <row r="852" spans="1:1" x14ac:dyDescent="0.25">
      <c r="A852" s="25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//"""),"'","""")&amp;SUBSTITUTE(TEXT(IF(ISTEXT(Overig!F852),Overig!F852,10*Overig!F852),""",""????0;"",""???-0;"",""????0;"", ////"""),"'","""")&amp;SUBSTITUTE(TEXT(Overig!G852,""",""?00;"",""?-00;"",""?00;"", //"""),"'","""")</f>
        <v>081, 19431011, 13.45, ////, 07, ////, 07</v>
      </c>
    </row>
    <row r="853" spans="1:1" x14ac:dyDescent="0.25">
      <c r="A853" s="25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//"""),"'","""")&amp;SUBSTITUTE(TEXT(IF(ISTEXT(Overig!F853),Overig!F853,10*Overig!F853),""",""????0;"",""???-0;"",""????0;"", ////"""),"'","""")&amp;SUBSTITUTE(TEXT(Overig!G853,""",""?00;"",""?-00;"",""?00;"", //"""),"'","""")</f>
        <v>081, 19431011, 19.45, ////, 07, ////, 07</v>
      </c>
    </row>
    <row r="854" spans="1:1" x14ac:dyDescent="0.25">
      <c r="A854" s="25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//"""),"'","""")&amp;SUBSTITUTE(TEXT(IF(ISTEXT(Overig!F854),Overig!F854,10*Overig!F854),""",""????0;"",""???-0;"",""????0;"", ////"""),"'","""")&amp;SUBSTITUTE(TEXT(Overig!G854,""",""?00;"",""?-00;"",""?00;"", //"""),"'","""")</f>
        <v>081, 19431012, 07.45, ////, 07, ////, 07</v>
      </c>
    </row>
    <row r="855" spans="1:1" x14ac:dyDescent="0.25">
      <c r="A855" s="25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//"""),"'","""")&amp;SUBSTITUTE(TEXT(IF(ISTEXT(Overig!F855),Overig!F855,10*Overig!F855),""",""????0;"",""???-0;"",""????0;"", ////"""),"'","""")&amp;SUBSTITUTE(TEXT(Overig!G855,""",""?00;"",""?-00;"",""?00;"", //"""),"'","""")</f>
        <v>081, 19431012, 13.45, ////, 07, ////, 07</v>
      </c>
    </row>
    <row r="856" spans="1:1" x14ac:dyDescent="0.25">
      <c r="A856" s="25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//"""),"'","""")&amp;SUBSTITUTE(TEXT(IF(ISTEXT(Overig!F856),Overig!F856,10*Overig!F856),""",""????0;"",""???-0;"",""????0;"", ////"""),"'","""")&amp;SUBSTITUTE(TEXT(Overig!G856,""",""?00;"",""?-00;"",""?00;"", //"""),"'","""")</f>
        <v>081, 19431012, 19.45, ////, 07, ////, 07</v>
      </c>
    </row>
    <row r="857" spans="1:1" x14ac:dyDescent="0.25">
      <c r="A857" s="25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//"""),"'","""")&amp;SUBSTITUTE(TEXT(IF(ISTEXT(Overig!F857),Overig!F857,10*Overig!F857),""",""????0;"",""???-0;"",""????0;"", ////"""),"'","""")&amp;SUBSTITUTE(TEXT(Overig!G857,""",""?00;"",""?-00;"",""?00;"", //"""),"'","""")</f>
        <v>081, 19431013, 07.45, ////, 07, ////, 07</v>
      </c>
    </row>
    <row r="858" spans="1:1" x14ac:dyDescent="0.25">
      <c r="A858" s="25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//"""),"'","""")&amp;SUBSTITUTE(TEXT(IF(ISTEXT(Overig!F858),Overig!F858,10*Overig!F858),""",""????0;"",""???-0;"",""????0;"", ////"""),"'","""")&amp;SUBSTITUTE(TEXT(Overig!G858,""",""?00;"",""?-00;"",""?00;"", //"""),"'","""")</f>
        <v>081, 19431013, 13.45, ////, 07, ////, 07</v>
      </c>
    </row>
    <row r="859" spans="1:1" x14ac:dyDescent="0.25">
      <c r="A859" s="25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//"""),"'","""")&amp;SUBSTITUTE(TEXT(IF(ISTEXT(Overig!F859),Overig!F859,10*Overig!F859),""",""????0;"",""???-0;"",""????0;"", ////"""),"'","""")&amp;SUBSTITUTE(TEXT(Overig!G859,""",""?00;"",""?-00;"",""?00;"", //"""),"'","""")</f>
        <v>081, 19431013, 19.45, ////, 07, ////, 07</v>
      </c>
    </row>
    <row r="860" spans="1:1" x14ac:dyDescent="0.25">
      <c r="A860" s="25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//"""),"'","""")&amp;SUBSTITUTE(TEXT(IF(ISTEXT(Overig!F860),Overig!F860,10*Overig!F860),""",""????0;"",""???-0;"",""????0;"", ////"""),"'","""")&amp;SUBSTITUTE(TEXT(Overig!G860,""",""?00;"",""?-00;"",""?00;"", //"""),"'","""")</f>
        <v>081, 19431014, 07.45, ////, 07, ////, 07</v>
      </c>
    </row>
    <row r="861" spans="1:1" x14ac:dyDescent="0.25">
      <c r="A861" s="25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//"""),"'","""")&amp;SUBSTITUTE(TEXT(IF(ISTEXT(Overig!F861),Overig!F861,10*Overig!F861),""",""????0;"",""???-0;"",""????0;"", ////"""),"'","""")&amp;SUBSTITUTE(TEXT(Overig!G861,""",""?00;"",""?-00;"",""?00;"", //"""),"'","""")</f>
        <v>081, 19431014, 13.45, ////, 07, ////, 07</v>
      </c>
    </row>
    <row r="862" spans="1:1" x14ac:dyDescent="0.25">
      <c r="A862" s="25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//"""),"'","""")&amp;SUBSTITUTE(TEXT(IF(ISTEXT(Overig!F862),Overig!F862,10*Overig!F862),""",""????0;"",""???-0;"",""????0;"", ////"""),"'","""")&amp;SUBSTITUTE(TEXT(Overig!G862,""",""?00;"",""?-00;"",""?00;"", //"""),"'","""")</f>
        <v>081, 19431014, 19.45, ////, 07, ////, 07</v>
      </c>
    </row>
    <row r="863" spans="1:1" x14ac:dyDescent="0.25">
      <c r="A863" s="25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//"""),"'","""")&amp;SUBSTITUTE(TEXT(IF(ISTEXT(Overig!F863),Overig!F863,10*Overig!F863),""",""????0;"",""???-0;"",""????0;"", ////"""),"'","""")&amp;SUBSTITUTE(TEXT(Overig!G863,""",""?00;"",""?-00;"",""?00;"", //"""),"'","""")</f>
        <v>081, 19431015, 07.45, ////, 07, ////, 07</v>
      </c>
    </row>
    <row r="864" spans="1:1" x14ac:dyDescent="0.25">
      <c r="A864" s="25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//"""),"'","""")&amp;SUBSTITUTE(TEXT(IF(ISTEXT(Overig!F864),Overig!F864,10*Overig!F864),""",""????0;"",""???-0;"",""????0;"", ////"""),"'","""")&amp;SUBSTITUTE(TEXT(Overig!G864,""",""?00;"",""?-00;"",""?00;"", //"""),"'","""")</f>
        <v>081, 19431015, 13.45, ////, 07, ////, 07</v>
      </c>
    </row>
    <row r="865" spans="1:1" x14ac:dyDescent="0.25">
      <c r="A865" s="25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//"""),"'","""")&amp;SUBSTITUTE(TEXT(IF(ISTEXT(Overig!F865),Overig!F865,10*Overig!F865),""",""????0;"",""???-0;"",""????0;"", ////"""),"'","""")&amp;SUBSTITUTE(TEXT(Overig!G865,""",""?00;"",""?-00;"",""?00;"", //"""),"'","""")</f>
        <v>081, 19431015, 19.45, ////, 07, ////, 07</v>
      </c>
    </row>
    <row r="866" spans="1:1" x14ac:dyDescent="0.25">
      <c r="A866" s="25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//"""),"'","""")&amp;SUBSTITUTE(TEXT(IF(ISTEXT(Overig!F866),Overig!F866,10*Overig!F866),""",""????0;"",""???-0;"",""????0;"", ////"""),"'","""")&amp;SUBSTITUTE(TEXT(Overig!G866,""",""?00;"",""?-00;"",""?00;"", //"""),"'","""")</f>
        <v>081, 19431016, 07.45, ////, 07, ////, 07</v>
      </c>
    </row>
    <row r="867" spans="1:1" x14ac:dyDescent="0.25">
      <c r="A867" s="25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//"""),"'","""")&amp;SUBSTITUTE(TEXT(IF(ISTEXT(Overig!F867),Overig!F867,10*Overig!F867),""",""????0;"",""???-0;"",""????0;"", ////"""),"'","""")&amp;SUBSTITUTE(TEXT(Overig!G867,""",""?00;"",""?-00;"",""?00;"", //"""),"'","""")</f>
        <v>081, 19431016, 13.45, ////, 07, ////, 07</v>
      </c>
    </row>
    <row r="868" spans="1:1" x14ac:dyDescent="0.25">
      <c r="A868" s="25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//"""),"'","""")&amp;SUBSTITUTE(TEXT(IF(ISTEXT(Overig!F868),Overig!F868,10*Overig!F868),""",""????0;"",""???-0;"",""????0;"", ////"""),"'","""")&amp;SUBSTITUTE(TEXT(Overig!G868,""",""?00;"",""?-00;"",""?00;"", //"""),"'","""")</f>
        <v>081, 19431016, 19.45, ////, 07, ////, 07</v>
      </c>
    </row>
    <row r="869" spans="1:1" x14ac:dyDescent="0.25">
      <c r="A869" s="25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//"""),"'","""")&amp;SUBSTITUTE(TEXT(IF(ISTEXT(Overig!F869),Overig!F869,10*Overig!F869),""",""????0;"",""???-0;"",""????0;"", ////"""),"'","""")&amp;SUBSTITUTE(TEXT(Overig!G869,""",""?00;"",""?-00;"",""?00;"", //"""),"'","""")</f>
        <v>081, 19431017, 07.45, ////, 07, ////, 07</v>
      </c>
    </row>
    <row r="870" spans="1:1" x14ac:dyDescent="0.25">
      <c r="A870" s="25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//"""),"'","""")&amp;SUBSTITUTE(TEXT(IF(ISTEXT(Overig!F870),Overig!F870,10*Overig!F870),""",""????0;"",""???-0;"",""????0;"", ////"""),"'","""")&amp;SUBSTITUTE(TEXT(Overig!G870,""",""?00;"",""?-00;"",""?00;"", //"""),"'","""")</f>
        <v>081, 19431017, 13.45, ////, 07, ////, 07</v>
      </c>
    </row>
    <row r="871" spans="1:1" x14ac:dyDescent="0.25">
      <c r="A871" s="25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//"""),"'","""")&amp;SUBSTITUTE(TEXT(IF(ISTEXT(Overig!F871),Overig!F871,10*Overig!F871),""",""????0;"",""???-0;"",""????0;"", ////"""),"'","""")&amp;SUBSTITUTE(TEXT(Overig!G871,""",""?00;"",""?-00;"",""?00;"", //"""),"'","""")</f>
        <v>081, 19431017, 19.45, ////, 07, ////, 07</v>
      </c>
    </row>
    <row r="872" spans="1:1" x14ac:dyDescent="0.25">
      <c r="A872" s="25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//"""),"'","""")&amp;SUBSTITUTE(TEXT(IF(ISTEXT(Overig!F872),Overig!F872,10*Overig!F872),""",""????0;"",""???-0;"",""????0;"", ////"""),"'","""")&amp;SUBSTITUTE(TEXT(Overig!G872,""",""?00;"",""?-00;"",""?00;"", //"""),"'","""")</f>
        <v>081, 19431018, 07.45, ////, 07, ////, 07</v>
      </c>
    </row>
    <row r="873" spans="1:1" x14ac:dyDescent="0.25">
      <c r="A873" s="25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//"""),"'","""")&amp;SUBSTITUTE(TEXT(IF(ISTEXT(Overig!F873),Overig!F873,10*Overig!F873),""",""????0;"",""???-0;"",""????0;"", ////"""),"'","""")&amp;SUBSTITUTE(TEXT(Overig!G873,""",""?00;"",""?-00;"",""?00;"", //"""),"'","""")</f>
        <v>081, 19431018, 13.45, ////, 07, ////, 07</v>
      </c>
    </row>
    <row r="874" spans="1:1" x14ac:dyDescent="0.25">
      <c r="A874" s="25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//"""),"'","""")&amp;SUBSTITUTE(TEXT(IF(ISTEXT(Overig!F874),Overig!F874,10*Overig!F874),""",""????0;"",""???-0;"",""????0;"", ////"""),"'","""")&amp;SUBSTITUTE(TEXT(Overig!G874,""",""?00;"",""?-00;"",""?00;"", //"""),"'","""")</f>
        <v>081, 19431018, 19.45, ////, 07, ////, 07</v>
      </c>
    </row>
    <row r="875" spans="1:1" x14ac:dyDescent="0.25">
      <c r="A875" s="25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//"""),"'","""")&amp;SUBSTITUTE(TEXT(IF(ISTEXT(Overig!F875),Overig!F875,10*Overig!F875),""",""????0;"",""???-0;"",""????0;"", ////"""),"'","""")&amp;SUBSTITUTE(TEXT(Overig!G875,""",""?00;"",""?-00;"",""?00;"", //"""),"'","""")</f>
        <v>081, 19431019, 07.45, ////, 07, ////, 07</v>
      </c>
    </row>
    <row r="876" spans="1:1" x14ac:dyDescent="0.25">
      <c r="A876" s="25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//"""),"'","""")&amp;SUBSTITUTE(TEXT(IF(ISTEXT(Overig!F876),Overig!F876,10*Overig!F876),""",""????0;"",""???-0;"",""????0;"", ////"""),"'","""")&amp;SUBSTITUTE(TEXT(Overig!G876,""",""?00;"",""?-00;"",""?00;"", //"""),"'","""")</f>
        <v>081, 19431019, 13.45, ////, 07, ////, 07</v>
      </c>
    </row>
    <row r="877" spans="1:1" x14ac:dyDescent="0.25">
      <c r="A877" s="25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//"""),"'","""")&amp;SUBSTITUTE(TEXT(IF(ISTEXT(Overig!F877),Overig!F877,10*Overig!F877),""",""????0;"",""???-0;"",""????0;"", ////"""),"'","""")&amp;SUBSTITUTE(TEXT(Overig!G877,""",""?00;"",""?-00;"",""?00;"", //"""),"'","""")</f>
        <v>081, 19431019, 19.45, ////, 07, ////, 07</v>
      </c>
    </row>
    <row r="878" spans="1:1" x14ac:dyDescent="0.25">
      <c r="A878" s="25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//"""),"'","""")&amp;SUBSTITUTE(TEXT(IF(ISTEXT(Overig!F878),Overig!F878,10*Overig!F878),""",""????0;"",""???-0;"",""????0;"", ////"""),"'","""")&amp;SUBSTITUTE(TEXT(Overig!G878,""",""?00;"",""?-00;"",""?00;"", //"""),"'","""")</f>
        <v>081, 19431020, 07.45, ////, 07, ////, 07</v>
      </c>
    </row>
    <row r="879" spans="1:1" x14ac:dyDescent="0.25">
      <c r="A879" s="25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//"""),"'","""")&amp;SUBSTITUTE(TEXT(IF(ISTEXT(Overig!F879),Overig!F879,10*Overig!F879),""",""????0;"",""???-0;"",""????0;"", ////"""),"'","""")&amp;SUBSTITUTE(TEXT(Overig!G879,""",""?00;"",""?-00;"",""?00;"", //"""),"'","""")</f>
        <v>081, 19431020, 13.45, ////, 07, ////, 07</v>
      </c>
    </row>
    <row r="880" spans="1:1" x14ac:dyDescent="0.25">
      <c r="A880" s="25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//"""),"'","""")&amp;SUBSTITUTE(TEXT(IF(ISTEXT(Overig!F880),Overig!F880,10*Overig!F880),""",""????0;"",""???-0;"",""????0;"", ////"""),"'","""")&amp;SUBSTITUTE(TEXT(Overig!G880,""",""?00;"",""?-00;"",""?00;"", //"""),"'","""")</f>
        <v>081, 19431020, 19.45, ////, 07, ////, 07</v>
      </c>
    </row>
    <row r="881" spans="1:1" x14ac:dyDescent="0.25">
      <c r="A881" s="25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//"""),"'","""")&amp;SUBSTITUTE(TEXT(IF(ISTEXT(Overig!F881),Overig!F881,10*Overig!F881),""",""????0;"",""???-0;"",""????0;"", ////"""),"'","""")&amp;SUBSTITUTE(TEXT(Overig!G881,""",""?00;"",""?-00;"",""?00;"", //"""),"'","""")</f>
        <v>081, 19431021, 07.45, ////, 07, ////, 07</v>
      </c>
    </row>
    <row r="882" spans="1:1" x14ac:dyDescent="0.25">
      <c r="A882" s="25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//"""),"'","""")&amp;SUBSTITUTE(TEXT(IF(ISTEXT(Overig!F882),Overig!F882,10*Overig!F882),""",""????0;"",""???-0;"",""????0;"", ////"""),"'","""")&amp;SUBSTITUTE(TEXT(Overig!G882,""",""?00;"",""?-00;"",""?00;"", //"""),"'","""")</f>
        <v>081, 19431021, 13.45, ////, 07, ////, 07</v>
      </c>
    </row>
    <row r="883" spans="1:1" x14ac:dyDescent="0.25">
      <c r="A883" s="25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//"""),"'","""")&amp;SUBSTITUTE(TEXT(IF(ISTEXT(Overig!F883),Overig!F883,10*Overig!F883),""",""????0;"",""???-0;"",""????0;"", ////"""),"'","""")&amp;SUBSTITUTE(TEXT(Overig!G883,""",""?00;"",""?-00;"",""?00;"", //"""),"'","""")</f>
        <v>081, 19431021, 19.45, ////, 07, ////, 07</v>
      </c>
    </row>
    <row r="884" spans="1:1" x14ac:dyDescent="0.25">
      <c r="A884" s="25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//"""),"'","""")&amp;SUBSTITUTE(TEXT(IF(ISTEXT(Overig!F884),Overig!F884,10*Overig!F884),""",""????0;"",""???-0;"",""????0;"", ////"""),"'","""")&amp;SUBSTITUTE(TEXT(Overig!G884,""",""?00;"",""?-00;"",""?00;"", //"""),"'","""")</f>
        <v>081, 19431022, 07.45, ////, 07, ////, 07</v>
      </c>
    </row>
    <row r="885" spans="1:1" x14ac:dyDescent="0.25">
      <c r="A885" s="25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//"""),"'","""")&amp;SUBSTITUTE(TEXT(IF(ISTEXT(Overig!F885),Overig!F885,10*Overig!F885),""",""????0;"",""???-0;"",""????0;"", ////"""),"'","""")&amp;SUBSTITUTE(TEXT(Overig!G885,""",""?00;"",""?-00;"",""?00;"", //"""),"'","""")</f>
        <v>081, 19431022, 13.45, ////, 07, ////, 07</v>
      </c>
    </row>
    <row r="886" spans="1:1" x14ac:dyDescent="0.25">
      <c r="A886" s="25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//"""),"'","""")&amp;SUBSTITUTE(TEXT(IF(ISTEXT(Overig!F886),Overig!F886,10*Overig!F886),""",""????0;"",""???-0;"",""????0;"", ////"""),"'","""")&amp;SUBSTITUTE(TEXT(Overig!G886,""",""?00;"",""?-00;"",""?00;"", //"""),"'","""")</f>
        <v>081, 19431022, 19.45, ////, 07, ////, 07</v>
      </c>
    </row>
    <row r="887" spans="1:1" x14ac:dyDescent="0.25">
      <c r="A887" s="25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//"""),"'","""")&amp;SUBSTITUTE(TEXT(IF(ISTEXT(Overig!F887),Overig!F887,10*Overig!F887),""",""????0;"",""???-0;"",""????0;"", ////"""),"'","""")&amp;SUBSTITUTE(TEXT(Overig!G887,""",""?00;"",""?-00;"",""?00;"", //"""),"'","""")</f>
        <v>081, 19431023, 07.45, ////, 07, ////, 07</v>
      </c>
    </row>
    <row r="888" spans="1:1" x14ac:dyDescent="0.25">
      <c r="A888" s="25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//"""),"'","""")&amp;SUBSTITUTE(TEXT(IF(ISTEXT(Overig!F888),Overig!F888,10*Overig!F888),""",""????0;"",""???-0;"",""????0;"", ////"""),"'","""")&amp;SUBSTITUTE(TEXT(Overig!G888,""",""?00;"",""?-00;"",""?00;"", //"""),"'","""")</f>
        <v>081, 19431023, 13.45, ////, 07, ////, 07</v>
      </c>
    </row>
    <row r="889" spans="1:1" x14ac:dyDescent="0.25">
      <c r="A889" s="25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//"""),"'","""")&amp;SUBSTITUTE(TEXT(IF(ISTEXT(Overig!F889),Overig!F889,10*Overig!F889),""",""????0;"",""???-0;"",""????0;"", ////"""),"'","""")&amp;SUBSTITUTE(TEXT(Overig!G889,""",""?00;"",""?-00;"",""?00;"", //"""),"'","""")</f>
        <v>081, 19431023, 19.45, ////, 07, ////, 07</v>
      </c>
    </row>
    <row r="890" spans="1:1" x14ac:dyDescent="0.25">
      <c r="A890" s="25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//"""),"'","""")&amp;SUBSTITUTE(TEXT(IF(ISTEXT(Overig!F890),Overig!F890,10*Overig!F890),""",""????0;"",""???-0;"",""????0;"", ////"""),"'","""")&amp;SUBSTITUTE(TEXT(Overig!G890,""",""?00;"",""?-00;"",""?00;"", //"""),"'","""")</f>
        <v>081, 19431024, 07.45, ////, 07, ////, 07</v>
      </c>
    </row>
    <row r="891" spans="1:1" x14ac:dyDescent="0.25">
      <c r="A891" s="25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//"""),"'","""")&amp;SUBSTITUTE(TEXT(IF(ISTEXT(Overig!F891),Overig!F891,10*Overig!F891),""",""????0;"",""???-0;"",""????0;"", ////"""),"'","""")&amp;SUBSTITUTE(TEXT(Overig!G891,""",""?00;"",""?-00;"",""?00;"", //"""),"'","""")</f>
        <v>081, 19431024, 13.45, ////, 07, ////, 07</v>
      </c>
    </row>
    <row r="892" spans="1:1" x14ac:dyDescent="0.25">
      <c r="A892" s="25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//"""),"'","""")&amp;SUBSTITUTE(TEXT(IF(ISTEXT(Overig!F892),Overig!F892,10*Overig!F892),""",""????0;"",""???-0;"",""????0;"", ////"""),"'","""")&amp;SUBSTITUTE(TEXT(Overig!G892,""",""?00;"",""?-00;"",""?00;"", //"""),"'","""")</f>
        <v>081, 19431024, 19.45, ////, 07, ////, 07</v>
      </c>
    </row>
    <row r="893" spans="1:1" x14ac:dyDescent="0.25">
      <c r="A893" s="25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//"""),"'","""")&amp;SUBSTITUTE(TEXT(IF(ISTEXT(Overig!F893),Overig!F893,10*Overig!F893),""",""????0;"",""???-0;"",""????0;"", ////"""),"'","""")&amp;SUBSTITUTE(TEXT(Overig!G893,""",""?00;"",""?-00;"",""?00;"", //"""),"'","""")</f>
        <v>081, 19431025, 07.45, ////, 07, ////, 07</v>
      </c>
    </row>
    <row r="894" spans="1:1" x14ac:dyDescent="0.25">
      <c r="A894" s="25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//"""),"'","""")&amp;SUBSTITUTE(TEXT(IF(ISTEXT(Overig!F894),Overig!F894,10*Overig!F894),""",""????0;"",""???-0;"",""????0;"", ////"""),"'","""")&amp;SUBSTITUTE(TEXT(Overig!G894,""",""?00;"",""?-00;"",""?00;"", //"""),"'","""")</f>
        <v>081, 19431025, 13.45, ////, 07, ////, 07</v>
      </c>
    </row>
    <row r="895" spans="1:1" x14ac:dyDescent="0.25">
      <c r="A895" s="25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//"""),"'","""")&amp;SUBSTITUTE(TEXT(IF(ISTEXT(Overig!F895),Overig!F895,10*Overig!F895),""",""????0;"",""???-0;"",""????0;"", ////"""),"'","""")&amp;SUBSTITUTE(TEXT(Overig!G895,""",""?00;"",""?-00;"",""?00;"", //"""),"'","""")</f>
        <v>081, 19431025, 19.45, ////, 07, ////, 07</v>
      </c>
    </row>
    <row r="896" spans="1:1" x14ac:dyDescent="0.25">
      <c r="A896" s="25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//"""),"'","""")&amp;SUBSTITUTE(TEXT(IF(ISTEXT(Overig!F896),Overig!F896,10*Overig!F896),""",""????0;"",""???-0;"",""????0;"", ////"""),"'","""")&amp;SUBSTITUTE(TEXT(Overig!G896,""",""?00;"",""?-00;"",""?00;"", //"""),"'","""")</f>
        <v>081, 19431026, 07.45, ////, 07, ////, 07</v>
      </c>
    </row>
    <row r="897" spans="1:1" x14ac:dyDescent="0.25">
      <c r="A897" s="25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//"""),"'","""")&amp;SUBSTITUTE(TEXT(IF(ISTEXT(Overig!F897),Overig!F897,10*Overig!F897),""",""????0;"",""???-0;"",""????0;"", ////"""),"'","""")&amp;SUBSTITUTE(TEXT(Overig!G897,""",""?00;"",""?-00;"",""?00;"", //"""),"'","""")</f>
        <v>081, 19431026, 13.45, ////, 07, ////, 07</v>
      </c>
    </row>
    <row r="898" spans="1:1" x14ac:dyDescent="0.25">
      <c r="A898" s="25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//"""),"'","""")&amp;SUBSTITUTE(TEXT(IF(ISTEXT(Overig!F898),Overig!F898,10*Overig!F898),""",""????0;"",""???-0;"",""????0;"", ////"""),"'","""")&amp;SUBSTITUTE(TEXT(Overig!G898,""",""?00;"",""?-00;"",""?00;"", //"""),"'","""")</f>
        <v>081, 19431026, 19.45, ////, 07, ////, 07</v>
      </c>
    </row>
    <row r="899" spans="1:1" x14ac:dyDescent="0.25">
      <c r="A899" s="25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//"""),"'","""")&amp;SUBSTITUTE(TEXT(IF(ISTEXT(Overig!F899),Overig!F899,10*Overig!F899),""",""????0;"",""???-0;"",""????0;"", ////"""),"'","""")&amp;SUBSTITUTE(TEXT(Overig!G899,""",""?00;"",""?-00;"",""?00;"", //"""),"'","""")</f>
        <v>081, 19431027, 07.45, ////, 07, ////, 07</v>
      </c>
    </row>
    <row r="900" spans="1:1" x14ac:dyDescent="0.25">
      <c r="A900" s="25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//"""),"'","""")&amp;SUBSTITUTE(TEXT(IF(ISTEXT(Overig!F900),Overig!F900,10*Overig!F900),""",""????0;"",""???-0;"",""????0;"", ////"""),"'","""")&amp;SUBSTITUTE(TEXT(Overig!G900,""",""?00;"",""?-00;"",""?00;"", //"""),"'","""")</f>
        <v>081, 19431027, 13.45, ////, 07, ////, 07</v>
      </c>
    </row>
    <row r="901" spans="1:1" x14ac:dyDescent="0.25">
      <c r="A901" s="25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//"""),"'","""")&amp;SUBSTITUTE(TEXT(IF(ISTEXT(Overig!F901),Overig!F901,10*Overig!F901),""",""????0;"",""???-0;"",""????0;"", ////"""),"'","""")&amp;SUBSTITUTE(TEXT(Overig!G901,""",""?00;"",""?-00;"",""?00;"", //"""),"'","""")</f>
        <v>081, 19431027, 19.45, ////, 07, ////, 07</v>
      </c>
    </row>
    <row r="902" spans="1:1" x14ac:dyDescent="0.25">
      <c r="A902" s="25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//"""),"'","""")&amp;SUBSTITUTE(TEXT(IF(ISTEXT(Overig!F902),Overig!F902,10*Overig!F902),""",""????0;"",""???-0;"",""????0;"", ////"""),"'","""")&amp;SUBSTITUTE(TEXT(Overig!G902,""",""?00;"",""?-00;"",""?00;"", //"""),"'","""")</f>
        <v>081, 19431028, 07.45, ////, 07, ////, 07</v>
      </c>
    </row>
    <row r="903" spans="1:1" x14ac:dyDescent="0.25">
      <c r="A903" s="25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//"""),"'","""")&amp;SUBSTITUTE(TEXT(IF(ISTEXT(Overig!F903),Overig!F903,10*Overig!F903),""",""????0;"",""???-0;"",""????0;"", ////"""),"'","""")&amp;SUBSTITUTE(TEXT(Overig!G903,""",""?00;"",""?-00;"",""?00;"", //"""),"'","""")</f>
        <v>081, 19431028, 13.45, ////, 07, ////, 07</v>
      </c>
    </row>
    <row r="904" spans="1:1" x14ac:dyDescent="0.25">
      <c r="A904" s="25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//"""),"'","""")&amp;SUBSTITUTE(TEXT(IF(ISTEXT(Overig!F904),Overig!F904,10*Overig!F904),""",""????0;"",""???-0;"",""????0;"", ////"""),"'","""")&amp;SUBSTITUTE(TEXT(Overig!G904,""",""?00;"",""?-00;"",""?00;"", //"""),"'","""")</f>
        <v>081, 19431028, 19.45, ////, 07, ////, 07</v>
      </c>
    </row>
    <row r="905" spans="1:1" x14ac:dyDescent="0.25">
      <c r="A905" s="25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//"""),"'","""")&amp;SUBSTITUTE(TEXT(IF(ISTEXT(Overig!F905),Overig!F905,10*Overig!F905),""",""????0;"",""???-0;"",""????0;"", ////"""),"'","""")&amp;SUBSTITUTE(TEXT(Overig!G905,""",""?00;"",""?-00;"",""?00;"", //"""),"'","""")</f>
        <v>081, 19431029, 07.45, ////, 07, ////, 07</v>
      </c>
    </row>
    <row r="906" spans="1:1" x14ac:dyDescent="0.25">
      <c r="A906" s="25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//"""),"'","""")&amp;SUBSTITUTE(TEXT(IF(ISTEXT(Overig!F906),Overig!F906,10*Overig!F906),""",""????0;"",""???-0;"",""????0;"", ////"""),"'","""")&amp;SUBSTITUTE(TEXT(Overig!G906,""",""?00;"",""?-00;"",""?00;"", //"""),"'","""")</f>
        <v>081, 19431029, 13.45, ////, 07, ////, 07</v>
      </c>
    </row>
    <row r="907" spans="1:1" x14ac:dyDescent="0.25">
      <c r="A907" s="25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//"""),"'","""")&amp;SUBSTITUTE(TEXT(IF(ISTEXT(Overig!F907),Overig!F907,10*Overig!F907),""",""????0;"",""???-0;"",""????0;"", ////"""),"'","""")&amp;SUBSTITUTE(TEXT(Overig!G907,""",""?00;"",""?-00;"",""?00;"", //"""),"'","""")</f>
        <v>081, 19431029, 19.45, ////, 07, ////, 07</v>
      </c>
    </row>
    <row r="908" spans="1:1" x14ac:dyDescent="0.25">
      <c r="A908" s="25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//"""),"'","""")&amp;SUBSTITUTE(TEXT(IF(ISTEXT(Overig!F908),Overig!F908,10*Overig!F908),""",""????0;"",""???-0;"",""????0;"", ////"""),"'","""")&amp;SUBSTITUTE(TEXT(Overig!G908,""",""?00;"",""?-00;"",""?00;"", //"""),"'","""")</f>
        <v>081, 19431030, 07.45, ////, 07, ////, 07</v>
      </c>
    </row>
    <row r="909" spans="1:1" x14ac:dyDescent="0.25">
      <c r="A909" s="25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//"""),"'","""")&amp;SUBSTITUTE(TEXT(IF(ISTEXT(Overig!F909),Overig!F909,10*Overig!F909),""",""????0;"",""???-0;"",""????0;"", ////"""),"'","""")&amp;SUBSTITUTE(TEXT(Overig!G909,""",""?00;"",""?-00;"",""?00;"", //"""),"'","""")</f>
        <v>081, 19431030, 13.45, ////, 07, ////, 07</v>
      </c>
    </row>
    <row r="910" spans="1:1" x14ac:dyDescent="0.25">
      <c r="A910" s="25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//"""),"'","""")&amp;SUBSTITUTE(TEXT(IF(ISTEXT(Overig!F910),Overig!F910,10*Overig!F910),""",""????0;"",""???-0;"",""????0;"", ////"""),"'","""")&amp;SUBSTITUTE(TEXT(Overig!G910,""",""?00;"",""?-00;"",""?00;"", //"""),"'","""")</f>
        <v>081, 19431030, 19.45, ////, 07, ////, 07</v>
      </c>
    </row>
    <row r="911" spans="1:1" x14ac:dyDescent="0.25">
      <c r="A911" s="25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//"""),"'","""")&amp;SUBSTITUTE(TEXT(IF(ISTEXT(Overig!F911),Overig!F911,10*Overig!F911),""",""????0;"",""???-0;"",""????0;"", ////"""),"'","""")&amp;SUBSTITUTE(TEXT(Overig!G911,""",""?00;"",""?-00;"",""?00;"", //"""),"'","""")</f>
        <v>081, 19431031, 07.45, ////, 07, ////, 07</v>
      </c>
    </row>
    <row r="912" spans="1:1" x14ac:dyDescent="0.25">
      <c r="A912" s="25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//"""),"'","""")&amp;SUBSTITUTE(TEXT(IF(ISTEXT(Overig!F912),Overig!F912,10*Overig!F912),""",""????0;"",""???-0;"",""????0;"", ////"""),"'","""")&amp;SUBSTITUTE(TEXT(Overig!G912,""",""?00;"",""?-00;"",""?00;"", //"""),"'","""")</f>
        <v>081, 19431031, 13.45, ////, 07, ////, 07</v>
      </c>
    </row>
    <row r="913" spans="1:1" x14ac:dyDescent="0.25">
      <c r="A913" s="25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//"""),"'","""")&amp;SUBSTITUTE(TEXT(IF(ISTEXT(Overig!F913),Overig!F913,10*Overig!F913),""",""????0;"",""???-0;"",""????0;"", ////"""),"'","""")&amp;SUBSTITUTE(TEXT(Overig!G913,""",""?00;"",""?-00;"",""?00;"", //"""),"'","""")</f>
        <v>081, 19431031, 19.45, ////, 07, ////, 07</v>
      </c>
    </row>
    <row r="914" spans="1:1" x14ac:dyDescent="0.25">
      <c r="A914" s="25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//"""),"'","""")&amp;SUBSTITUTE(TEXT(IF(ISTEXT(Overig!F914),Overig!F914,10*Overig!F914),""",""????0;"",""???-0;"",""????0;"", ////"""),"'","""")&amp;SUBSTITUTE(TEXT(Overig!G914,""",""?00;"",""?-00;"",""?00;"", //"""),"'","""")</f>
        <v>081, 19431101, 07.45, ////, 07, ////, 07</v>
      </c>
    </row>
    <row r="915" spans="1:1" x14ac:dyDescent="0.25">
      <c r="A915" s="25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//"""),"'","""")&amp;SUBSTITUTE(TEXT(IF(ISTEXT(Overig!F915),Overig!F915,10*Overig!F915),""",""????0;"",""???-0;"",""????0;"", ////"""),"'","""")&amp;SUBSTITUTE(TEXT(Overig!G915,""",""?00;"",""?-00;"",""?00;"", //"""),"'","""")</f>
        <v>081, 19431101, 13.45, ////, 07, ////, 07</v>
      </c>
    </row>
    <row r="916" spans="1:1" x14ac:dyDescent="0.25">
      <c r="A916" s="25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//"""),"'","""")&amp;SUBSTITUTE(TEXT(IF(ISTEXT(Overig!F916),Overig!F916,10*Overig!F916),""",""????0;"",""???-0;"",""????0;"", ////"""),"'","""")&amp;SUBSTITUTE(TEXT(Overig!G916,""",""?00;"",""?-00;"",""?00;"", //"""),"'","""")</f>
        <v>081, 19431101, 19.45, ////, 07, ////, 07</v>
      </c>
    </row>
    <row r="917" spans="1:1" x14ac:dyDescent="0.25">
      <c r="A917" s="25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//"""),"'","""")&amp;SUBSTITUTE(TEXT(IF(ISTEXT(Overig!F917),Overig!F917,10*Overig!F917),""",""????0;"",""???-0;"",""????0;"", ////"""),"'","""")&amp;SUBSTITUTE(TEXT(Overig!G917,""",""?00;"",""?-00;"",""?00;"", //"""),"'","""")</f>
        <v>081, 19431102, 07.45, ////, 07, ////, 07</v>
      </c>
    </row>
    <row r="918" spans="1:1" x14ac:dyDescent="0.25">
      <c r="A918" s="25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//"""),"'","""")&amp;SUBSTITUTE(TEXT(IF(ISTEXT(Overig!F918),Overig!F918,10*Overig!F918),""",""????0;"",""???-0;"",""????0;"", ////"""),"'","""")&amp;SUBSTITUTE(TEXT(Overig!G918,""",""?00;"",""?-00;"",""?00;"", //"""),"'","""")</f>
        <v>081, 19431102, 13.45, ////, 07, ////, 07</v>
      </c>
    </row>
    <row r="919" spans="1:1" x14ac:dyDescent="0.25">
      <c r="A919" s="25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//"""),"'","""")&amp;SUBSTITUTE(TEXT(IF(ISTEXT(Overig!F919),Overig!F919,10*Overig!F919),""",""????0;"",""???-0;"",""????0;"", ////"""),"'","""")&amp;SUBSTITUTE(TEXT(Overig!G919,""",""?00;"",""?-00;"",""?00;"", //"""),"'","""")</f>
        <v>081, 19431102, 19.45, ////, 07, ////, 07</v>
      </c>
    </row>
    <row r="920" spans="1:1" x14ac:dyDescent="0.25">
      <c r="A920" s="25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//"""),"'","""")&amp;SUBSTITUTE(TEXT(IF(ISTEXT(Overig!F920),Overig!F920,10*Overig!F920),""",""????0;"",""???-0;"",""????0;"", ////"""),"'","""")&amp;SUBSTITUTE(TEXT(Overig!G920,""",""?00;"",""?-00;"",""?00;"", //"""),"'","""")</f>
        <v>081, 19431103, 07.45, ////, 07, ////, 07</v>
      </c>
    </row>
    <row r="921" spans="1:1" x14ac:dyDescent="0.25">
      <c r="A921" s="25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//"""),"'","""")&amp;SUBSTITUTE(TEXT(IF(ISTEXT(Overig!F921),Overig!F921,10*Overig!F921),""",""????0;"",""???-0;"",""????0;"", ////"""),"'","""")&amp;SUBSTITUTE(TEXT(Overig!G921,""",""?00;"",""?-00;"",""?00;"", //"""),"'","""")</f>
        <v>081, 19431103, 13.45, ////, 07, ////, 07</v>
      </c>
    </row>
    <row r="922" spans="1:1" x14ac:dyDescent="0.25">
      <c r="A922" s="25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//"""),"'","""")&amp;SUBSTITUTE(TEXT(IF(ISTEXT(Overig!F922),Overig!F922,10*Overig!F922),""",""????0;"",""???-0;"",""????0;"", ////"""),"'","""")&amp;SUBSTITUTE(TEXT(Overig!G922,""",""?00;"",""?-00;"",""?00;"", //"""),"'","""")</f>
        <v>081, 19431103, 19.45, ////, 07, ////, 07</v>
      </c>
    </row>
    <row r="923" spans="1:1" x14ac:dyDescent="0.25">
      <c r="A923" s="25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//"""),"'","""")&amp;SUBSTITUTE(TEXT(IF(ISTEXT(Overig!F923),Overig!F923,10*Overig!F923),""",""????0;"",""???-0;"",""????0;"", ////"""),"'","""")&amp;SUBSTITUTE(TEXT(Overig!G923,""",""?00;"",""?-00;"",""?00;"", //"""),"'","""")</f>
        <v>081, 19431104, 07.45, ////, 07, ////, 07</v>
      </c>
    </row>
    <row r="924" spans="1:1" x14ac:dyDescent="0.25">
      <c r="A924" s="25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//"""),"'","""")&amp;SUBSTITUTE(TEXT(IF(ISTEXT(Overig!F924),Overig!F924,10*Overig!F924),""",""????0;"",""???-0;"",""????0;"", ////"""),"'","""")&amp;SUBSTITUTE(TEXT(Overig!G924,""",""?00;"",""?-00;"",""?00;"", //"""),"'","""")</f>
        <v>081, 19431104, 13.45, ////, 07, ////, 07</v>
      </c>
    </row>
    <row r="925" spans="1:1" x14ac:dyDescent="0.25">
      <c r="A925" s="25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//"""),"'","""")&amp;SUBSTITUTE(TEXT(IF(ISTEXT(Overig!F925),Overig!F925,10*Overig!F925),""",""????0;"",""???-0;"",""????0;"", ////"""),"'","""")&amp;SUBSTITUTE(TEXT(Overig!G925,""",""?00;"",""?-00;"",""?00;"", //"""),"'","""")</f>
        <v>081, 19431104, 19.45, ////, 07, ////, 07</v>
      </c>
    </row>
    <row r="926" spans="1:1" x14ac:dyDescent="0.25">
      <c r="A926" s="25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//"""),"'","""")&amp;SUBSTITUTE(TEXT(IF(ISTEXT(Overig!F926),Overig!F926,10*Overig!F926),""",""????0;"",""???-0;"",""????0;"", ////"""),"'","""")&amp;SUBSTITUTE(TEXT(Overig!G926,""",""?00;"",""?-00;"",""?00;"", //"""),"'","""")</f>
        <v>081, 19431105, 07.45, ////, 07, ////, 07</v>
      </c>
    </row>
    <row r="927" spans="1:1" x14ac:dyDescent="0.25">
      <c r="A927" s="25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//"""),"'","""")&amp;SUBSTITUTE(TEXT(IF(ISTEXT(Overig!F927),Overig!F927,10*Overig!F927),""",""????0;"",""???-0;"",""????0;"", ////"""),"'","""")&amp;SUBSTITUTE(TEXT(Overig!G927,""",""?00;"",""?-00;"",""?00;"", //"""),"'","""")</f>
        <v>081, 19431105, 13.45, ////, 07, ////, 07</v>
      </c>
    </row>
    <row r="928" spans="1:1" x14ac:dyDescent="0.25">
      <c r="A928" s="25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//"""),"'","""")&amp;SUBSTITUTE(TEXT(IF(ISTEXT(Overig!F928),Overig!F928,10*Overig!F928),""",""????0;"",""???-0;"",""????0;"", ////"""),"'","""")&amp;SUBSTITUTE(TEXT(Overig!G928,""",""?00;"",""?-00;"",""?00;"", //"""),"'","""")</f>
        <v>081, 19431105, 19.45, ////, 07, ////, 07</v>
      </c>
    </row>
    <row r="929" spans="1:1" x14ac:dyDescent="0.25">
      <c r="A929" s="25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//"""),"'","""")&amp;SUBSTITUTE(TEXT(IF(ISTEXT(Overig!F929),Overig!F929,10*Overig!F929),""",""????0;"",""???-0;"",""????0;"", ////"""),"'","""")&amp;SUBSTITUTE(TEXT(Overig!G929,""",""?00;"",""?-00;"",""?00;"", //"""),"'","""")</f>
        <v>081, 19431106, 07.45, ////, 07, ////, 07</v>
      </c>
    </row>
    <row r="930" spans="1:1" x14ac:dyDescent="0.25">
      <c r="A930" s="25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//"""),"'","""")&amp;SUBSTITUTE(TEXT(IF(ISTEXT(Overig!F930),Overig!F930,10*Overig!F930),""",""????0;"",""???-0;"",""????0;"", ////"""),"'","""")&amp;SUBSTITUTE(TEXT(Overig!G930,""",""?00;"",""?-00;"",""?00;"", //"""),"'","""")</f>
        <v>081, 19431106, 13.45, ////, 07, ////, 07</v>
      </c>
    </row>
    <row r="931" spans="1:1" x14ac:dyDescent="0.25">
      <c r="A931" s="25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//"""),"'","""")&amp;SUBSTITUTE(TEXT(IF(ISTEXT(Overig!F931),Overig!F931,10*Overig!F931),""",""????0;"",""???-0;"",""????0;"", ////"""),"'","""")&amp;SUBSTITUTE(TEXT(Overig!G931,""",""?00;"",""?-00;"",""?00;"", //"""),"'","""")</f>
        <v>081, 19431106, 19.45, ////, 07, ////, 07</v>
      </c>
    </row>
    <row r="932" spans="1:1" x14ac:dyDescent="0.25">
      <c r="A932" s="25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//"""),"'","""")&amp;SUBSTITUTE(TEXT(IF(ISTEXT(Overig!F932),Overig!F932,10*Overig!F932),""",""????0;"",""???-0;"",""????0;"", ////"""),"'","""")&amp;SUBSTITUTE(TEXT(Overig!G932,""",""?00;"",""?-00;"",""?00;"", //"""),"'","""")</f>
        <v>081, 19431107, 07.45, ////, 07, ////, 07</v>
      </c>
    </row>
    <row r="933" spans="1:1" x14ac:dyDescent="0.25">
      <c r="A933" s="25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//"""),"'","""")&amp;SUBSTITUTE(TEXT(IF(ISTEXT(Overig!F933),Overig!F933,10*Overig!F933),""",""????0;"",""???-0;"",""????0;"", ////"""),"'","""")&amp;SUBSTITUTE(TEXT(Overig!G933,""",""?00;"",""?-00;"",""?00;"", //"""),"'","""")</f>
        <v>081, 19431107, 13.45, ////, 07, ////, 07</v>
      </c>
    </row>
    <row r="934" spans="1:1" x14ac:dyDescent="0.25">
      <c r="A934" s="25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//"""),"'","""")&amp;SUBSTITUTE(TEXT(IF(ISTEXT(Overig!F934),Overig!F934,10*Overig!F934),""",""????0;"",""???-0;"",""????0;"", ////"""),"'","""")&amp;SUBSTITUTE(TEXT(Overig!G934,""",""?00;"",""?-00;"",""?00;"", //"""),"'","""")</f>
        <v>081, 19431107, 19.45, ////, 07, ////, 07</v>
      </c>
    </row>
    <row r="935" spans="1:1" x14ac:dyDescent="0.25">
      <c r="A935" s="25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//"""),"'","""")&amp;SUBSTITUTE(TEXT(IF(ISTEXT(Overig!F935),Overig!F935,10*Overig!F935),""",""????0;"",""???-0;"",""????0;"", ////"""),"'","""")&amp;SUBSTITUTE(TEXT(Overig!G935,""",""?00;"",""?-00;"",""?00;"", //"""),"'","""")</f>
        <v>081, 19431108, 07.45, ////, 07, ////, 07</v>
      </c>
    </row>
    <row r="936" spans="1:1" x14ac:dyDescent="0.25">
      <c r="A936" s="25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//"""),"'","""")&amp;SUBSTITUTE(TEXT(IF(ISTEXT(Overig!F936),Overig!F936,10*Overig!F936),""",""????0;"",""???-0;"",""????0;"", ////"""),"'","""")&amp;SUBSTITUTE(TEXT(Overig!G936,""",""?00;"",""?-00;"",""?00;"", //"""),"'","""")</f>
        <v>081, 19431108, 13.45, ////, 07, ////, 07</v>
      </c>
    </row>
    <row r="937" spans="1:1" x14ac:dyDescent="0.25">
      <c r="A937" s="25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//"""),"'","""")&amp;SUBSTITUTE(TEXT(IF(ISTEXT(Overig!F937),Overig!F937,10*Overig!F937),""",""????0;"",""???-0;"",""????0;"", ////"""),"'","""")&amp;SUBSTITUTE(TEXT(Overig!G937,""",""?00;"",""?-00;"",""?00;"", //"""),"'","""")</f>
        <v>081, 19431108, 19.45, ////, 07, ////, 07</v>
      </c>
    </row>
    <row r="938" spans="1:1" x14ac:dyDescent="0.25">
      <c r="A938" s="25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//"""),"'","""")&amp;SUBSTITUTE(TEXT(IF(ISTEXT(Overig!F938),Overig!F938,10*Overig!F938),""",""????0;"",""???-0;"",""????0;"", ////"""),"'","""")&amp;SUBSTITUTE(TEXT(Overig!G938,""",""?00;"",""?-00;"",""?00;"", //"""),"'","""")</f>
        <v>081, 19431109, 07.45, ////, 07, ////, 07</v>
      </c>
    </row>
    <row r="939" spans="1:1" x14ac:dyDescent="0.25">
      <c r="A939" s="25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//"""),"'","""")&amp;SUBSTITUTE(TEXT(IF(ISTEXT(Overig!F939),Overig!F939,10*Overig!F939),""",""????0;"",""???-0;"",""????0;"", ////"""),"'","""")&amp;SUBSTITUTE(TEXT(Overig!G939,""",""?00;"",""?-00;"",""?00;"", //"""),"'","""")</f>
        <v>081, 19431109, 13.45, ////, 07, ////, 07</v>
      </c>
    </row>
    <row r="940" spans="1:1" x14ac:dyDescent="0.25">
      <c r="A940" s="25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//"""),"'","""")&amp;SUBSTITUTE(TEXT(IF(ISTEXT(Overig!F940),Overig!F940,10*Overig!F940),""",""????0;"",""???-0;"",""????0;"", ////"""),"'","""")&amp;SUBSTITUTE(TEXT(Overig!G940,""",""?00;"",""?-00;"",""?00;"", //"""),"'","""")</f>
        <v>081, 19431109, 19.45, ////, 07, ////, 07</v>
      </c>
    </row>
    <row r="941" spans="1:1" x14ac:dyDescent="0.25">
      <c r="A941" s="25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//"""),"'","""")&amp;SUBSTITUTE(TEXT(IF(ISTEXT(Overig!F941),Overig!F941,10*Overig!F941),""",""????0;"",""???-0;"",""????0;"", ////"""),"'","""")&amp;SUBSTITUTE(TEXT(Overig!G941,""",""?00;"",""?-00;"",""?00;"", //"""),"'","""")</f>
        <v>081, 19431110, 07.45, ////, 07, ////, 07</v>
      </c>
    </row>
    <row r="942" spans="1:1" x14ac:dyDescent="0.25">
      <c r="A942" s="25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//"""),"'","""")&amp;SUBSTITUTE(TEXT(IF(ISTEXT(Overig!F942),Overig!F942,10*Overig!F942),""",""????0;"",""???-0;"",""????0;"", ////"""),"'","""")&amp;SUBSTITUTE(TEXT(Overig!G942,""",""?00;"",""?-00;"",""?00;"", //"""),"'","""")</f>
        <v>081, 19431110, 13.45, ////, 07, ////, 07</v>
      </c>
    </row>
    <row r="943" spans="1:1" x14ac:dyDescent="0.25">
      <c r="A943" s="25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//"""),"'","""")&amp;SUBSTITUTE(TEXT(IF(ISTEXT(Overig!F943),Overig!F943,10*Overig!F943),""",""????0;"",""???-0;"",""????0;"", ////"""),"'","""")&amp;SUBSTITUTE(TEXT(Overig!G943,""",""?00;"",""?-00;"",""?00;"", //"""),"'","""")</f>
        <v>081, 19431110, 19.45, ////, 07, ////, 07</v>
      </c>
    </row>
    <row r="944" spans="1:1" x14ac:dyDescent="0.25">
      <c r="A944" s="25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//"""),"'","""")&amp;SUBSTITUTE(TEXT(IF(ISTEXT(Overig!F944),Overig!F944,10*Overig!F944),""",""????0;"",""???-0;"",""????0;"", ////"""),"'","""")&amp;SUBSTITUTE(TEXT(Overig!G944,""",""?00;"",""?-00;"",""?00;"", //"""),"'","""")</f>
        <v>081, 19431111, 07.45, ////, 07, ////, 07</v>
      </c>
    </row>
    <row r="945" spans="1:1" x14ac:dyDescent="0.25">
      <c r="A945" s="25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//"""),"'","""")&amp;SUBSTITUTE(TEXT(IF(ISTEXT(Overig!F945),Overig!F945,10*Overig!F945),""",""????0;"",""???-0;"",""????0;"", ////"""),"'","""")&amp;SUBSTITUTE(TEXT(Overig!G945,""",""?00;"",""?-00;"",""?00;"", //"""),"'","""")</f>
        <v>081, 19431111, 13.45, ////, 07, ////, 07</v>
      </c>
    </row>
    <row r="946" spans="1:1" x14ac:dyDescent="0.25">
      <c r="A946" s="25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//"""),"'","""")&amp;SUBSTITUTE(TEXT(IF(ISTEXT(Overig!F946),Overig!F946,10*Overig!F946),""",""????0;"",""???-0;"",""????0;"", ////"""),"'","""")&amp;SUBSTITUTE(TEXT(Overig!G946,""",""?00;"",""?-00;"",""?00;"", //"""),"'","""")</f>
        <v>081, 19431111, 19.45, ////, 07, ////, 07</v>
      </c>
    </row>
    <row r="947" spans="1:1" x14ac:dyDescent="0.25">
      <c r="A947" s="25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//"""),"'","""")&amp;SUBSTITUTE(TEXT(IF(ISTEXT(Overig!F947),Overig!F947,10*Overig!F947),""",""????0;"",""???-0;"",""????0;"", ////"""),"'","""")&amp;SUBSTITUTE(TEXT(Overig!G947,""",""?00;"",""?-00;"",""?00;"", //"""),"'","""")</f>
        <v>081, 19431112, 07.45, ////, 07, ////, 07</v>
      </c>
    </row>
    <row r="948" spans="1:1" x14ac:dyDescent="0.25">
      <c r="A948" s="25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//"""),"'","""")&amp;SUBSTITUTE(TEXT(IF(ISTEXT(Overig!F948),Overig!F948,10*Overig!F948),""",""????0;"",""???-0;"",""????0;"", ////"""),"'","""")&amp;SUBSTITUTE(TEXT(Overig!G948,""",""?00;"",""?-00;"",""?00;"", //"""),"'","""")</f>
        <v>081, 19431112, 13.45, ////, 07, ////, 07</v>
      </c>
    </row>
    <row r="949" spans="1:1" x14ac:dyDescent="0.25">
      <c r="A949" s="25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//"""),"'","""")&amp;SUBSTITUTE(TEXT(IF(ISTEXT(Overig!F949),Overig!F949,10*Overig!F949),""",""????0;"",""???-0;"",""????0;"", ////"""),"'","""")&amp;SUBSTITUTE(TEXT(Overig!G949,""",""?00;"",""?-00;"",""?00;"", //"""),"'","""")</f>
        <v>081, 19431112, 19.45, ////, 07, ////, 07</v>
      </c>
    </row>
    <row r="950" spans="1:1" x14ac:dyDescent="0.25">
      <c r="A950" s="25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//"""),"'","""")&amp;SUBSTITUTE(TEXT(IF(ISTEXT(Overig!F950),Overig!F950,10*Overig!F950),""",""????0;"",""???-0;"",""????0;"", ////"""),"'","""")&amp;SUBSTITUTE(TEXT(Overig!G950,""",""?00;"",""?-00;"",""?00;"", //"""),"'","""")</f>
        <v>081, 19431113, 07.45, ////, 07, ////, 07</v>
      </c>
    </row>
    <row r="951" spans="1:1" x14ac:dyDescent="0.25">
      <c r="A951" s="25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//"""),"'","""")&amp;SUBSTITUTE(TEXT(IF(ISTEXT(Overig!F951),Overig!F951,10*Overig!F951),""",""????0;"",""???-0;"",""????0;"", ////"""),"'","""")&amp;SUBSTITUTE(TEXT(Overig!G951,""",""?00;"",""?-00;"",""?00;"", //"""),"'","""")</f>
        <v>081, 19431113, 13.45, ////, 07, ////, 07</v>
      </c>
    </row>
    <row r="952" spans="1:1" x14ac:dyDescent="0.25">
      <c r="A952" s="25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//"""),"'","""")&amp;SUBSTITUTE(TEXT(IF(ISTEXT(Overig!F952),Overig!F952,10*Overig!F952),""",""????0;"",""???-0;"",""????0;"", ////"""),"'","""")&amp;SUBSTITUTE(TEXT(Overig!G952,""",""?00;"",""?-00;"",""?00;"", //"""),"'","""")</f>
        <v>081, 19431113, 19.45, ////, 07, ////, 07</v>
      </c>
    </row>
    <row r="953" spans="1:1" x14ac:dyDescent="0.25">
      <c r="A953" s="25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//"""),"'","""")&amp;SUBSTITUTE(TEXT(IF(ISTEXT(Overig!F953),Overig!F953,10*Overig!F953),""",""????0;"",""???-0;"",""????0;"", ////"""),"'","""")&amp;SUBSTITUTE(TEXT(Overig!G953,""",""?00;"",""?-00;"",""?00;"", //"""),"'","""")</f>
        <v>081, 19431114, 07.45, ////, 07, ////, 07</v>
      </c>
    </row>
    <row r="954" spans="1:1" x14ac:dyDescent="0.25">
      <c r="A954" s="25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//"""),"'","""")&amp;SUBSTITUTE(TEXT(IF(ISTEXT(Overig!F954),Overig!F954,10*Overig!F954),""",""????0;"",""???-0;"",""????0;"", ////"""),"'","""")&amp;SUBSTITUTE(TEXT(Overig!G954,""",""?00;"",""?-00;"",""?00;"", //"""),"'","""")</f>
        <v>081, 19431114, 13.45, ////, 07, ////, 07</v>
      </c>
    </row>
    <row r="955" spans="1:1" x14ac:dyDescent="0.25">
      <c r="A955" s="25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//"""),"'","""")&amp;SUBSTITUTE(TEXT(IF(ISTEXT(Overig!F955),Overig!F955,10*Overig!F955),""",""????0;"",""???-0;"",""????0;"", ////"""),"'","""")&amp;SUBSTITUTE(TEXT(Overig!G955,""",""?00;"",""?-00;"",""?00;"", //"""),"'","""")</f>
        <v>081, 19431114, 19.45, ////, 07, ////, 07</v>
      </c>
    </row>
    <row r="956" spans="1:1" x14ac:dyDescent="0.25">
      <c r="A956" s="25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//"""),"'","""")&amp;SUBSTITUTE(TEXT(IF(ISTEXT(Overig!F956),Overig!F956,10*Overig!F956),""",""????0;"",""???-0;"",""????0;"", ////"""),"'","""")&amp;SUBSTITUTE(TEXT(Overig!G956,""",""?00;"",""?-00;"",""?00;"", //"""),"'","""")</f>
        <v>081, 19431115, 07.45, ////, 07, ////, 07</v>
      </c>
    </row>
    <row r="957" spans="1:1" x14ac:dyDescent="0.25">
      <c r="A957" s="25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//"""),"'","""")&amp;SUBSTITUTE(TEXT(IF(ISTEXT(Overig!F957),Overig!F957,10*Overig!F957),""",""????0;"",""???-0;"",""????0;"", ////"""),"'","""")&amp;SUBSTITUTE(TEXT(Overig!G957,""",""?00;"",""?-00;"",""?00;"", //"""),"'","""")</f>
        <v>081, 19431115, 13.45, ////, 07, ////, 07</v>
      </c>
    </row>
    <row r="958" spans="1:1" x14ac:dyDescent="0.25">
      <c r="A958" s="25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//"""),"'","""")&amp;SUBSTITUTE(TEXT(IF(ISTEXT(Overig!F958),Overig!F958,10*Overig!F958),""",""????0;"",""???-0;"",""????0;"", ////"""),"'","""")&amp;SUBSTITUTE(TEXT(Overig!G958,""",""?00;"",""?-00;"",""?00;"", //"""),"'","""")</f>
        <v>081, 19431115, 19.45, ////, 07, ////, 07</v>
      </c>
    </row>
    <row r="959" spans="1:1" x14ac:dyDescent="0.25">
      <c r="A959" s="25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//"""),"'","""")&amp;SUBSTITUTE(TEXT(IF(ISTEXT(Overig!F959),Overig!F959,10*Overig!F959),""",""????0;"",""???-0;"",""????0;"", ////"""),"'","""")&amp;SUBSTITUTE(TEXT(Overig!G959,""",""?00;"",""?-00;"",""?00;"", //"""),"'","""")</f>
        <v>081, 19431116, 07.45, ////, 07, ////, 07</v>
      </c>
    </row>
    <row r="960" spans="1:1" x14ac:dyDescent="0.25">
      <c r="A960" s="25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//"""),"'","""")&amp;SUBSTITUTE(TEXT(IF(ISTEXT(Overig!F960),Overig!F960,10*Overig!F960),""",""????0;"",""???-0;"",""????0;"", ////"""),"'","""")&amp;SUBSTITUTE(TEXT(Overig!G960,""",""?00;"",""?-00;"",""?00;"", //"""),"'","""")</f>
        <v>081, 19431116, 13.45, ////, 07, ////, 07</v>
      </c>
    </row>
    <row r="961" spans="1:1" x14ac:dyDescent="0.25">
      <c r="A961" s="25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//"""),"'","""")&amp;SUBSTITUTE(TEXT(IF(ISTEXT(Overig!F961),Overig!F961,10*Overig!F961),""",""????0;"",""???-0;"",""????0;"", ////"""),"'","""")&amp;SUBSTITUTE(TEXT(Overig!G961,""",""?00;"",""?-00;"",""?00;"", //"""),"'","""")</f>
        <v>081, 19431116, 19.45, ////, 07, ////, 07</v>
      </c>
    </row>
    <row r="962" spans="1:1" x14ac:dyDescent="0.25">
      <c r="A962" s="25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//"""),"'","""")&amp;SUBSTITUTE(TEXT(IF(ISTEXT(Overig!F962),Overig!F962,10*Overig!F962),""",""????0;"",""???-0;"",""????0;"", ////"""),"'","""")&amp;SUBSTITUTE(TEXT(Overig!G962,""",""?00;"",""?-00;"",""?00;"", //"""),"'","""")</f>
        <v>081, 19431117, 07.45, ////, 07, ////, 07</v>
      </c>
    </row>
    <row r="963" spans="1:1" x14ac:dyDescent="0.25">
      <c r="A963" s="25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//"""),"'","""")&amp;SUBSTITUTE(TEXT(IF(ISTEXT(Overig!F963),Overig!F963,10*Overig!F963),""",""????0;"",""???-0;"",""????0;"", ////"""),"'","""")&amp;SUBSTITUTE(TEXT(Overig!G963,""",""?00;"",""?-00;"",""?00;"", //"""),"'","""")</f>
        <v>081, 19431117, 13.45, ////, 07, ////, 07</v>
      </c>
    </row>
    <row r="964" spans="1:1" x14ac:dyDescent="0.25">
      <c r="A964" s="25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//"""),"'","""")&amp;SUBSTITUTE(TEXT(IF(ISTEXT(Overig!F964),Overig!F964,10*Overig!F964),""",""????0;"",""???-0;"",""????0;"", ////"""),"'","""")&amp;SUBSTITUTE(TEXT(Overig!G964,""",""?00;"",""?-00;"",""?00;"", //"""),"'","""")</f>
        <v>081, 19431117, 19.45, ////, 07, ////, 07</v>
      </c>
    </row>
    <row r="965" spans="1:1" x14ac:dyDescent="0.25">
      <c r="A965" s="25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//"""),"'","""")&amp;SUBSTITUTE(TEXT(IF(ISTEXT(Overig!F965),Overig!F965,10*Overig!F965),""",""????0;"",""???-0;"",""????0;"", ////"""),"'","""")&amp;SUBSTITUTE(TEXT(Overig!G965,""",""?00;"",""?-00;"",""?00;"", //"""),"'","""")</f>
        <v>081, 19431118, 07.45, ////, 07, ////, 07</v>
      </c>
    </row>
    <row r="966" spans="1:1" x14ac:dyDescent="0.25">
      <c r="A966" s="25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//"""),"'","""")&amp;SUBSTITUTE(TEXT(IF(ISTEXT(Overig!F966),Overig!F966,10*Overig!F966),""",""????0;"",""???-0;"",""????0;"", ////"""),"'","""")&amp;SUBSTITUTE(TEXT(Overig!G966,""",""?00;"",""?-00;"",""?00;"", //"""),"'","""")</f>
        <v>081, 19431118, 13.45, ////, 07, ////, 07</v>
      </c>
    </row>
    <row r="967" spans="1:1" x14ac:dyDescent="0.25">
      <c r="A967" s="25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//"""),"'","""")&amp;SUBSTITUTE(TEXT(IF(ISTEXT(Overig!F967),Overig!F967,10*Overig!F967),""",""????0;"",""???-0;"",""????0;"", ////"""),"'","""")&amp;SUBSTITUTE(TEXT(Overig!G967,""",""?00;"",""?-00;"",""?00;"", //"""),"'","""")</f>
        <v>081, 19431118, 19.45, ////, 07, ////, 07</v>
      </c>
    </row>
    <row r="968" spans="1:1" x14ac:dyDescent="0.25">
      <c r="A968" s="25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//"""),"'","""")&amp;SUBSTITUTE(TEXT(IF(ISTEXT(Overig!F968),Overig!F968,10*Overig!F968),""",""????0;"",""???-0;"",""????0;"", ////"""),"'","""")&amp;SUBSTITUTE(TEXT(Overig!G968,""",""?00;"",""?-00;"",""?00;"", //"""),"'","""")</f>
        <v>081, 19431119, 07.45, ////, 07, ////, 07</v>
      </c>
    </row>
    <row r="969" spans="1:1" x14ac:dyDescent="0.25">
      <c r="A969" s="25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//"""),"'","""")&amp;SUBSTITUTE(TEXT(IF(ISTEXT(Overig!F969),Overig!F969,10*Overig!F969),""",""????0;"",""???-0;"",""????0;"", ////"""),"'","""")&amp;SUBSTITUTE(TEXT(Overig!G969,""",""?00;"",""?-00;"",""?00;"", //"""),"'","""")</f>
        <v>081, 19431119, 13.45, ////, 07, ////, 07</v>
      </c>
    </row>
    <row r="970" spans="1:1" x14ac:dyDescent="0.25">
      <c r="A970" s="25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//"""),"'","""")&amp;SUBSTITUTE(TEXT(IF(ISTEXT(Overig!F970),Overig!F970,10*Overig!F970),""",""????0;"",""???-0;"",""????0;"", ////"""),"'","""")&amp;SUBSTITUTE(TEXT(Overig!G970,""",""?00;"",""?-00;"",""?00;"", //"""),"'","""")</f>
        <v>081, 19431119, 19.45, ////, 07, ////, 07</v>
      </c>
    </row>
    <row r="971" spans="1:1" x14ac:dyDescent="0.25">
      <c r="A971" s="25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//"""),"'","""")&amp;SUBSTITUTE(TEXT(IF(ISTEXT(Overig!F971),Overig!F971,10*Overig!F971),""",""????0;"",""???-0;"",""????0;"", ////"""),"'","""")&amp;SUBSTITUTE(TEXT(Overig!G971,""",""?00;"",""?-00;"",""?00;"", //"""),"'","""")</f>
        <v>081, 19431120, 07.45, ////, 07, ////, 07</v>
      </c>
    </row>
    <row r="972" spans="1:1" x14ac:dyDescent="0.25">
      <c r="A972" s="25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//"""),"'","""")&amp;SUBSTITUTE(TEXT(IF(ISTEXT(Overig!F972),Overig!F972,10*Overig!F972),""",""????0;"",""???-0;"",""????0;"", ////"""),"'","""")&amp;SUBSTITUTE(TEXT(Overig!G972,""",""?00;"",""?-00;"",""?00;"", //"""),"'","""")</f>
        <v>081, 19431120, 13.45, ////, 07, ////, 07</v>
      </c>
    </row>
    <row r="973" spans="1:1" x14ac:dyDescent="0.25">
      <c r="A973" s="25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//"""),"'","""")&amp;SUBSTITUTE(TEXT(IF(ISTEXT(Overig!F973),Overig!F973,10*Overig!F973),""",""????0;"",""???-0;"",""????0;"", ////"""),"'","""")&amp;SUBSTITUTE(TEXT(Overig!G973,""",""?00;"",""?-00;"",""?00;"", //"""),"'","""")</f>
        <v>081, 19431120, 19.45, ////, 07, ////, 07</v>
      </c>
    </row>
    <row r="974" spans="1:1" x14ac:dyDescent="0.25">
      <c r="A974" s="25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//"""),"'","""")&amp;SUBSTITUTE(TEXT(IF(ISTEXT(Overig!F974),Overig!F974,10*Overig!F974),""",""????0;"",""???-0;"",""????0;"", ////"""),"'","""")&amp;SUBSTITUTE(TEXT(Overig!G974,""",""?00;"",""?-00;"",""?00;"", //"""),"'","""")</f>
        <v>081, 19431121, 07.45, ////, 07, ////, 07</v>
      </c>
    </row>
    <row r="975" spans="1:1" x14ac:dyDescent="0.25">
      <c r="A975" s="25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//"""),"'","""")&amp;SUBSTITUTE(TEXT(IF(ISTEXT(Overig!F975),Overig!F975,10*Overig!F975),""",""????0;"",""???-0;"",""????0;"", ////"""),"'","""")&amp;SUBSTITUTE(TEXT(Overig!G975,""",""?00;"",""?-00;"",""?00;"", //"""),"'","""")</f>
        <v>081, 19431121, 13.45, ////, 07, ////, 07</v>
      </c>
    </row>
    <row r="976" spans="1:1" x14ac:dyDescent="0.25">
      <c r="A976" s="25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//"""),"'","""")&amp;SUBSTITUTE(TEXT(IF(ISTEXT(Overig!F976),Overig!F976,10*Overig!F976),""",""????0;"",""???-0;"",""????0;"", ////"""),"'","""")&amp;SUBSTITUTE(TEXT(Overig!G976,""",""?00;"",""?-00;"",""?00;"", //"""),"'","""")</f>
        <v>081, 19431121, 19.45, ////, 07, ////, 07</v>
      </c>
    </row>
    <row r="977" spans="1:1" x14ac:dyDescent="0.25">
      <c r="A977" s="25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//"""),"'","""")&amp;SUBSTITUTE(TEXT(IF(ISTEXT(Overig!F977),Overig!F977,10*Overig!F977),""",""????0;"",""???-0;"",""????0;"", ////"""),"'","""")&amp;SUBSTITUTE(TEXT(Overig!G977,""",""?00;"",""?-00;"",""?00;"", //"""),"'","""")</f>
        <v>081, 19431122, 07.45, ////, 07, ////, 07</v>
      </c>
    </row>
    <row r="978" spans="1:1" x14ac:dyDescent="0.25">
      <c r="A978" s="25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//"""),"'","""")&amp;SUBSTITUTE(TEXT(IF(ISTEXT(Overig!F978),Overig!F978,10*Overig!F978),""",""????0;"",""???-0;"",""????0;"", ////"""),"'","""")&amp;SUBSTITUTE(TEXT(Overig!G978,""",""?00;"",""?-00;"",""?00;"", //"""),"'","""")</f>
        <v>081, 19431122, 13.45, ////, 07, ////, 07</v>
      </c>
    </row>
    <row r="979" spans="1:1" x14ac:dyDescent="0.25">
      <c r="A979" s="25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//"""),"'","""")&amp;SUBSTITUTE(TEXT(IF(ISTEXT(Overig!F979),Overig!F979,10*Overig!F979),""",""????0;"",""???-0;"",""????0;"", ////"""),"'","""")&amp;SUBSTITUTE(TEXT(Overig!G979,""",""?00;"",""?-00;"",""?00;"", //"""),"'","""")</f>
        <v>081, 19431122, 19.45, ////, 07, ////, 07</v>
      </c>
    </row>
    <row r="980" spans="1:1" x14ac:dyDescent="0.25">
      <c r="A980" s="25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//"""),"'","""")&amp;SUBSTITUTE(TEXT(IF(ISTEXT(Overig!F980),Overig!F980,10*Overig!F980),""",""????0;"",""???-0;"",""????0;"", ////"""),"'","""")&amp;SUBSTITUTE(TEXT(Overig!G980,""",""?00;"",""?-00;"",""?00;"", //"""),"'","""")</f>
        <v>081, 19431123, 07.45, ////, 07, ////, 07</v>
      </c>
    </row>
    <row r="981" spans="1:1" x14ac:dyDescent="0.25">
      <c r="A981" s="25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//"""),"'","""")&amp;SUBSTITUTE(TEXT(IF(ISTEXT(Overig!F981),Overig!F981,10*Overig!F981),""",""????0;"",""???-0;"",""????0;"", ////"""),"'","""")&amp;SUBSTITUTE(TEXT(Overig!G981,""",""?00;"",""?-00;"",""?00;"", //"""),"'","""")</f>
        <v>081, 19431123, 13.45, ////, 07, ////, 07</v>
      </c>
    </row>
    <row r="982" spans="1:1" x14ac:dyDescent="0.25">
      <c r="A982" s="25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//"""),"'","""")&amp;SUBSTITUTE(TEXT(IF(ISTEXT(Overig!F982),Overig!F982,10*Overig!F982),""",""????0;"",""???-0;"",""????0;"", ////"""),"'","""")&amp;SUBSTITUTE(TEXT(Overig!G982,""",""?00;"",""?-00;"",""?00;"", //"""),"'","""")</f>
        <v>081, 19431123, 19.45, ////, 07, ////, 07</v>
      </c>
    </row>
    <row r="983" spans="1:1" x14ac:dyDescent="0.25">
      <c r="A983" s="25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//"""),"'","""")&amp;SUBSTITUTE(TEXT(IF(ISTEXT(Overig!F983),Overig!F983,10*Overig!F983),""",""????0;"",""???-0;"",""????0;"", ////"""),"'","""")&amp;SUBSTITUTE(TEXT(Overig!G983,""",""?00;"",""?-00;"",""?00;"", //"""),"'","""")</f>
        <v>081, 19431124, 07.45, ////, 07, ////, 07</v>
      </c>
    </row>
    <row r="984" spans="1:1" x14ac:dyDescent="0.25">
      <c r="A984" s="25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//"""),"'","""")&amp;SUBSTITUTE(TEXT(IF(ISTEXT(Overig!F984),Overig!F984,10*Overig!F984),""",""????0;"",""???-0;"",""????0;"", ////"""),"'","""")&amp;SUBSTITUTE(TEXT(Overig!G984,""",""?00;"",""?-00;"",""?00;"", //"""),"'","""")</f>
        <v>081, 19431124, 13.45, ////, 07, ////, 07</v>
      </c>
    </row>
    <row r="985" spans="1:1" x14ac:dyDescent="0.25">
      <c r="A985" s="25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//"""),"'","""")&amp;SUBSTITUTE(TEXT(IF(ISTEXT(Overig!F985),Overig!F985,10*Overig!F985),""",""????0;"",""???-0;"",""????0;"", ////"""),"'","""")&amp;SUBSTITUTE(TEXT(Overig!G985,""",""?00;"",""?-00;"",""?00;"", //"""),"'","""")</f>
        <v>081, 19431124, 19.45, ////, 07, ////, 07</v>
      </c>
    </row>
    <row r="986" spans="1:1" x14ac:dyDescent="0.25">
      <c r="A986" s="25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//"""),"'","""")&amp;SUBSTITUTE(TEXT(IF(ISTEXT(Overig!F986),Overig!F986,10*Overig!F986),""",""????0;"",""???-0;"",""????0;"", ////"""),"'","""")&amp;SUBSTITUTE(TEXT(Overig!G986,""",""?00;"",""?-00;"",""?00;"", //"""),"'","""")</f>
        <v>081, 19431125, 07.45, ////, 07, ////, 07</v>
      </c>
    </row>
    <row r="987" spans="1:1" x14ac:dyDescent="0.25">
      <c r="A987" s="25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//"""),"'","""")&amp;SUBSTITUTE(TEXT(IF(ISTEXT(Overig!F987),Overig!F987,10*Overig!F987),""",""????0;"",""???-0;"",""????0;"", ////"""),"'","""")&amp;SUBSTITUTE(TEXT(Overig!G987,""",""?00;"",""?-00;"",""?00;"", //"""),"'","""")</f>
        <v>081, 19431125, 13.45, ////, 07, ////, 07</v>
      </c>
    </row>
    <row r="988" spans="1:1" x14ac:dyDescent="0.25">
      <c r="A988" s="25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//"""),"'","""")&amp;SUBSTITUTE(TEXT(IF(ISTEXT(Overig!F988),Overig!F988,10*Overig!F988),""",""????0;"",""???-0;"",""????0;"", ////"""),"'","""")&amp;SUBSTITUTE(TEXT(Overig!G988,""",""?00;"",""?-00;"",""?00;"", //"""),"'","""")</f>
        <v>081, 19431125, 19.45, ////, 07, ////, 07</v>
      </c>
    </row>
    <row r="989" spans="1:1" x14ac:dyDescent="0.25">
      <c r="A989" s="25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//"""),"'","""")&amp;SUBSTITUTE(TEXT(IF(ISTEXT(Overig!F989),Overig!F989,10*Overig!F989),""",""????0;"",""???-0;"",""????0;"", ////"""),"'","""")&amp;SUBSTITUTE(TEXT(Overig!G989,""",""?00;"",""?-00;"",""?00;"", //"""),"'","""")</f>
        <v>081, 19431126, 07.45, ////, 07, ////, 07</v>
      </c>
    </row>
    <row r="990" spans="1:1" x14ac:dyDescent="0.25">
      <c r="A990" s="25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//"""),"'","""")&amp;SUBSTITUTE(TEXT(IF(ISTEXT(Overig!F990),Overig!F990,10*Overig!F990),""",""????0;"",""???-0;"",""????0;"", ////"""),"'","""")&amp;SUBSTITUTE(TEXT(Overig!G990,""",""?00;"",""?-00;"",""?00;"", //"""),"'","""")</f>
        <v>081, 19431126, 13.45, ////, 07, ////, 07</v>
      </c>
    </row>
    <row r="991" spans="1:1" x14ac:dyDescent="0.25">
      <c r="A991" s="25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//"""),"'","""")&amp;SUBSTITUTE(TEXT(IF(ISTEXT(Overig!F991),Overig!F991,10*Overig!F991),""",""????0;"",""???-0;"",""????0;"", ////"""),"'","""")&amp;SUBSTITUTE(TEXT(Overig!G991,""",""?00;"",""?-00;"",""?00;"", //"""),"'","""")</f>
        <v>081, 19431126, 19.45, ////, 07, ////, 07</v>
      </c>
    </row>
    <row r="992" spans="1:1" x14ac:dyDescent="0.25">
      <c r="A992" s="25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//"""),"'","""")&amp;SUBSTITUTE(TEXT(IF(ISTEXT(Overig!F992),Overig!F992,10*Overig!F992),""",""????0;"",""???-0;"",""????0;"", ////"""),"'","""")&amp;SUBSTITUTE(TEXT(Overig!G992,""",""?00;"",""?-00;"",""?00;"", //"""),"'","""")</f>
        <v>081, 19431127, 07.45, ////, 07, ////, 07</v>
      </c>
    </row>
    <row r="993" spans="1:1" x14ac:dyDescent="0.25">
      <c r="A993" s="25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//"""),"'","""")&amp;SUBSTITUTE(TEXT(IF(ISTEXT(Overig!F993),Overig!F993,10*Overig!F993),""",""????0;"",""???-0;"",""????0;"", ////"""),"'","""")&amp;SUBSTITUTE(TEXT(Overig!G993,""",""?00;"",""?-00;"",""?00;"", //"""),"'","""")</f>
        <v>081, 19431127, 13.45, ////, 07, ////, 07</v>
      </c>
    </row>
    <row r="994" spans="1:1" x14ac:dyDescent="0.25">
      <c r="A994" s="25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//"""),"'","""")&amp;SUBSTITUTE(TEXT(IF(ISTEXT(Overig!F994),Overig!F994,10*Overig!F994),""",""????0;"",""???-0;"",""????0;"", ////"""),"'","""")&amp;SUBSTITUTE(TEXT(Overig!G994,""",""?00;"",""?-00;"",""?00;"", //"""),"'","""")</f>
        <v>081, 19431127, 19.45, ////, 07, ////, 07</v>
      </c>
    </row>
    <row r="995" spans="1:1" x14ac:dyDescent="0.25">
      <c r="A995" s="25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//"""),"'","""")&amp;SUBSTITUTE(TEXT(IF(ISTEXT(Overig!F995),Overig!F995,10*Overig!F995),""",""????0;"",""???-0;"",""????0;"", ////"""),"'","""")&amp;SUBSTITUTE(TEXT(Overig!G995,""",""?00;"",""?-00;"",""?00;"", //"""),"'","""")</f>
        <v>081, 19431128, 07.45, ////, 07, ////, 07</v>
      </c>
    </row>
    <row r="996" spans="1:1" x14ac:dyDescent="0.25">
      <c r="A996" s="25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//"""),"'","""")&amp;SUBSTITUTE(TEXT(IF(ISTEXT(Overig!F996),Overig!F996,10*Overig!F996),""",""????0;"",""???-0;"",""????0;"", ////"""),"'","""")&amp;SUBSTITUTE(TEXT(Overig!G996,""",""?00;"",""?-00;"",""?00;"", //"""),"'","""")</f>
        <v>081, 19431128, 13.45, ////, 07, ////, 07</v>
      </c>
    </row>
    <row r="997" spans="1:1" x14ac:dyDescent="0.25">
      <c r="A997" s="25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//"""),"'","""")&amp;SUBSTITUTE(TEXT(IF(ISTEXT(Overig!F997),Overig!F997,10*Overig!F997),""",""????0;"",""???-0;"",""????0;"", ////"""),"'","""")&amp;SUBSTITUTE(TEXT(Overig!G997,""",""?00;"",""?-00;"",""?00;"", //"""),"'","""")</f>
        <v>081, 19431128, 19.45, ////, 07, ////, 07</v>
      </c>
    </row>
    <row r="998" spans="1:1" x14ac:dyDescent="0.25">
      <c r="A998" s="25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//"""),"'","""")&amp;SUBSTITUTE(TEXT(IF(ISTEXT(Overig!F998),Overig!F998,10*Overig!F998),""",""????0;"",""???-0;"",""????0;"", ////"""),"'","""")&amp;SUBSTITUTE(TEXT(Overig!G998,""",""?00;"",""?-00;"",""?00;"", //"""),"'","""")</f>
        <v>081, 19431129, 07.45, ////, 07, ////, 07</v>
      </c>
    </row>
    <row r="999" spans="1:1" x14ac:dyDescent="0.25">
      <c r="A999" s="25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//"""),"'","""")&amp;SUBSTITUTE(TEXT(IF(ISTEXT(Overig!F999),Overig!F999,10*Overig!F999),""",""????0;"",""???-0;"",""????0;"", ////"""),"'","""")&amp;SUBSTITUTE(TEXT(Overig!G999,""",""?00;"",""?-00;"",""?00;"", //"""),"'","""")</f>
        <v>081, 19431129, 13.45, ////, 07, ////, 07</v>
      </c>
    </row>
    <row r="1000" spans="1:1" x14ac:dyDescent="0.25">
      <c r="A1000" s="25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//"""),"'","""")&amp;SUBSTITUTE(TEXT(IF(ISTEXT(Overig!F1000),Overig!F1000,10*Overig!F1000),""",""????0;"",""???-0;"",""????0;"", ////"""),"'","""")&amp;SUBSTITUTE(TEXT(Overig!G1000,""",""?00;"",""?-00;"",""?00;"", //"""),"'","""")</f>
        <v>081, 19431129, 19.45, ////, 07, ////, 07</v>
      </c>
    </row>
    <row r="1001" spans="1:1" x14ac:dyDescent="0.25">
      <c r="A1001" s="25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//"""),"'","""")&amp;SUBSTITUTE(TEXT(IF(ISTEXT(Overig!F1001),Overig!F1001,10*Overig!F1001),""",""????0;"",""???-0;"",""????0;"", ////"""),"'","""")&amp;SUBSTITUTE(TEXT(Overig!G1001,""",""?00;"",""?-00;"",""?00;"", //"""),"'","""")</f>
        <v>081, 19431130, 07.45, ////, 07, ////, 07</v>
      </c>
    </row>
    <row r="1002" spans="1:1" x14ac:dyDescent="0.25">
      <c r="A1002" s="25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//"""),"'","""")&amp;SUBSTITUTE(TEXT(IF(ISTEXT(Overig!F1002),Overig!F1002,10*Overig!F1002),""",""????0;"",""???-0;"",""????0;"", ////"""),"'","""")&amp;SUBSTITUTE(TEXT(Overig!G1002,""",""?00;"",""?-00;"",""?00;"", //"""),"'","""")</f>
        <v>081, 19431130, 13.45, ////, 07, ////, 07</v>
      </c>
    </row>
    <row r="1003" spans="1:1" x14ac:dyDescent="0.25">
      <c r="A1003" s="25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//"""),"'","""")&amp;SUBSTITUTE(TEXT(IF(ISTEXT(Overig!F1003),Overig!F1003,10*Overig!F1003),""",""????0;"",""???-0;"",""????0;"", ////"""),"'","""")&amp;SUBSTITUTE(TEXT(Overig!G1003,""",""?00;"",""?-00;"",""?00;"", //"""),"'","""")</f>
        <v>081, 19431130, 19.45, ////, 07, ////, 07</v>
      </c>
    </row>
    <row r="1004" spans="1:1" x14ac:dyDescent="0.25">
      <c r="A1004" s="25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//"""),"'","""")&amp;SUBSTITUTE(TEXT(IF(ISTEXT(Overig!F1004),Overig!F1004,10*Overig!F1004),""",""????0;"",""???-0;"",""????0;"", ////"""),"'","""")&amp;SUBSTITUTE(TEXT(Overig!G1004,""",""?00;"",""?-00;"",""?00;"", //"""),"'","""")</f>
        <v>081, 19431201, 07.45, ////, 07, ////, 07</v>
      </c>
    </row>
    <row r="1005" spans="1:1" x14ac:dyDescent="0.25">
      <c r="A1005" s="25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//"""),"'","""")&amp;SUBSTITUTE(TEXT(IF(ISTEXT(Overig!F1005),Overig!F1005,10*Overig!F1005),""",""????0;"",""???-0;"",""????0;"", ////"""),"'","""")&amp;SUBSTITUTE(TEXT(Overig!G1005,""",""?00;"",""?-00;"",""?00;"", //"""),"'","""")</f>
        <v>081, 19431201, 13.45, ////, 07, ////, 07</v>
      </c>
    </row>
    <row r="1006" spans="1:1" x14ac:dyDescent="0.25">
      <c r="A1006" s="25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//"""),"'","""")&amp;SUBSTITUTE(TEXT(IF(ISTEXT(Overig!F1006),Overig!F1006,10*Overig!F1006),""",""????0;"",""???-0;"",""????0;"", ////"""),"'","""")&amp;SUBSTITUTE(TEXT(Overig!G1006,""",""?00;"",""?-00;"",""?00;"", //"""),"'","""")</f>
        <v>081, 19431201, 19.45, ////, 07, ////, 07</v>
      </c>
    </row>
    <row r="1007" spans="1:1" x14ac:dyDescent="0.25">
      <c r="A1007" s="25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//"""),"'","""")&amp;SUBSTITUTE(TEXT(IF(ISTEXT(Overig!F1007),Overig!F1007,10*Overig!F1007),""",""????0;"",""???-0;"",""????0;"", ////"""),"'","""")&amp;SUBSTITUTE(TEXT(Overig!G1007,""",""?00;"",""?-00;"",""?00;"", //"""),"'","""")</f>
        <v>081, 19431202, 07.45, ////, 07, ////, 07</v>
      </c>
    </row>
    <row r="1008" spans="1:1" x14ac:dyDescent="0.25">
      <c r="A1008" s="25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//"""),"'","""")&amp;SUBSTITUTE(TEXT(IF(ISTEXT(Overig!F1008),Overig!F1008,10*Overig!F1008),""",""????0;"",""???-0;"",""????0;"", ////"""),"'","""")&amp;SUBSTITUTE(TEXT(Overig!G1008,""",""?00;"",""?-00;"",""?00;"", //"""),"'","""")</f>
        <v>081, 19431202, 13.45, ////, 07, ////, 07</v>
      </c>
    </row>
    <row r="1009" spans="1:1" x14ac:dyDescent="0.25">
      <c r="A1009" s="25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//"""),"'","""")&amp;SUBSTITUTE(TEXT(IF(ISTEXT(Overig!F1009),Overig!F1009,10*Overig!F1009),""",""????0;"",""???-0;"",""????0;"", ////"""),"'","""")&amp;SUBSTITUTE(TEXT(Overig!G1009,""",""?00;"",""?-00;"",""?00;"", //"""),"'","""")</f>
        <v>081, 19431202, 19.45, ////, 07, ////, 07</v>
      </c>
    </row>
    <row r="1010" spans="1:1" x14ac:dyDescent="0.25">
      <c r="A1010" s="25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//"""),"'","""")&amp;SUBSTITUTE(TEXT(IF(ISTEXT(Overig!F1010),Overig!F1010,10*Overig!F1010),""",""????0;"",""???-0;"",""????0;"", ////"""),"'","""")&amp;SUBSTITUTE(TEXT(Overig!G1010,""",""?00;"",""?-00;"",""?00;"", //"""),"'","""")</f>
        <v>081, 19431203, 07.45, ////, 07, ////, 07</v>
      </c>
    </row>
    <row r="1011" spans="1:1" x14ac:dyDescent="0.25">
      <c r="A1011" s="25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//"""),"'","""")&amp;SUBSTITUTE(TEXT(IF(ISTEXT(Overig!F1011),Overig!F1011,10*Overig!F1011),""",""????0;"",""???-0;"",""????0;"", ////"""),"'","""")&amp;SUBSTITUTE(TEXT(Overig!G1011,""",""?00;"",""?-00;"",""?00;"", //"""),"'","""")</f>
        <v>081, 19431203, 13.45, ////, 07, ////, 07</v>
      </c>
    </row>
    <row r="1012" spans="1:1" x14ac:dyDescent="0.25">
      <c r="A1012" s="25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//"""),"'","""")&amp;SUBSTITUTE(TEXT(IF(ISTEXT(Overig!F1012),Overig!F1012,10*Overig!F1012),""",""????0;"",""???-0;"",""????0;"", ////"""),"'","""")&amp;SUBSTITUTE(TEXT(Overig!G1012,""",""?00;"",""?-00;"",""?00;"", //"""),"'","""")</f>
        <v>081, 19431203, 19.45, ////, 07, ////, 07</v>
      </c>
    </row>
    <row r="1013" spans="1:1" x14ac:dyDescent="0.25">
      <c r="A1013" s="25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//"""),"'","""")&amp;SUBSTITUTE(TEXT(IF(ISTEXT(Overig!F1013),Overig!F1013,10*Overig!F1013),""",""????0;"",""???-0;"",""????0;"", ////"""),"'","""")&amp;SUBSTITUTE(TEXT(Overig!G1013,""",""?00;"",""?-00;"",""?00;"", //"""),"'","""")</f>
        <v>081, 19431204, 07.45, ////, 07, ////, 07</v>
      </c>
    </row>
    <row r="1014" spans="1:1" x14ac:dyDescent="0.25">
      <c r="A1014" s="25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//"""),"'","""")&amp;SUBSTITUTE(TEXT(IF(ISTEXT(Overig!F1014),Overig!F1014,10*Overig!F1014),""",""????0;"",""???-0;"",""????0;"", ////"""),"'","""")&amp;SUBSTITUTE(TEXT(Overig!G1014,""",""?00;"",""?-00;"",""?00;"", //"""),"'","""")</f>
        <v>081, 19431204, 13.45, ////, 07, ////, 07</v>
      </c>
    </row>
    <row r="1015" spans="1:1" x14ac:dyDescent="0.25">
      <c r="A1015" s="25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//"""),"'","""")&amp;SUBSTITUTE(TEXT(IF(ISTEXT(Overig!F1015),Overig!F1015,10*Overig!F1015),""",""????0;"",""???-0;"",""????0;"", ////"""),"'","""")&amp;SUBSTITUTE(TEXT(Overig!G1015,""",""?00;"",""?-00;"",""?00;"", //"""),"'","""")</f>
        <v>081, 19431204, 19.45, ////, 07, ////, 07</v>
      </c>
    </row>
    <row r="1016" spans="1:1" x14ac:dyDescent="0.25">
      <c r="A1016" s="25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//"""),"'","""")&amp;SUBSTITUTE(TEXT(IF(ISTEXT(Overig!F1016),Overig!F1016,10*Overig!F1016),""",""????0;"",""???-0;"",""????0;"", ////"""),"'","""")&amp;SUBSTITUTE(TEXT(Overig!G1016,""",""?00;"",""?-00;"",""?00;"", //"""),"'","""")</f>
        <v>081, 19431205, 07.45, ////, 07, ////, 07</v>
      </c>
    </row>
    <row r="1017" spans="1:1" x14ac:dyDescent="0.25">
      <c r="A1017" s="25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//"""),"'","""")&amp;SUBSTITUTE(TEXT(IF(ISTEXT(Overig!F1017),Overig!F1017,10*Overig!F1017),""",""????0;"",""???-0;"",""????0;"", ////"""),"'","""")&amp;SUBSTITUTE(TEXT(Overig!G1017,""",""?00;"",""?-00;"",""?00;"", //"""),"'","""")</f>
        <v>081, 19431205, 13.45, ////, 07, ////, 07</v>
      </c>
    </row>
    <row r="1018" spans="1:1" x14ac:dyDescent="0.25">
      <c r="A1018" s="25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//"""),"'","""")&amp;SUBSTITUTE(TEXT(IF(ISTEXT(Overig!F1018),Overig!F1018,10*Overig!F1018),""",""????0;"",""???-0;"",""????0;"", ////"""),"'","""")&amp;SUBSTITUTE(TEXT(Overig!G1018,""",""?00;"",""?-00;"",""?00;"", //"""),"'","""")</f>
        <v>081, 19431205, 19.45, ////, 07, ////, 07</v>
      </c>
    </row>
    <row r="1019" spans="1:1" x14ac:dyDescent="0.25">
      <c r="A1019" s="25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//"""),"'","""")&amp;SUBSTITUTE(TEXT(IF(ISTEXT(Overig!F1019),Overig!F1019,10*Overig!F1019),""",""????0;"",""???-0;"",""????0;"", ////"""),"'","""")&amp;SUBSTITUTE(TEXT(Overig!G1019,""",""?00;"",""?-00;"",""?00;"", //"""),"'","""")</f>
        <v>081, 19431206, 07.45, ////, 07, ////, 07</v>
      </c>
    </row>
    <row r="1020" spans="1:1" x14ac:dyDescent="0.25">
      <c r="A1020" s="25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//"""),"'","""")&amp;SUBSTITUTE(TEXT(IF(ISTEXT(Overig!F1020),Overig!F1020,10*Overig!F1020),""",""????0;"",""???-0;"",""????0;"", ////"""),"'","""")&amp;SUBSTITUTE(TEXT(Overig!G1020,""",""?00;"",""?-00;"",""?00;"", //"""),"'","""")</f>
        <v>081, 19431206, 13.45, ////, 07, ////, 07</v>
      </c>
    </row>
    <row r="1021" spans="1:1" x14ac:dyDescent="0.25">
      <c r="A1021" s="25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//"""),"'","""")&amp;SUBSTITUTE(TEXT(IF(ISTEXT(Overig!F1021),Overig!F1021,10*Overig!F1021),""",""????0;"",""???-0;"",""????0;"", ////"""),"'","""")&amp;SUBSTITUTE(TEXT(Overig!G1021,""",""?00;"",""?-00;"",""?00;"", //"""),"'","""")</f>
        <v>081, 19431206, 19.45, ////, 07, ////, 07</v>
      </c>
    </row>
    <row r="1022" spans="1:1" x14ac:dyDescent="0.25">
      <c r="A1022" s="25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//"""),"'","""")&amp;SUBSTITUTE(TEXT(IF(ISTEXT(Overig!F1022),Overig!F1022,10*Overig!F1022),""",""????0;"",""???-0;"",""????0;"", ////"""),"'","""")&amp;SUBSTITUTE(TEXT(Overig!G1022,""",""?00;"",""?-00;"",""?00;"", //"""),"'","""")</f>
        <v>081, 19431207, 07.45, ////, 07, ////, 07</v>
      </c>
    </row>
    <row r="1023" spans="1:1" x14ac:dyDescent="0.25">
      <c r="A1023" s="25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//"""),"'","""")&amp;SUBSTITUTE(TEXT(IF(ISTEXT(Overig!F1023),Overig!F1023,10*Overig!F1023),""",""????0;"",""???-0;"",""????0;"", ////"""),"'","""")&amp;SUBSTITUTE(TEXT(Overig!G1023,""",""?00;"",""?-00;"",""?00;"", //"""),"'","""")</f>
        <v>081, 19431207, 13.45, ////, 07, ////, 07</v>
      </c>
    </row>
    <row r="1024" spans="1:1" x14ac:dyDescent="0.25">
      <c r="A1024" s="25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//"""),"'","""")&amp;SUBSTITUTE(TEXT(IF(ISTEXT(Overig!F1024),Overig!F1024,10*Overig!F1024),""",""????0;"",""???-0;"",""????0;"", ////"""),"'","""")&amp;SUBSTITUTE(TEXT(Overig!G1024,""",""?00;"",""?-00;"",""?00;"", //"""),"'","""")</f>
        <v>081, 19431207, 19.45, ////, 07, ////, 07</v>
      </c>
    </row>
    <row r="1025" spans="1:1" x14ac:dyDescent="0.25">
      <c r="A1025" s="25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//"""),"'","""")&amp;SUBSTITUTE(TEXT(IF(ISTEXT(Overig!F1025),Overig!F1025,10*Overig!F1025),""",""????0;"",""???-0;"",""????0;"", ////"""),"'","""")&amp;SUBSTITUTE(TEXT(Overig!G1025,""",""?00;"",""?-00;"",""?00;"", //"""),"'","""")</f>
        <v>081, 19431208, 07.45, ////, 07, ////, 07</v>
      </c>
    </row>
    <row r="1026" spans="1:1" x14ac:dyDescent="0.25">
      <c r="A1026" s="25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//"""),"'","""")&amp;SUBSTITUTE(TEXT(IF(ISTEXT(Overig!F1026),Overig!F1026,10*Overig!F1026),""",""????0;"",""???-0;"",""????0;"", ////"""),"'","""")&amp;SUBSTITUTE(TEXT(Overig!G1026,""",""?00;"",""?-00;"",""?00;"", //"""),"'","""")</f>
        <v>081, 19431208, 13.45, ////, 07, ////, 07</v>
      </c>
    </row>
    <row r="1027" spans="1:1" x14ac:dyDescent="0.25">
      <c r="A1027" s="25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//"""),"'","""")&amp;SUBSTITUTE(TEXT(IF(ISTEXT(Overig!F1027),Overig!F1027,10*Overig!F1027),""",""????0;"",""???-0;"",""????0;"", ////"""),"'","""")&amp;SUBSTITUTE(TEXT(Overig!G1027,""",""?00;"",""?-00;"",""?00;"", //"""),"'","""")</f>
        <v>081, 19431208, 19.45, ////, 07, ////, 07</v>
      </c>
    </row>
    <row r="1028" spans="1:1" x14ac:dyDescent="0.25">
      <c r="A1028" s="25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//"""),"'","""")&amp;SUBSTITUTE(TEXT(IF(ISTEXT(Overig!F1028),Overig!F1028,10*Overig!F1028),""",""????0;"",""???-0;"",""????0;"", ////"""),"'","""")&amp;SUBSTITUTE(TEXT(Overig!G1028,""",""?00;"",""?-00;"",""?00;"", //"""),"'","""")</f>
        <v>081, 19431209, 07.45, ////, 07, ////, 07</v>
      </c>
    </row>
    <row r="1029" spans="1:1" x14ac:dyDescent="0.25">
      <c r="A1029" s="25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//"""),"'","""")&amp;SUBSTITUTE(TEXT(IF(ISTEXT(Overig!F1029),Overig!F1029,10*Overig!F1029),""",""????0;"",""???-0;"",""????0;"", ////"""),"'","""")&amp;SUBSTITUTE(TEXT(Overig!G1029,""",""?00;"",""?-00;"",""?00;"", //"""),"'","""")</f>
        <v>081, 19431209, 13.45, ////, 07, ////, 07</v>
      </c>
    </row>
    <row r="1030" spans="1:1" x14ac:dyDescent="0.25">
      <c r="A1030" s="25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//"""),"'","""")&amp;SUBSTITUTE(TEXT(IF(ISTEXT(Overig!F1030),Overig!F1030,10*Overig!F1030),""",""????0;"",""???-0;"",""????0;"", ////"""),"'","""")&amp;SUBSTITUTE(TEXT(Overig!G1030,""",""?00;"",""?-00;"",""?00;"", //"""),"'","""")</f>
        <v>081, 19431209, 19.45, ////, 07, ////, 07</v>
      </c>
    </row>
    <row r="1031" spans="1:1" x14ac:dyDescent="0.25">
      <c r="A1031" s="25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//"""),"'","""")&amp;SUBSTITUTE(TEXT(IF(ISTEXT(Overig!F1031),Overig!F1031,10*Overig!F1031),""",""????0;"",""???-0;"",""????0;"", ////"""),"'","""")&amp;SUBSTITUTE(TEXT(Overig!G1031,""",""?00;"",""?-00;"",""?00;"", //"""),"'","""")</f>
        <v>081, 19431210, 07.45, ////, 07, ////, 07</v>
      </c>
    </row>
    <row r="1032" spans="1:1" x14ac:dyDescent="0.25">
      <c r="A1032" s="25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//"""),"'","""")&amp;SUBSTITUTE(TEXT(IF(ISTEXT(Overig!F1032),Overig!F1032,10*Overig!F1032),""",""????0;"",""???-0;"",""????0;"", ////"""),"'","""")&amp;SUBSTITUTE(TEXT(Overig!G1032,""",""?00;"",""?-00;"",""?00;"", //"""),"'","""")</f>
        <v>081, 19431210, 13.45, ////, 07, ////, 07</v>
      </c>
    </row>
    <row r="1033" spans="1:1" x14ac:dyDescent="0.25">
      <c r="A1033" s="25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//"""),"'","""")&amp;SUBSTITUTE(TEXT(IF(ISTEXT(Overig!F1033),Overig!F1033,10*Overig!F1033),""",""????0;"",""???-0;"",""????0;"", ////"""),"'","""")&amp;SUBSTITUTE(TEXT(Overig!G1033,""",""?00;"",""?-00;"",""?00;"", //"""),"'","""")</f>
        <v>081, 19431210, 19.45, ////, 07, ////, 07</v>
      </c>
    </row>
    <row r="1034" spans="1:1" x14ac:dyDescent="0.25">
      <c r="A1034" s="25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//"""),"'","""")&amp;SUBSTITUTE(TEXT(IF(ISTEXT(Overig!F1034),Overig!F1034,10*Overig!F1034),""",""????0;"",""???-0;"",""????0;"", ////"""),"'","""")&amp;SUBSTITUTE(TEXT(Overig!G1034,""",""?00;"",""?-00;"",""?00;"", //"""),"'","""")</f>
        <v>081, 19431211, 07.45, ////, 07, ////, 07</v>
      </c>
    </row>
    <row r="1035" spans="1:1" x14ac:dyDescent="0.25">
      <c r="A1035" s="25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//"""),"'","""")&amp;SUBSTITUTE(TEXT(IF(ISTEXT(Overig!F1035),Overig!F1035,10*Overig!F1035),""",""????0;"",""???-0;"",""????0;"", ////"""),"'","""")&amp;SUBSTITUTE(TEXT(Overig!G1035,""",""?00;"",""?-00;"",""?00;"", //"""),"'","""")</f>
        <v>081, 19431211, 13.45, ////, 07, ////, 07</v>
      </c>
    </row>
    <row r="1036" spans="1:1" x14ac:dyDescent="0.25">
      <c r="A1036" s="25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//"""),"'","""")&amp;SUBSTITUTE(TEXT(IF(ISTEXT(Overig!F1036),Overig!F1036,10*Overig!F1036),""",""????0;"",""???-0;"",""????0;"", ////"""),"'","""")&amp;SUBSTITUTE(TEXT(Overig!G1036,""",""?00;"",""?-00;"",""?00;"", //"""),"'","""")</f>
        <v>081, 19431211, 19.45, ////, 07, ////, 07</v>
      </c>
    </row>
    <row r="1037" spans="1:1" x14ac:dyDescent="0.25">
      <c r="A1037" s="25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//"""),"'","""")&amp;SUBSTITUTE(TEXT(IF(ISTEXT(Overig!F1037),Overig!F1037,10*Overig!F1037),""",""????0;"",""???-0;"",""????0;"", ////"""),"'","""")&amp;SUBSTITUTE(TEXT(Overig!G1037,""",""?00;"",""?-00;"",""?00;"", //"""),"'","""")</f>
        <v>081, 19431212, 07.45, ////, 07, ////, 07</v>
      </c>
    </row>
    <row r="1038" spans="1:1" x14ac:dyDescent="0.25">
      <c r="A1038" s="25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//"""),"'","""")&amp;SUBSTITUTE(TEXT(IF(ISTEXT(Overig!F1038),Overig!F1038,10*Overig!F1038),""",""????0;"",""???-0;"",""????0;"", ////"""),"'","""")&amp;SUBSTITUTE(TEXT(Overig!G1038,""",""?00;"",""?-00;"",""?00;"", //"""),"'","""")</f>
        <v>081, 19431212, 13.45, ////, 07, ////, 07</v>
      </c>
    </row>
    <row r="1039" spans="1:1" x14ac:dyDescent="0.25">
      <c r="A1039" s="25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//"""),"'","""")&amp;SUBSTITUTE(TEXT(IF(ISTEXT(Overig!F1039),Overig!F1039,10*Overig!F1039),""",""????0;"",""???-0;"",""????0;"", ////"""),"'","""")&amp;SUBSTITUTE(TEXT(Overig!G1039,""",""?00;"",""?-00;"",""?00;"", //"""),"'","""")</f>
        <v>081, 19431212, 19.45, ////, 07, ////, 07</v>
      </c>
    </row>
    <row r="1040" spans="1:1" x14ac:dyDescent="0.25">
      <c r="A1040" s="25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//"""),"'","""")&amp;SUBSTITUTE(TEXT(IF(ISTEXT(Overig!F1040),Overig!F1040,10*Overig!F1040),""",""????0;"",""???-0;"",""????0;"", ////"""),"'","""")&amp;SUBSTITUTE(TEXT(Overig!G1040,""",""?00;"",""?-00;"",""?00;"", //"""),"'","""")</f>
        <v>081, 19431213, 07.45, ////, 07, ////, 07</v>
      </c>
    </row>
    <row r="1041" spans="1:1" x14ac:dyDescent="0.25">
      <c r="A1041" s="25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//"""),"'","""")&amp;SUBSTITUTE(TEXT(IF(ISTEXT(Overig!F1041),Overig!F1041,10*Overig!F1041),""",""????0;"",""???-0;"",""????0;"", ////"""),"'","""")&amp;SUBSTITUTE(TEXT(Overig!G1041,""",""?00;"",""?-00;"",""?00;"", //"""),"'","""")</f>
        <v>081, 19431213, 13.45, ////, 07, ////, 07</v>
      </c>
    </row>
    <row r="1042" spans="1:1" x14ac:dyDescent="0.25">
      <c r="A1042" s="25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//"""),"'","""")&amp;SUBSTITUTE(TEXT(IF(ISTEXT(Overig!F1042),Overig!F1042,10*Overig!F1042),""",""????0;"",""???-0;"",""????0;"", ////"""),"'","""")&amp;SUBSTITUTE(TEXT(Overig!G1042,""",""?00;"",""?-00;"",""?00;"", //"""),"'","""")</f>
        <v>081, 19431213, 19.45, ////, 07, ////, 07</v>
      </c>
    </row>
    <row r="1043" spans="1:1" x14ac:dyDescent="0.25">
      <c r="A1043" s="25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//"""),"'","""")&amp;SUBSTITUTE(TEXT(IF(ISTEXT(Overig!F1043),Overig!F1043,10*Overig!F1043),""",""????0;"",""???-0;"",""????0;"", ////"""),"'","""")&amp;SUBSTITUTE(TEXT(Overig!G1043,""",""?00;"",""?-00;"",""?00;"", //"""),"'","""")</f>
        <v>081, 19431214, 07.45, ////, 07, ////, 07</v>
      </c>
    </row>
    <row r="1044" spans="1:1" x14ac:dyDescent="0.25">
      <c r="A1044" s="25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//"""),"'","""")&amp;SUBSTITUTE(TEXT(IF(ISTEXT(Overig!F1044),Overig!F1044,10*Overig!F1044),""",""????0;"",""???-0;"",""????0;"", ////"""),"'","""")&amp;SUBSTITUTE(TEXT(Overig!G1044,""",""?00;"",""?-00;"",""?00;"", //"""),"'","""")</f>
        <v>081, 19431214, 13.45, ////, 07, ////, 07</v>
      </c>
    </row>
    <row r="1045" spans="1:1" x14ac:dyDescent="0.25">
      <c r="A1045" s="25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//"""),"'","""")&amp;SUBSTITUTE(TEXT(IF(ISTEXT(Overig!F1045),Overig!F1045,10*Overig!F1045),""",""????0;"",""???-0;"",""????0;"", ////"""),"'","""")&amp;SUBSTITUTE(TEXT(Overig!G1045,""",""?00;"",""?-00;"",""?00;"", //"""),"'","""")</f>
        <v>081, 19431214, 19.45, ////, 07, ////, 07</v>
      </c>
    </row>
    <row r="1046" spans="1:1" x14ac:dyDescent="0.25">
      <c r="A1046" s="25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//"""),"'","""")&amp;SUBSTITUTE(TEXT(IF(ISTEXT(Overig!F1046),Overig!F1046,10*Overig!F1046),""",""????0;"",""???-0;"",""????0;"", ////"""),"'","""")&amp;SUBSTITUTE(TEXT(Overig!G1046,""",""?00;"",""?-00;"",""?00;"", //"""),"'","""")</f>
        <v>081, 19431215, 07.45, ////, 07, ////, 07</v>
      </c>
    </row>
    <row r="1047" spans="1:1" x14ac:dyDescent="0.25">
      <c r="A1047" s="25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//"""),"'","""")&amp;SUBSTITUTE(TEXT(IF(ISTEXT(Overig!F1047),Overig!F1047,10*Overig!F1047),""",""????0;"",""???-0;"",""????0;"", ////"""),"'","""")&amp;SUBSTITUTE(TEXT(Overig!G1047,""",""?00;"",""?-00;"",""?00;"", //"""),"'","""")</f>
        <v>081, 19431215, 13.45, ////, 07, ////, 07</v>
      </c>
    </row>
    <row r="1048" spans="1:1" x14ac:dyDescent="0.25">
      <c r="A1048" s="25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//"""),"'","""")&amp;SUBSTITUTE(TEXT(IF(ISTEXT(Overig!F1048),Overig!F1048,10*Overig!F1048),""",""????0;"",""???-0;"",""????0;"", ////"""),"'","""")&amp;SUBSTITUTE(TEXT(Overig!G1048,""",""?00;"",""?-00;"",""?00;"", //"""),"'","""")</f>
        <v>081, 19431215, 19.45, ////, 07, ////, 07</v>
      </c>
    </row>
    <row r="1049" spans="1:1" x14ac:dyDescent="0.25">
      <c r="A1049" s="25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//"""),"'","""")&amp;SUBSTITUTE(TEXT(IF(ISTEXT(Overig!F1049),Overig!F1049,10*Overig!F1049),""",""????0;"",""???-0;"",""????0;"", ////"""),"'","""")&amp;SUBSTITUTE(TEXT(Overig!G1049,""",""?00;"",""?-00;"",""?00;"", //"""),"'","""")</f>
        <v>081, 19431216, 07.45, ////, 07, ////, 07</v>
      </c>
    </row>
    <row r="1050" spans="1:1" x14ac:dyDescent="0.25">
      <c r="A1050" s="25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//"""),"'","""")&amp;SUBSTITUTE(TEXT(IF(ISTEXT(Overig!F1050),Overig!F1050,10*Overig!F1050),""",""????0;"",""???-0;"",""????0;"", ////"""),"'","""")&amp;SUBSTITUTE(TEXT(Overig!G1050,""",""?00;"",""?-00;"",""?00;"", //"""),"'","""")</f>
        <v>081, 19431216, 13.45, ////, 07, ////, 07</v>
      </c>
    </row>
    <row r="1051" spans="1:1" x14ac:dyDescent="0.25">
      <c r="A1051" s="25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//"""),"'","""")&amp;SUBSTITUTE(TEXT(IF(ISTEXT(Overig!F1051),Overig!F1051,10*Overig!F1051),""",""????0;"",""???-0;"",""????0;"", ////"""),"'","""")&amp;SUBSTITUTE(TEXT(Overig!G1051,""",""?00;"",""?-00;"",""?00;"", //"""),"'","""")</f>
        <v>081, 19431216, 19.45, ////, 07, ////, 07</v>
      </c>
    </row>
    <row r="1052" spans="1:1" x14ac:dyDescent="0.25">
      <c r="A1052" s="25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//"""),"'","""")&amp;SUBSTITUTE(TEXT(IF(ISTEXT(Overig!F1052),Overig!F1052,10*Overig!F1052),""",""????0;"",""???-0;"",""????0;"", ////"""),"'","""")&amp;SUBSTITUTE(TEXT(Overig!G1052,""",""?00;"",""?-00;"",""?00;"", //"""),"'","""")</f>
        <v>081, 19431217, 07.45, ////, 07, ////, 07</v>
      </c>
    </row>
    <row r="1053" spans="1:1" x14ac:dyDescent="0.25">
      <c r="A1053" s="25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//"""),"'","""")&amp;SUBSTITUTE(TEXT(IF(ISTEXT(Overig!F1053),Overig!F1053,10*Overig!F1053),""",""????0;"",""???-0;"",""????0;"", ////"""),"'","""")&amp;SUBSTITUTE(TEXT(Overig!G1053,""",""?00;"",""?-00;"",""?00;"", //"""),"'","""")</f>
        <v>081, 19431217, 13.45, ////, 07, ////, 07</v>
      </c>
    </row>
    <row r="1054" spans="1:1" x14ac:dyDescent="0.25">
      <c r="A1054" s="25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//"""),"'","""")&amp;SUBSTITUTE(TEXT(IF(ISTEXT(Overig!F1054),Overig!F1054,10*Overig!F1054),""",""????0;"",""???-0;"",""????0;"", ////"""),"'","""")&amp;SUBSTITUTE(TEXT(Overig!G1054,""",""?00;"",""?-00;"",""?00;"", //"""),"'","""")</f>
        <v>081, 19431217, 19.45, ////, 07, ////, 07</v>
      </c>
    </row>
    <row r="1055" spans="1:1" x14ac:dyDescent="0.25">
      <c r="A1055" s="25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//"""),"'","""")&amp;SUBSTITUTE(TEXT(IF(ISTEXT(Overig!F1055),Overig!F1055,10*Overig!F1055),""",""????0;"",""???-0;"",""????0;"", ////"""),"'","""")&amp;SUBSTITUTE(TEXT(Overig!G1055,""",""?00;"",""?-00;"",""?00;"", //"""),"'","""")</f>
        <v>081, 19431218, 07.45, ////, 07, ////, 07</v>
      </c>
    </row>
    <row r="1056" spans="1:1" x14ac:dyDescent="0.25">
      <c r="A1056" s="25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//"""),"'","""")&amp;SUBSTITUTE(TEXT(IF(ISTEXT(Overig!F1056),Overig!F1056,10*Overig!F1056),""",""????0;"",""???-0;"",""????0;"", ////"""),"'","""")&amp;SUBSTITUTE(TEXT(Overig!G1056,""",""?00;"",""?-00;"",""?00;"", //"""),"'","""")</f>
        <v>081, 19431218, 13.45, ////, 07, ////, 07</v>
      </c>
    </row>
    <row r="1057" spans="1:1" x14ac:dyDescent="0.25">
      <c r="A1057" s="25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//"""),"'","""")&amp;SUBSTITUTE(TEXT(IF(ISTEXT(Overig!F1057),Overig!F1057,10*Overig!F1057),""",""????0;"",""???-0;"",""????0;"", ////"""),"'","""")&amp;SUBSTITUTE(TEXT(Overig!G1057,""",""?00;"",""?-00;"",""?00;"", //"""),"'","""")</f>
        <v>081, 19431218, 19.45, ////, 07, ////, 07</v>
      </c>
    </row>
    <row r="1058" spans="1:1" x14ac:dyDescent="0.25">
      <c r="A1058" s="25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//"""),"'","""")&amp;SUBSTITUTE(TEXT(IF(ISTEXT(Overig!F1058),Overig!F1058,10*Overig!F1058),""",""????0;"",""???-0;"",""????0;"", ////"""),"'","""")&amp;SUBSTITUTE(TEXT(Overig!G1058,""",""?00;"",""?-00;"",""?00;"", //"""),"'","""")</f>
        <v>081, 19431219, 07.45, ////, 07, ////, 07</v>
      </c>
    </row>
    <row r="1059" spans="1:1" x14ac:dyDescent="0.25">
      <c r="A1059" s="25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//"""),"'","""")&amp;SUBSTITUTE(TEXT(IF(ISTEXT(Overig!F1059),Overig!F1059,10*Overig!F1059),""",""????0;"",""???-0;"",""????0;"", ////"""),"'","""")&amp;SUBSTITUTE(TEXT(Overig!G1059,""",""?00;"",""?-00;"",""?00;"", //"""),"'","""")</f>
        <v>081, 19431219, 13.45, ////, 07, ////, 07</v>
      </c>
    </row>
    <row r="1060" spans="1:1" x14ac:dyDescent="0.25">
      <c r="A1060" s="25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//"""),"'","""")&amp;SUBSTITUTE(TEXT(IF(ISTEXT(Overig!F1060),Overig!F1060,10*Overig!F1060),""",""????0;"",""???-0;"",""????0;"", ////"""),"'","""")&amp;SUBSTITUTE(TEXT(Overig!G1060,""",""?00;"",""?-00;"",""?00;"", //"""),"'","""")</f>
        <v>081, 19431219, 19.45, ////, 07, ////, 07</v>
      </c>
    </row>
    <row r="1061" spans="1:1" x14ac:dyDescent="0.25">
      <c r="A1061" s="25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//"""),"'","""")&amp;SUBSTITUTE(TEXT(IF(ISTEXT(Overig!F1061),Overig!F1061,10*Overig!F1061),""",""????0;"",""???-0;"",""????0;"", ////"""),"'","""")&amp;SUBSTITUTE(TEXT(Overig!G1061,""",""?00;"",""?-00;"",""?00;"", //"""),"'","""")</f>
        <v>081, 19431220, 07.45, ////, 07, ////, 07</v>
      </c>
    </row>
    <row r="1062" spans="1:1" x14ac:dyDescent="0.25">
      <c r="A1062" s="25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//"""),"'","""")&amp;SUBSTITUTE(TEXT(IF(ISTEXT(Overig!F1062),Overig!F1062,10*Overig!F1062),""",""????0;"",""???-0;"",""????0;"", ////"""),"'","""")&amp;SUBSTITUTE(TEXT(Overig!G1062,""",""?00;"",""?-00;"",""?00;"", //"""),"'","""")</f>
        <v>081, 19431220, 13.45, ////, 07, ////, 07</v>
      </c>
    </row>
    <row r="1063" spans="1:1" x14ac:dyDescent="0.25">
      <c r="A1063" s="25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//"""),"'","""")&amp;SUBSTITUTE(TEXT(IF(ISTEXT(Overig!F1063),Overig!F1063,10*Overig!F1063),""",""????0;"",""???-0;"",""????0;"", ////"""),"'","""")&amp;SUBSTITUTE(TEXT(Overig!G1063,""",""?00;"",""?-00;"",""?00;"", //"""),"'","""")</f>
        <v>081, 19431220, 19.45, ////, 07, ////, 07</v>
      </c>
    </row>
    <row r="1064" spans="1:1" x14ac:dyDescent="0.25">
      <c r="A1064" s="25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//"""),"'","""")&amp;SUBSTITUTE(TEXT(IF(ISTEXT(Overig!F1064),Overig!F1064,10*Overig!F1064),""",""????0;"",""???-0;"",""????0;"", ////"""),"'","""")&amp;SUBSTITUTE(TEXT(Overig!G1064,""",""?00;"",""?-00;"",""?00;"", //"""),"'","""")</f>
        <v>081, 19431221, 07.45, ////, 07, ////, 07</v>
      </c>
    </row>
    <row r="1065" spans="1:1" x14ac:dyDescent="0.25">
      <c r="A1065" s="25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//"""),"'","""")&amp;SUBSTITUTE(TEXT(IF(ISTEXT(Overig!F1065),Overig!F1065,10*Overig!F1065),""",""????0;"",""???-0;"",""????0;"", ////"""),"'","""")&amp;SUBSTITUTE(TEXT(Overig!G1065,""",""?00;"",""?-00;"",""?00;"", //"""),"'","""")</f>
        <v>081, 19431221, 13.45, ////, 07, ////, 07</v>
      </c>
    </row>
    <row r="1066" spans="1:1" x14ac:dyDescent="0.25">
      <c r="A1066" s="25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//"""),"'","""")&amp;SUBSTITUTE(TEXT(IF(ISTEXT(Overig!F1066),Overig!F1066,10*Overig!F1066),""",""????0;"",""???-0;"",""????0;"", ////"""),"'","""")&amp;SUBSTITUTE(TEXT(Overig!G1066,""",""?00;"",""?-00;"",""?00;"", //"""),"'","""")</f>
        <v>081, 19431221, 19.45, ////, 07, ////, 07</v>
      </c>
    </row>
    <row r="1067" spans="1:1" x14ac:dyDescent="0.25">
      <c r="A1067" s="25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//"""),"'","""")&amp;SUBSTITUTE(TEXT(IF(ISTEXT(Overig!F1067),Overig!F1067,10*Overig!F1067),""",""????0;"",""???-0;"",""????0;"", ////"""),"'","""")&amp;SUBSTITUTE(TEXT(Overig!G1067,""",""?00;"",""?-00;"",""?00;"", //"""),"'","""")</f>
        <v>081, 19431222, 07.45, ////, 07, ////, 07</v>
      </c>
    </row>
    <row r="1068" spans="1:1" x14ac:dyDescent="0.25">
      <c r="A1068" s="25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//"""),"'","""")&amp;SUBSTITUTE(TEXT(IF(ISTEXT(Overig!F1068),Overig!F1068,10*Overig!F1068),""",""????0;"",""???-0;"",""????0;"", ////"""),"'","""")&amp;SUBSTITUTE(TEXT(Overig!G1068,""",""?00;"",""?-00;"",""?00;"", //"""),"'","""")</f>
        <v>081, 19431222, 13.45, ////, 07, ////, 07</v>
      </c>
    </row>
    <row r="1069" spans="1:1" x14ac:dyDescent="0.25">
      <c r="A1069" s="25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//"""),"'","""")&amp;SUBSTITUTE(TEXT(IF(ISTEXT(Overig!F1069),Overig!F1069,10*Overig!F1069),""",""????0;"",""???-0;"",""????0;"", ////"""),"'","""")&amp;SUBSTITUTE(TEXT(Overig!G1069,""",""?00;"",""?-00;"",""?00;"", //"""),"'","""")</f>
        <v>081, 19431222, 19.45, ////, 07, ////, 07</v>
      </c>
    </row>
    <row r="1070" spans="1:1" x14ac:dyDescent="0.25">
      <c r="A1070" s="25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//"""),"'","""")&amp;SUBSTITUTE(TEXT(IF(ISTEXT(Overig!F1070),Overig!F1070,10*Overig!F1070),""",""????0;"",""???-0;"",""????0;"", ////"""),"'","""")&amp;SUBSTITUTE(TEXT(Overig!G1070,""",""?00;"",""?-00;"",""?00;"", //"""),"'","""")</f>
        <v>081, 19431223, 07.45, ////, 07, ////, 07</v>
      </c>
    </row>
    <row r="1071" spans="1:1" x14ac:dyDescent="0.25">
      <c r="A1071" s="25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//"""),"'","""")&amp;SUBSTITUTE(TEXT(IF(ISTEXT(Overig!F1071),Overig!F1071,10*Overig!F1071),""",""????0;"",""???-0;"",""????0;"", ////"""),"'","""")&amp;SUBSTITUTE(TEXT(Overig!G1071,""",""?00;"",""?-00;"",""?00;"", //"""),"'","""")</f>
        <v>081, 19431223, 13.45, ////, 07, ////, 07</v>
      </c>
    </row>
    <row r="1072" spans="1:1" x14ac:dyDescent="0.25">
      <c r="A1072" s="25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//"""),"'","""")&amp;SUBSTITUTE(TEXT(IF(ISTEXT(Overig!F1072),Overig!F1072,10*Overig!F1072),""",""????0;"",""???-0;"",""????0;"", ////"""),"'","""")&amp;SUBSTITUTE(TEXT(Overig!G1072,""",""?00;"",""?-00;"",""?00;"", //"""),"'","""")</f>
        <v>081, 19431223, 19.45, ////, 07, ////, 07</v>
      </c>
    </row>
    <row r="1073" spans="1:1" x14ac:dyDescent="0.25">
      <c r="A1073" s="25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//"""),"'","""")&amp;SUBSTITUTE(TEXT(IF(ISTEXT(Overig!F1073),Overig!F1073,10*Overig!F1073),""",""????0;"",""???-0;"",""????0;"", ////"""),"'","""")&amp;SUBSTITUTE(TEXT(Overig!G1073,""",""?00;"",""?-00;"",""?00;"", //"""),"'","""")</f>
        <v>081, 19431224, 07.45, ////, 07, ////, 07</v>
      </c>
    </row>
    <row r="1074" spans="1:1" x14ac:dyDescent="0.25">
      <c r="A1074" s="25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//"""),"'","""")&amp;SUBSTITUTE(TEXT(IF(ISTEXT(Overig!F1074),Overig!F1074,10*Overig!F1074),""",""????0;"",""???-0;"",""????0;"", ////"""),"'","""")&amp;SUBSTITUTE(TEXT(Overig!G1074,""",""?00;"",""?-00;"",""?00;"", //"""),"'","""")</f>
        <v>081, 19431224, 13.45, ////, 07, ////, 07</v>
      </c>
    </row>
    <row r="1075" spans="1:1" x14ac:dyDescent="0.25">
      <c r="A1075" s="25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//"""),"'","""")&amp;SUBSTITUTE(TEXT(IF(ISTEXT(Overig!F1075),Overig!F1075,10*Overig!F1075),""",""????0;"",""???-0;"",""????0;"", ////"""),"'","""")&amp;SUBSTITUTE(TEXT(Overig!G1075,""",""?00;"",""?-00;"",""?00;"", //"""),"'","""")</f>
        <v>081, 19431224, 19.45, ////, 07, ////, 07</v>
      </c>
    </row>
    <row r="1076" spans="1:1" x14ac:dyDescent="0.25">
      <c r="A1076" s="25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//"""),"'","""")&amp;SUBSTITUTE(TEXT(IF(ISTEXT(Overig!F1076),Overig!F1076,10*Overig!F1076),""",""????0;"",""???-0;"",""????0;"", ////"""),"'","""")&amp;SUBSTITUTE(TEXT(Overig!G1076,""",""?00;"",""?-00;"",""?00;"", //"""),"'","""")</f>
        <v>081, 19431225, 07.45, ////, 07, ////, 07</v>
      </c>
    </row>
    <row r="1077" spans="1:1" x14ac:dyDescent="0.25">
      <c r="A1077" s="25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//"""),"'","""")&amp;SUBSTITUTE(TEXT(IF(ISTEXT(Overig!F1077),Overig!F1077,10*Overig!F1077),""",""????0;"",""???-0;"",""????0;"", ////"""),"'","""")&amp;SUBSTITUTE(TEXT(Overig!G1077,""",""?00;"",""?-00;"",""?00;"", //"""),"'","""")</f>
        <v>081, 19431225, 13.45, ////, 07, ////, 07</v>
      </c>
    </row>
    <row r="1078" spans="1:1" x14ac:dyDescent="0.25">
      <c r="A1078" s="25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//"""),"'","""")&amp;SUBSTITUTE(TEXT(IF(ISTEXT(Overig!F1078),Overig!F1078,10*Overig!F1078),""",""????0;"",""???-0;"",""????0;"", ////"""),"'","""")&amp;SUBSTITUTE(TEXT(Overig!G1078,""",""?00;"",""?-00;"",""?00;"", //"""),"'","""")</f>
        <v>081, 19431225, 19.45, ////, 07, ////, 07</v>
      </c>
    </row>
    <row r="1079" spans="1:1" x14ac:dyDescent="0.25">
      <c r="A1079" s="25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//"""),"'","""")&amp;SUBSTITUTE(TEXT(IF(ISTEXT(Overig!F1079),Overig!F1079,10*Overig!F1079),""",""????0;"",""???-0;"",""????0;"", ////"""),"'","""")&amp;SUBSTITUTE(TEXT(Overig!G1079,""",""?00;"",""?-00;"",""?00;"", //"""),"'","""")</f>
        <v>081, 19431226, 07.45, ////, 07, ////, 07</v>
      </c>
    </row>
    <row r="1080" spans="1:1" x14ac:dyDescent="0.25">
      <c r="A1080" s="25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//"""),"'","""")&amp;SUBSTITUTE(TEXT(IF(ISTEXT(Overig!F1080),Overig!F1080,10*Overig!F1080),""",""????0;"",""???-0;"",""????0;"", ////"""),"'","""")&amp;SUBSTITUTE(TEXT(Overig!G1080,""",""?00;"",""?-00;"",""?00;"", //"""),"'","""")</f>
        <v>081, 19431226, 13.45, ////, 07, ////, 07</v>
      </c>
    </row>
    <row r="1081" spans="1:1" x14ac:dyDescent="0.25">
      <c r="A1081" s="25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//"""),"'","""")&amp;SUBSTITUTE(TEXT(IF(ISTEXT(Overig!F1081),Overig!F1081,10*Overig!F1081),""",""????0;"",""???-0;"",""????0;"", ////"""),"'","""")&amp;SUBSTITUTE(TEXT(Overig!G1081,""",""?00;"",""?-00;"",""?00;"", //"""),"'","""")</f>
        <v>081, 19431226, 19.45, ////, 07, ////, 07</v>
      </c>
    </row>
    <row r="1082" spans="1:1" x14ac:dyDescent="0.25">
      <c r="A1082" s="25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//"""),"'","""")&amp;SUBSTITUTE(TEXT(IF(ISTEXT(Overig!F1082),Overig!F1082,10*Overig!F1082),""",""????0;"",""???-0;"",""????0;"", ////"""),"'","""")&amp;SUBSTITUTE(TEXT(Overig!G1082,""",""?00;"",""?-00;"",""?00;"", //"""),"'","""")</f>
        <v>081, 19431227, 07.45, ////, 07, ////, 07</v>
      </c>
    </row>
    <row r="1083" spans="1:1" x14ac:dyDescent="0.25">
      <c r="A1083" s="25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//"""),"'","""")&amp;SUBSTITUTE(TEXT(IF(ISTEXT(Overig!F1083),Overig!F1083,10*Overig!F1083),""",""????0;"",""???-0;"",""????0;"", ////"""),"'","""")&amp;SUBSTITUTE(TEXT(Overig!G1083,""",""?00;"",""?-00;"",""?00;"", //"""),"'","""")</f>
        <v>081, 19431227, 13.45, ////, 07, ////, 07</v>
      </c>
    </row>
    <row r="1084" spans="1:1" x14ac:dyDescent="0.25">
      <c r="A1084" s="25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//"""),"'","""")&amp;SUBSTITUTE(TEXT(IF(ISTEXT(Overig!F1084),Overig!F1084,10*Overig!F1084),""",""????0;"",""???-0;"",""????0;"", ////"""),"'","""")&amp;SUBSTITUTE(TEXT(Overig!G1084,""",""?00;"",""?-00;"",""?00;"", //"""),"'","""")</f>
        <v>081, 19431227, 19.45, ////, 07, ////, 07</v>
      </c>
    </row>
    <row r="1085" spans="1:1" x14ac:dyDescent="0.25">
      <c r="A1085" s="25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//"""),"'","""")&amp;SUBSTITUTE(TEXT(IF(ISTEXT(Overig!F1085),Overig!F1085,10*Overig!F1085),""",""????0;"",""???-0;"",""????0;"", ////"""),"'","""")&amp;SUBSTITUTE(TEXT(Overig!G1085,""",""?00;"",""?-00;"",""?00;"", //"""),"'","""")</f>
        <v>081, 19431228, 07.45, ////, 07, ////, 07</v>
      </c>
    </row>
    <row r="1086" spans="1:1" x14ac:dyDescent="0.25">
      <c r="A1086" s="25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//"""),"'","""")&amp;SUBSTITUTE(TEXT(IF(ISTEXT(Overig!F1086),Overig!F1086,10*Overig!F1086),""",""????0;"",""???-0;"",""????0;"", ////"""),"'","""")&amp;SUBSTITUTE(TEXT(Overig!G1086,""",""?00;"",""?-00;"",""?00;"", //"""),"'","""")</f>
        <v>081, 19431228, 13.45, ////, 07, ////, 07</v>
      </c>
    </row>
    <row r="1087" spans="1:1" x14ac:dyDescent="0.25">
      <c r="A1087" s="25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//"""),"'","""")&amp;SUBSTITUTE(TEXT(IF(ISTEXT(Overig!F1087),Overig!F1087,10*Overig!F1087),""",""????0;"",""???-0;"",""????0;"", ////"""),"'","""")&amp;SUBSTITUTE(TEXT(Overig!G1087,""",""?00;"",""?-00;"",""?00;"", //"""),"'","""")</f>
        <v>081, 19431228, 19.45, ////, 07, ////, 07</v>
      </c>
    </row>
    <row r="1088" spans="1:1" x14ac:dyDescent="0.25">
      <c r="A1088" s="25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//"""),"'","""")&amp;SUBSTITUTE(TEXT(IF(ISTEXT(Overig!F1088),Overig!F1088,10*Overig!F1088),""",""????0;"",""???-0;"",""????0;"", ////"""),"'","""")&amp;SUBSTITUTE(TEXT(Overig!G1088,""",""?00;"",""?-00;"",""?00;"", //"""),"'","""")</f>
        <v>081, 19431229, 07.45, ////, 07, ////, 07</v>
      </c>
    </row>
    <row r="1089" spans="1:1" x14ac:dyDescent="0.25">
      <c r="A1089" s="25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//"""),"'","""")&amp;SUBSTITUTE(TEXT(IF(ISTEXT(Overig!F1089),Overig!F1089,10*Overig!F1089),""",""????0;"",""???-0;"",""????0;"", ////"""),"'","""")&amp;SUBSTITUTE(TEXT(Overig!G1089,""",""?00;"",""?-00;"",""?00;"", //"""),"'","""")</f>
        <v>081, 19431229, 13.45, ////, 07, ////, 07</v>
      </c>
    </row>
    <row r="1090" spans="1:1" x14ac:dyDescent="0.25">
      <c r="A1090" s="25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//"""),"'","""")&amp;SUBSTITUTE(TEXT(IF(ISTEXT(Overig!F1090),Overig!F1090,10*Overig!F1090),""",""????0;"",""???-0;"",""????0;"", ////"""),"'","""")&amp;SUBSTITUTE(TEXT(Overig!G1090,""",""?00;"",""?-00;"",""?00;"", //"""),"'","""")</f>
        <v>081, 19431229, 19.45, ////, 07, ////, 07</v>
      </c>
    </row>
    <row r="1091" spans="1:1" x14ac:dyDescent="0.25">
      <c r="A1091" s="25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//"""),"'","""")&amp;SUBSTITUTE(TEXT(IF(ISTEXT(Overig!F1091),Overig!F1091,10*Overig!F1091),""",""????0;"",""???-0;"",""????0;"", ////"""),"'","""")&amp;SUBSTITUTE(TEXT(Overig!G1091,""",""?00;"",""?-00;"",""?00;"", //"""),"'","""")</f>
        <v>081, 19431230, 07.45, ////, 07, ////, 07</v>
      </c>
    </row>
    <row r="1092" spans="1:1" x14ac:dyDescent="0.25">
      <c r="A1092" s="25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//"""),"'","""")&amp;SUBSTITUTE(TEXT(IF(ISTEXT(Overig!F1092),Overig!F1092,10*Overig!F1092),""",""????0;"",""???-0;"",""????0;"", ////"""),"'","""")&amp;SUBSTITUTE(TEXT(Overig!G1092,""",""?00;"",""?-00;"",""?00;"", //"""),"'","""")</f>
        <v>081, 19431230, 13.45, ////, 07, ////, 07</v>
      </c>
    </row>
    <row r="1093" spans="1:1" x14ac:dyDescent="0.25">
      <c r="A1093" s="25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//"""),"'","""")&amp;SUBSTITUTE(TEXT(IF(ISTEXT(Overig!F1093),Overig!F1093,10*Overig!F1093),""",""????0;"",""???-0;"",""????0;"", ////"""),"'","""")&amp;SUBSTITUTE(TEXT(Overig!G1093,""",""?00;"",""?-00;"",""?00;"", //"""),"'","""")</f>
        <v>081, 19431230, 19.45, ////, 07, ////, 07</v>
      </c>
    </row>
    <row r="1094" spans="1:1" x14ac:dyDescent="0.25">
      <c r="A1094" s="25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//"""),"'","""")&amp;SUBSTITUTE(TEXT(IF(ISTEXT(Overig!F1094),Overig!F1094,10*Overig!F1094),""",""????0;"",""???-0;"",""????0;"", ////"""),"'","""")&amp;SUBSTITUTE(TEXT(Overig!G1094,""",""?00;"",""?-00;"",""?00;"", //"""),"'","""")</f>
        <v>081, 19431231, 07.45, ////, 07, ////, 07</v>
      </c>
    </row>
    <row r="1095" spans="1:1" x14ac:dyDescent="0.25">
      <c r="A1095" s="25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//"""),"'","""")&amp;SUBSTITUTE(TEXT(IF(ISTEXT(Overig!F1095),Overig!F1095,10*Overig!F1095),""",""????0;"",""???-0;"",""????0;"", ////"""),"'","""")&amp;SUBSTITUTE(TEXT(Overig!G1095,""",""?00;"",""?-00;"",""?00;"", //"""),"'","""")</f>
        <v>081, 19431231, 13.45, ////, 07, ////, 07</v>
      </c>
    </row>
    <row r="1096" spans="1:1" x14ac:dyDescent="0.25">
      <c r="A1096" s="25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//"""),"'","""")&amp;SUBSTITUTE(TEXT(IF(ISTEXT(Overig!F1096),Overig!F1096,10*Overig!F1096),""",""????0;"",""???-0;"",""????0;"", ////"""),"'","""")&amp;SUBSTITUTE(TEXT(Overig!G1096,""",""?00;"",""?-00;"",""?00;"", //"""),"'","""")</f>
        <v>081, 19431231, 19.45, ////, 07,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2015-10-05T13:19:25Z</dcterms:modified>
</cp:coreProperties>
</file>